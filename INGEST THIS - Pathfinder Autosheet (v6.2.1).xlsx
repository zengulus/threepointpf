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Welcome Page" sheetId="1" r:id="rId4"/>
    <sheet state="visible" name="Main Sheet" sheetId="2" r:id="rId5"/>
    <sheet state="visible" name="Equipment" sheetId="3" r:id="rId6"/>
    <sheet state="visible" name="Spells, Spheres and other stuff" sheetId="4" r:id="rId7"/>
    <sheet state="visible" name="Class Charts" sheetId="5" r:id="rId8"/>
    <sheet state="hidden" name="Class Skills" sheetId="6" r:id="rId9"/>
    <sheet state="visible" name="Formula References" sheetId="7" r:id="rId10"/>
    <sheet state="hidden" name="Changelog" sheetId="8" r:id="rId11"/>
  </sheets>
  <definedNames>
    <definedName name="Strength">'Main Sheet'!$G$9</definedName>
    <definedName name="BaseAttack">'Main Sheet'!$AM$6</definedName>
    <definedName name="tSizeChange">'Main Sheet'!$AK$74</definedName>
    <definedName name="Charisma">'Main Sheet'!$G$14</definedName>
    <definedName name="tSkill">'Main Sheet'!$AQ$74</definedName>
    <definedName name="Level">'Main Sheet'!$AQ$6</definedName>
    <definedName name="Intelligence">'Main Sheet'!$G$12</definedName>
    <definedName name="Size">'Main Sheet'!$D$5</definedName>
    <definedName name="tRangedDamage">'Main Sheet'!$AE$74</definedName>
    <definedName name="tOHDamage">'Main Sheet'!$AA$74</definedName>
    <definedName name="tRangedAttack">'Main Sheet'!$AD$74</definedName>
    <definedName name="tMeleeDamage">'Main Sheet'!$Z$74</definedName>
    <definedName name="t2HDamage">'Main Sheet'!$AB$74</definedName>
    <definedName name="Tier">'Main Sheet'!$AQ$5</definedName>
    <definedName name="SizeTable">'Formula References'!$A$138:$G$146</definedName>
    <definedName name="Wisdom">'Main Sheet'!$G$13</definedName>
    <definedName name="tMeleeAttack">'Main Sheet'!$Y$74</definedName>
    <definedName name="Dexterity">'Main Sheet'!$G$10</definedName>
    <definedName name="Constitution">'Main Sheet'!$G$11</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N13">
      <text>
        <t xml:space="preserve">Notes are really useful!
To insert a note like this, just right-click a cell and select "Insert Note". "Insert Comment" can serve a similar purpose, but it'll spam your email and won't survive a sheet copy.
To delete a note, just highlight and delete all its contents, or right click and select "Clear Note".
Use Notes to track the source of miscellaneous bonuses or input detailed longtext for relevant abilities when you can't summarize them in the given space.</t>
      </text>
    </comment>
    <comment authorId="0" ref="N29">
      <text>
        <t xml:space="preserve">If your sheet's privacy is of paramount importance, a second, more complicated solution is also possible:
1. in an empty cell somewhere on the error-filled support sheet, type in a simple ImportRange function pointing to any cell or range in the relevant spreadsheet you want it to access.
=ImportRange("[target URL]",A1)
2. After pressing Enter and seeing your formula resolve as an error, you should be able to mouse over the problem-cell and see a pop-up from Google asking if you'd like to connect the two sheets (assuming you have edit permission to both). 
3. Accept, and in theory you're good to go.</t>
      </text>
    </comment>
    <comment authorId="0" ref="N8">
      <text>
        <t xml:space="preserve">-- Homebrew
With this homebrew ruleset, classes like the Cleric which naturally gain only 2+INT skill ranks per level are buffed to 4+INT skill ranks per level. This stacks with the 2 free skill ranks per level potentially granted by the Background Skills optional ruleset.</t>
      </text>
    </comment>
    <comment authorId="0" ref="N7">
      <text>
        <t xml:space="preserve">-- Pathfinder Unchained
In this homebrew, PCs and monsters gain a "Death Spiral" mechanic that inflicts penalties to their actions when injured. This incentivizes mid-combat healing and makes combat more deadly, and the sheet's automation removes the headache of bookkeeping.
Note that this ruleset is powered by a row in the Buff Table at the bottom of the Main Sheet - if a Player selects the Endurance feat, they will need to edit the if-then formulas found there.</t>
      </text>
    </comment>
    <comment authorId="0" ref="N6">
      <text>
        <t xml:space="preserve">-- Standard Skills
Includes Pathfinder Unchained's new skills "Artistry" and "Lore". These two new skills, as well as Craft, Profession, and Perform, are moved out of alphabetical order to the bottom of the Skill List.
See the note to the right for formatting instructions.
-- Background Skills
All PCs are given 2 extra skill ranks per level to be spent in "bad" skills like Appraise, Craft, or Perform.
-- Consolidated Skills
All PCs are automatically given half as many skill ranks to work with. 
~~~~~~~~~~~~~~~~~~~~~~~
3PP Rules
~~~~~~~~~~~~~~~~~~~~~~~
-- Psionics
adds two new skills to the roster: Autohypnosis and Kn. Psionics. You will need to wipe the existing skill formulas downward to erase the Background Skills formatting just like you would with the standard skill block.
-- Psionics + Background Skills
Argh. This is going to get messy. This is what you get for combining 3rd Part rules with Alt. rules.
Start by Cut/Pasting (NOT Copy Pasting) the Background Skills formatting into the empty notes section. Follow the instructions for setting up Standard Skills (wiping the formulae downwards to fill the blank spaces), then move the Background Skills formatting back into its new position.</t>
      </text>
    </comment>
    <comment authorId="0" ref="P6">
      <text>
        <t xml:space="preserve">Changing to Standard Skills requires one additional step once you reach the Main Page.
To delete the Background Skills formatting, you'll want to highlight a range like like AD32:AQ32, then duplicate or copy/paste it downwards to overwrite the inapplicable content - the formulas will take care of everything else!
~~~~~~~~~~~~~~~~~~~~~~~
Changing to Consolidated Skills will free up a ton of space, but that space will be somewhat unusable unless you also edit cell AE9 to only insert 12 rows of content instead of 34 - it's pretty easy to do so though, even if you're uncertain as to how the spreadsheet formulas work.
Depending on which class you pick, you may also have to manually enter your consolidated class skills.</t>
      </text>
    </comment>
    <comment authorId="0" ref="D8">
      <text>
        <t xml:space="preserve">...unless you know what you're doing.</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5">
      <text>
        <t xml:space="preserve">Your Age Category will adjust your ability scores. 
Note however that this is NOT connected to your actual Age number, so you can still play Discworld's Cohen the Barbarian without the crippling Venerable penalties if your GM allows. Blank or Error values default to "Adult" in the code.
Young:
-2 Str/Con/Wis; +2 Dex
(Note that Young Characters are normally restricted to NPC classes only - GM approval may bypass this, of course.)
Adult:
-0 Str/Dex/Con; +0 Int/Wis/Cha
Middle-Aged:
-1 Str/Dex/Con; +1 Int/Wis/Cha
Old: 
-3 Str/Dex/Con; +2 Int/Wis/Cha
Venerable:
-6 Str/Dex/Con; +3 Int/Wis/Cha</t>
      </text>
    </comment>
    <comment authorId="0" ref="N73">
      <text>
        <t xml:space="preserve">Apply all non-Natural Armor bonuses to AC here.
Note that Enhancement bonuses to Armor (such as from Magic Vestment) should be coded as an "Armor" bonus. Notably, this DOES NOT STACK with the characters existing Armor. Spells like Ironbeard will need to provide an Armor bonus of...
=$0$42+{relevant spell effects}
...in order to stack directly with whatever armor the PC is wearing.</t>
      </text>
    </comment>
    <comment authorId="0" ref="O73">
      <text>
        <t xml:space="preserve">--Natural Armor
This column is required due to the ridiculous number of ways to add bonuses to Natural Armor.
-- Barkskin adds an Enhancement bonus
-- Mutagen adds an Alchemical
-- most polymorphs add Size
-- untyped racial bonuses
-- untyped class bonuses
-- etc.</t>
      </text>
    </comment>
    <comment authorId="0" ref="M38">
      <text>
        <t xml:space="preserve">Enter a number here to represent an abnormal speed multiplier when using the Run Action
"5": Run feat + Light or No Armor
"4": Run feat + Medium/Heavy Armor</t>
      </text>
    </comment>
    <comment authorId="0" ref="AA73">
      <text>
        <t xml:space="preserve">-- Off-Hand Damage
Use this to correct the damage value of effects which provide a lesser or greater damage benefit to off-hand attacks.
This value stacks with "Damage", so Power Attack and Piranha Strike should give -1 damage per increment.</t>
      </text>
    </comment>
    <comment authorId="0" ref="AB73">
      <text>
        <t xml:space="preserve">-- Two-Handed Damage
Use this to correct the damage value of effects which provide a lesser or greater damage benefit to two-handed attacks.
This value stacks with "Damage", so Power Attack should give +1 damage per increment here.</t>
      </text>
    </comment>
    <comment authorId="0" ref="AC73">
      <text>
        <t xml:space="preserve">-- First Attack Bonus
Use this to apply a bonus or penalty just to the first number in a given Full-Attack.
--True Strike
--Furious Focus (modifies Power Attack)
--Swordplay Style (modifies Combat Expertise)</t>
      </text>
    </comment>
    <comment authorId="0" ref="AA5">
      <text>
        <t xml:space="preserve">Specify here what special Racial Favored Class Option you have access to.</t>
      </text>
    </comment>
    <comment authorId="0" ref="AF73">
      <text>
        <t xml:space="preserve">-- First Attack Bonus
Use this to apply a bonus or penalty just to the first attack made in a given Full-Attack.
--True Strike</t>
      </text>
    </comment>
    <comment authorId="0" ref="AQ116">
      <text>
        <t xml:space="preserve">For some reason, having the Unchained Wound System apply a penalty to Skills causes a massive circular dependency error. Fuck if I know why... something to do with the temporary modifier to Constitution.
If anyone figures out how to fix this problem, let me know. I'm stumped.</t>
      </text>
    </comment>
    <comment authorId="0" ref="AA3">
      <text>
        <t xml:space="preserve">Also include bonus HP from other sources here!
-- Toughness feat
-- HP Retraining (when using an automated HP formula)
-- Mythic Tiers
-- miscellaneous class features or magic items</t>
      </text>
    </comment>
    <comment authorId="0" ref="AG73">
      <text>
        <t xml:space="preserve">-- Caster Level
Use this to apply a temporary bonus or penalty to your Caster Level
-- Magic-supercharging McGuffin artifact
-- Negative Levels
-- Unchained Wound System</t>
      </text>
    </comment>
    <comment authorId="0" ref="B41">
      <text>
        <t xml:space="preserve">Misc. Armor Check Penalty Skill Modifiers (Positive is good):
- Fighter Armor Training
- Mithril or Darkleaf Armor (+2)
- "Armor Expert" Trait</t>
      </text>
    </comment>
    <comment authorId="0" ref="AH73">
      <text>
        <t xml:space="preserve">1 = Two Weapon Fighting
2 = Improved Two Weapon Fighting
3 = Greater Two Weapon Fighting
4 = "Perfect TWF"; (unattainable by base game as far as I know, but supported anyways.)
&gt;4 = no</t>
      </text>
    </comment>
    <comment authorId="0" ref="C41">
      <text>
        <t xml:space="preserve">Miscellaneous Maximum Dexterity Modifiers (Positive is good):
- Fighter Armor Training
- Celestial Armor
</t>
      </text>
    </comment>
    <comment authorId="0" ref="AI73">
      <text>
        <t xml:space="preserve">Haste and Haste-like effects (which do not stack) are the only ways to attain extra melee attacks. Only values of 0 or 1 are supported. 
Unchained Monks can get their extra attacks by selecting Monk Unchained attack variants in the Melee category of the attack block.</t>
      </text>
    </comment>
    <comment authorId="0" ref="D41">
      <text>
        <t xml:space="preserve">Enter either "Mwk" or a value from 0 to 5 here. Numbers higher than 5 are supported by the sheet... just not so much the game.
(Except for Bracers of Armor! Those count as Clothing with up to a +8 Enhancement bonus)</t>
      </text>
    </comment>
    <comment authorId="0" ref="AJ73">
      <text>
        <t xml:space="preserve">There is some controversy over whether Rapid Shot stacks with Haste, and no official word from the devs. Haste says that "this effect is not cumulative with similar effects", but the question is whether Rapid Shot counts as a similar effect. Ask your GM for their ruling. 
BY DEFAULT, THIS FORMULA ASSUMES NO STACKING.
1 = Rapid Shot
2 = Rapid Shot + Haste or Mythic Rapid Shot
3 = lol Mythic Rapid Shot + Haste</t>
      </text>
    </comment>
    <comment authorId="0" ref="I8">
      <text>
        <t xml:space="preserve">If you want to track your Level Up, Racial, or Mythic bonuses, consider writing this number as a formula instead of a flat number.
So, your Elf Rogue might have a DEX of "=14+2" instead of just "16", or your Mythic Half Orc Barbarian may have a STR of "=18+2+1+1+6" instead of "28".</t>
      </text>
    </comment>
    <comment authorId="0" ref="J8">
      <text>
        <t xml:space="preserve">Use this column for Ability boosting Wondrous Items like a Belt of Giant Strength or a Headband of Vast Intellect.</t>
      </text>
    </comment>
    <comment authorId="0" ref="K8">
      <text>
        <t xml:space="preserve">Inherent Bonuses are gained either via plot or through late-game applications of *Wish*, *Miracle*, or Ability-boosting Tomes.</t>
      </text>
    </comment>
    <comment authorId="0" ref="AR73">
      <text>
        <t xml:space="preserve">Initiative is included here because it is technically a Dexterity Check - effects which boost "all skills and ability checks" also boost Initiative. Also Ranger Favored Terrain.
To add a bonus to a specific skill or skills, obey the following rules:
1. A single cell can add a bonus to multiple skills, so long as the skills are spelled correctly and capitalized properly. The formula does not care how you separate the words, or even if you separate them at all. ("StealthPerception" = good; "stealth" = bad)
2. Bonuses of different magnitude cannot be included in the same cell. 
--Good: Stealth, Fly +2 
--Bad: Stealth +2, Fly +4 
         (= +24 to both skills)
For DR, the input should be:
DR X (Type of DR)</t>
      </text>
    </comment>
    <comment authorId="0" ref="M8">
      <text>
        <t xml:space="preserve">Make a note of any Ability Damage or Drain here.</t>
      </text>
    </comment>
    <comment authorId="0" ref="AQ5">
      <text>
        <t xml:space="preserve">This cell is not included in the Total Level below - this lets you denote your Mythic Tiers while keeping any relevant HD calculations accurate.
To change this, just edit the SUM() formula in the cell below.</t>
      </text>
    </comment>
    <comment authorId="0" ref="M39">
      <text>
        <t xml:space="preserve">Add this value to your base speeds *before multiplication* for effects that boost your speeds for charge/run actions
-- 10 Fiendish Sprinter</t>
      </text>
    </comment>
    <comment authorId="0" ref="X16">
      <text>
        <t xml:space="preserve">For characters with a base Natural Armor, enter it as a Buff or Magical Protective (Untyped bonus to Natural Armor).</t>
      </text>
    </comment>
    <comment authorId="0" ref="M37">
      <text>
        <t xml:space="preserve">(Capitalization does not matter here, so long as the spelling is correct. Bonuses are automatically applied to the Fly skill, regardless of whether or not you actually possess a Fly speed.)
Clumsy    -8
Poor        -4
Average  +0
Good      +4
Perfect   +8</t>
      </text>
    </comment>
    <comment authorId="0" ref="B25">
      <text>
        <t xml:space="preserve">Miscellaneous Attack Bonuses:
- Weapon Focus
- Improved Trip
- Combat Casting</t>
      </text>
    </comment>
    <comment authorId="0" ref="C25">
      <text>
        <t xml:space="preserve">Miscellaneous Damage:
- Weapon Specialization
- Fighter Weapon Training</t>
      </text>
    </comment>
    <comment authorId="0" ref="D25">
      <text>
        <t xml:space="preserve">Weapon Enhancement:
0  - Mundane Weapon
Mwk- +1 hit
+1 - overcomes DR/magic
+3 - overcomes DR/Cold     
    Iron and DR/Silver
+4 - overcomes 
    DR/Adamantine (does 
    not gain other 
    properties of 
    Adamantine)
+5 - overcomes 
    DR/[alignment]
+6 - overcomes 
    DR/Epic (just type 
    it in instead of 
    selecting a value)</t>
      </text>
    </comment>
    <comment authorId="0" ref="R37">
      <text>
        <t xml:space="preserve">Note the sources of any miscellaneous bonuses to initiative here.
-- Ioun Stones, Class Features, Feats, Traits, etc.</t>
      </text>
    </comment>
    <comment authorId="0" ref="S37">
      <text>
        <t xml:space="preserve">Temporary initiative boosts, such as from Ranger Favored Terrain, are drawn from the "Specified Skills &amp; Initiative" column of the effect table below.</t>
      </text>
    </comment>
    <comment authorId="0" ref="Y39">
      <text>
        <t xml:space="preserve">Negative Levels are special - rather than being controlled just by an ISBLANK( ) conditional, the value you type here will carry into the actual numerical penalties suffered by your character - if you get hit by a Maximized Enervate (you poor bastard), you'd type a "4" here, for example.
You can get clever with this to change other custom effects based on what you type in! With a few IF( ) statements, you could put several similar effects into one row - are you gaining a +1 from Coordinated Shot, or +2 because your allies are flanking your target?</t>
      </text>
    </comment>
    <comment authorId="0" ref="AA4">
      <text>
        <t xml:space="preserve">Also include bonus skill ranks from other sources here!
--Humans' "Skilled" racial trait
--Class Archetypes with extra skill ranks per level
--"Fake" skill ranks from feats and features like Versatile Performance and Owl Style (use formulas to make these easier to math out)</t>
      </text>
    </comment>
    <comment authorId="0" ref="U25">
      <text>
        <t xml:space="preserve">Input your weapon and bonus damage dice here, or write formulas here to toggle your weapon damage between multiple states. The text color will make any entry in these cells invisible against the background.
Examples:
(Flaming Greatsword) 
   2d6 + 1d6
(Enlarge Person Greataxe) 
   =IF(F5="L", 3d6, 1d12)</t>
      </text>
    </comment>
    <comment authorId="0" ref="B5">
      <text>
        <t xml:space="preserve">Enter your base size here (defaults to Medium)
Fine
Diminutive
Tiny
Small
Medium
Large
Huge
Gargantuan
Colossal</t>
      </text>
    </comment>
    <comment authorId="0" ref="AK72">
      <text>
        <t xml:space="preserve">Insert relative size change as a number here
-- Reduce Person -1
-- Enlarge Person +1
-- Giant Form II +2 (base Medium)
-- Giant Form II +3 (base Small)</t>
      </text>
    </comment>
    <comment authorId="0" ref="AL72">
      <text>
        <t xml:space="preserve">Note that the default "natural" Speed values are Size type. Spells which grant new movement modes (such as Monkey Fish or Fly) should be input as Size buffs - NOT untyped. This means that a shapeshifting character can safely input the true move speeds of his favorite polymorph forms.
Other types of boosts will only alter speeds which already have a Size bonus in them. 
A special exception has also been coded to make "Dodge" bonuses to Speed equivalent to Enhancement bonuses, which should cover Haste and Haste-Like spells.
Effects which multiply your speed (such as Entangled or Exhausted) can be input by using x as a multiplication sign
-- x0.5</t>
      </text>
    </comment>
    <comment authorId="0" ref="D5">
      <text>
        <t xml:space="preserve">Do no edit this Cell - it is referenced by formulas elsewhere and changes when you activate effects like Enlarge Person.</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T3">
      <text>
        <t xml:space="preserve">You can also just paste the unique sheet ID code instead of the whole URL. Googlesheets is smart!</t>
      </text>
    </comment>
    <comment authorId="0" ref="BT4">
      <text>
        <t xml:space="preserve">Type this code into the "Carried?" column of the table below to signify that your Companion is carrying it instead of you. You can make up whatever code you like, or you can even use a code not listed here like "Home" to signify gear that you're not carrying at all.</t>
      </text>
    </comment>
    <comment authorId="0" ref="BT2">
      <text>
        <t xml:space="preserve">Type in whichever letter or word to filter the weight column of the "Other Gear + Encumbrance" table. The associated weight*quantity value will be applied against that load.</t>
      </text>
    </comment>
    <comment authorId="0" ref="BL9">
      <text>
        <t xml:space="preserve">A blank value in this column means that an object is carried on your person and applies towards your encumbrance.
A value of "H", "A", "B" or whatever other custom letters or words that you enter in the Gear Storage box will cause the item's weight to be tallied under that category instead (See Below).</t>
      </text>
    </comment>
    <comment authorId="0" ref="BN10">
      <text>
        <t xml:space="preserve">Small armor weighs half as much; Large armor weighs twice as much.
Ditto for weapons.</t>
      </text>
    </comment>
    <comment authorId="0" ref="AC4">
      <text>
        <t xml:space="preserve">Insert bonus Strength for Carry Capacity here.
-- +1 Masterwork Backpack
-- +8 Heavyload Belt (only 3kgp to add as a x1.5cost secondary enchantment to a stat-boosting belt!)</t>
      </text>
    </comment>
    <comment authorId="0" ref="BN9">
      <text>
        <t xml:space="preserve">Weight per unit. This value will automatically be multiplied in the sum below.</t>
      </text>
    </comment>
    <comment authorId="0" ref="AE4">
      <text>
        <t xml:space="preserve">Insert Carry Capacity multipliers here. If you or your companion is a quadruped (such as most mounts) you'll need to enter that too. Size SHOULD be automated, but if its not working, those values are listed here too.
--Ant Haul 3
--Quadruped 1.5
~~~~~~~~~~~~~~~~
--Fine 0.125
--Diminutive 0.25
--Tiny 0.5
--Small 0.75
--Medium 1
--Large 2
--Huge 4
--Gargantuan 8
--Colossal 16</t>
      </text>
    </comment>
    <comment authorId="0" ref="BN5">
      <text>
        <t xml:space="preserve">Use these dropdowns to add a capacity category via some form of extradimensional space!
The Bag of Holding (etc.) will still apply its default load to your character (or your companion, if that's who's holding it in the Carried Column).
If you have a bag of some kind that's not listed here, you can enter custom stats for one over to the right in the Hidden Columns.</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G69">
      <text>
        <t xml:space="preserve">Note the sources of any miscellaneous bonuses or penalties here... but only those that apply universally to all spells.
-- Ioun Stones
-- Trait bonuses
-- Tertiary Caster Penalties (Ranger, Paladin, etc.)</t>
      </text>
    </comment>
    <comment authorId="0" ref="G67">
      <text>
        <t xml:space="preserve">Note the sources of any miscellaneous bonuses or penalties.
-- Prestige Class levels
-- Homebrew Shenanigans</t>
      </text>
    </comment>
    <comment authorId="0" ref="G30">
      <text>
        <t xml:space="preserve">Note the sources of any miscellaneous bonuses or penalties here... but only those that apply universally to all spells.
-- Ioun Stones
-- Trait bonuses
-- Tertiary Caster Penalties (Ranger, Paladin, etc.)</t>
      </text>
    </comment>
    <comment authorId="0" ref="G28">
      <text>
        <t xml:space="preserve">Note the sources of any miscellaneous bonuses or penalties.
-- Prestige Class levels
-- Homebrew Shenanigans</t>
      </text>
    </comment>
    <comment authorId="0" ref="G90">
      <text>
        <t xml:space="preserve">Note the sources of any miscellaneous bonuses or penalties here... but only those that apply universally to all spells.
-- Ioun Stones
-- Trait bonuses
-- Tertiary Caster Penalties (Ranger, Paladin, etc.)</t>
      </text>
    </comment>
    <comment authorId="0" ref="D53">
      <text>
        <t xml:space="preserve">Negative Levels provide a penalty here. Try to avoid them!</t>
      </text>
    </comment>
    <comment authorId="0" ref="H57">
      <text>
        <t xml:space="preserve">Blood, Interface, Ring, Storm, Ring</t>
      </text>
    </comment>
    <comment authorId="0" ref="G88">
      <text>
        <t xml:space="preserve">Note the sources of any miscellaneous bonuses or penalties.
-- Prestige Class levels
-- Homebrew Shenanigans</t>
      </text>
    </comment>
    <comment authorId="0" ref="D115">
      <text>
        <t xml:space="preserve">Negative Levels provide a penalty here. Try to avoid them!</t>
      </text>
    </comment>
    <comment authorId="0" ref="G53">
      <text>
        <t xml:space="preserve">Note the sources of any miscellaneous bonuses or penalties here... but only those that apply universally to all spells.
-- Ioun Stones
-- Trait bonuses
-- Tertiary Caster Penalties (Ranger, Paladin, etc.)</t>
      </text>
    </comment>
    <comment authorId="0" ref="D146">
      <text>
        <t xml:space="preserve">Negative Levels provide a penalty here. Try to avoid them!</t>
      </text>
    </comment>
    <comment authorId="0" ref="G20">
      <text>
        <t xml:space="preserve">Note the sources of any miscellaneous bonuses or penalties here... but only those that apply universally to all spells.
-- Ioun Stones
-- Trait bonuses
-- Tertiary Caster Penalties (Ranger, Paladin, etc.)</t>
      </text>
    </comment>
    <comment authorId="0" ref="G51">
      <text>
        <t xml:space="preserve">Note the sources of any miscellaneous bonuses or penalties.
-- Prestige Class levels
-- Homebrew Shenanigans</t>
      </text>
    </comment>
    <comment authorId="0" ref="G18">
      <text>
        <t xml:space="preserve">Note the sources of any miscellaneous bonuses or penalties.
-- Prestige Class levels
-- Homebrew Shenanigans</t>
      </text>
    </comment>
    <comment authorId="0" ref="D70">
      <text>
        <t xml:space="preserve">Negative Levels provide a penalty here. Try to avoid them!</t>
      </text>
    </comment>
    <comment authorId="0" ref="F134">
      <text>
        <t xml:space="preserve">Use the table to calculate it, I couldn't figure out how to do it well automatically</t>
      </text>
    </comment>
    <comment authorId="0" ref="D31">
      <text>
        <t xml:space="preserve">Negative Levels provide a penalty here. Try to avoid them!</t>
      </text>
    </comment>
    <comment authorId="0" ref="D91">
      <text>
        <t xml:space="preserve">Negative Levels provide a penalty here. Try to avoid them!</t>
      </text>
    </comment>
    <comment authorId="0" ref="D58">
      <text>
        <t xml:space="preserve">Negative Levels provide a penalty here. Try to avoid them!</t>
      </text>
    </comment>
    <comment authorId="0" ref="D56">
      <text>
        <t xml:space="preserve">Negative Levels provide a penalty here. Try to avoid them!</t>
      </text>
    </comment>
    <comment authorId="0" ref="D54">
      <text>
        <t xml:space="preserve">Negative Levels provide a penalty here. Try to avoid them!</t>
      </text>
    </comment>
    <comment authorId="0" ref="D21">
      <text>
        <t xml:space="preserve">Negative Levels provide a penalty here. Try to avoid them!</t>
      </text>
    </comment>
    <comment authorId="0" ref="G52">
      <text>
        <t xml:space="preserve">Note the sources of any miscellaneous bonuses or penalties here... but only those that apply universally to all spells.
-- Ioun Stones
-- Trait bonuses
-- Tertiary Caster Penalties (Ranger, Paladin, etc.)</t>
      </text>
    </comment>
    <comment authorId="0" ref="G114">
      <text>
        <t xml:space="preserve">Note the sources of any miscellaneous bonuses or penalties here... but only those that apply universally to all spells.
-- Ioun Stones
-- Trait bonuses
-- Tertiary Caster Penalties (Ranger, Paladin, etc.)</t>
      </text>
    </comment>
    <comment authorId="0" ref="G145">
      <text>
        <t xml:space="preserve">Note the sources of any miscellaneous bonuses or penalties here... but only those that apply universally to all spells.
-- Ioun Stones
-- Trait bonuses
-- Tertiary Caster Penalties (Ranger, Paladin, etc.)</t>
      </text>
    </comment>
    <comment authorId="0" ref="G112">
      <text>
        <t xml:space="preserve">Note the sources of any miscellaneous bonuses or penalties.
-- Prestige Class levels
-- Homebrew Shenanigans</t>
      </text>
    </comment>
    <comment authorId="0" ref="G143">
      <text>
        <t xml:space="preserve">Note the sources of any miscellaneous bonuses or penalties.
-- Prestige Class levels
-- Homebrew Shenanigans</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J137">
      <text>
        <t xml:space="preserve">5/7</t>
      </text>
    </comment>
    <comment authorId="0" ref="J160">
      <text>
        <t xml:space="preserve">5/7</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3">
      <text>
        <t xml:space="preserve">Choose any 1 knowledge skill as an Aberration class skill (not automated).
</t>
      </text>
    </comment>
    <comment authorId="0" ref="A74">
      <text>
        <t xml:space="preserve">Outsiders and Eidolons select any 4 additional skills as class skills.</t>
      </text>
    </comment>
    <comment authorId="0" ref="A73">
      <text>
        <t xml:space="preserve">Outsiders and Eidolons select any 4 additional skills as class skills.</t>
      </text>
    </comment>
    <comment authorId="0" ref="A72">
      <text>
        <t xml:space="preserve">Outsiders and Eidolons select any 4 additional skills as class skills.</t>
      </text>
    </comment>
    <comment authorId="0" ref="A231">
      <text>
        <t xml:space="preserve">Wilders with the Pain Surge add Heal as a Class Skill</t>
      </text>
    </comment>
    <comment authorId="0" ref="A38">
      <text>
        <t xml:space="preserve">Experts may choose any 10 skills to be their Class Skills.</t>
      </text>
    </comment>
    <comment authorId="0" ref="A226">
      <text>
        <t xml:space="preserve">Seer (Clairsentience): Add Diplomacy and Perception
Shaper (Metacreativity): Add Bluff, Disguise, and Use Magic Device.
Kineticist (Psychokinesis): Add Disable Device and Intimidate.
Egoist (Psychometabolism): Add Acrobatics and Heal.
Nomad (Psychoportation): Add Climb, Fly, Survival, and Swim.
Telepath (Telepathy): Add Bluff, Diplomacy, and Sense Motive.
Generalist (None): Add Use Magic Device and any one skill chosen from the above discipline lists.</t>
      </text>
    </comment>
  </commentList>
</comments>
</file>

<file path=xl/sharedStrings.xml><?xml version="1.0" encoding="utf-8"?>
<sst xmlns="http://schemas.openxmlformats.org/spreadsheetml/2006/main" count="9671" uniqueCount="1439">
  <si>
    <t xml:space="preserve">   This sheet is free to use, but a Paypal link is listed below. Maintaining this old gal is a labor of love that requires many sleepless hours, so if you feel that this project is worthy, please consider donating a small amount. :)
   I want to thank Paizo for creating an awesome game, my friends and fellow gamers for playing it with me, and /r/pathfinder_rpg for being an awesome community.</t>
  </si>
  <si>
    <t>Welcome to the Pathfinder AutoSheet v6!</t>
  </si>
  <si>
    <t>To use this character sheet, you must first copy it to your own Google Drive. You will then have full Edit access to that version.</t>
  </si>
  <si>
    <t>Email:</t>
  </si>
  <si>
    <t>autopathfindersheet@gmail.com</t>
  </si>
  <si>
    <t>Reddit:</t>
  </si>
  <si>
    <t>/u/darthmarth28</t>
  </si>
  <si>
    <t>Paypal Link:</t>
  </si>
  <si>
    <t>https://www.paypal.com/cgi-bin/webscr?cmd=_donations&amp;business=SQ5H3R27U4L68&amp;lc=US&amp;item_name=Automated%20Pathfinder%20Character%20Sheet&amp;currency_code=USD&amp;bn=PP%2dDonationsBF%3abtn_donate_SM%2egif%3aNonHosted</t>
  </si>
  <si>
    <t>Category Filter</t>
  </si>
  <si>
    <t>Class</t>
  </si>
  <si>
    <t>HD</t>
  </si>
  <si>
    <t>Skills</t>
  </si>
  <si>
    <t>BAB</t>
  </si>
  <si>
    <t>Fort</t>
  </si>
  <si>
    <t>Reflex</t>
  </si>
  <si>
    <t>Will</t>
  </si>
  <si>
    <t>Level</t>
  </si>
  <si>
    <t>The most up to date Version is:</t>
  </si>
  <si>
    <t>Charlie</t>
  </si>
  <si>
    <t>Neutral</t>
  </si>
  <si>
    <r>
      <rPr>
        <rFont val="arial,sans,sans-serif"/>
        <b/>
        <sz val="8.0"/>
      </rPr>
      <t>White cells</t>
    </r>
    <r>
      <rPr>
        <rFont val="arial,sans,sans-serif"/>
        <sz val="8.0"/>
      </rPr>
      <t xml:space="preserve"> are not referenced by anything - write notes here!</t>
    </r>
  </si>
  <si>
    <t>Runecarved Human</t>
  </si>
  <si>
    <t>Medium</t>
  </si>
  <si>
    <t>Favored Class Bonuses</t>
  </si>
  <si>
    <t>Akashic Classes</t>
  </si>
  <si>
    <t>Rajah</t>
  </si>
  <si>
    <t>Alt. Rules:</t>
  </si>
  <si>
    <r>
      <rPr>
        <rFont val="arial,sans,sans-serif"/>
        <b/>
        <sz val="8.0"/>
      </rPr>
      <t>Yellow cells</t>
    </r>
    <r>
      <rPr>
        <rFont val="arial,sans,sans-serif"/>
        <sz val="8.0"/>
      </rPr>
      <t xml:space="preserve"> are referenced by formulas and refer to pluses</t>
    </r>
  </si>
  <si>
    <t>Unchained Skills</t>
  </si>
  <si>
    <t>Background Skills</t>
  </si>
  <si>
    <t>This sheet is:</t>
  </si>
  <si>
    <t>v6.2.1</t>
  </si>
  <si>
    <r>
      <rPr>
        <rFont val="arial,sans,sans-serif"/>
        <b/>
        <sz val="8.0"/>
      </rPr>
      <t>Red cells</t>
    </r>
    <r>
      <rPr>
        <rFont val="arial,sans,sans-serif"/>
        <sz val="8.0"/>
      </rPr>
      <t xml:space="preserve"> are referenced by formulas and refer to minuses</t>
    </r>
  </si>
  <si>
    <t>SPELLCASTING</t>
  </si>
  <si>
    <t>Character Name</t>
  </si>
  <si>
    <t>Wound Thresholds</t>
  </si>
  <si>
    <t>INACTIVE</t>
  </si>
  <si>
    <t>Alignment</t>
  </si>
  <si>
    <t>Race</t>
  </si>
  <si>
    <t>Deity</t>
  </si>
  <si>
    <t>XP Growth Rate</t>
  </si>
  <si>
    <t>Bonus HP</t>
  </si>
  <si>
    <t>3PP-Martial</t>
  </si>
  <si>
    <r>
      <rPr>
        <rFont val="Calibri"/>
      </rPr>
      <t xml:space="preserve">(To reveal this hidden section, click the arrows in the Row Numbers to the </t>
    </r>
    <r>
      <rPr>
        <rFont val="Calibri"/>
        <b/>
      </rPr>
      <t>far left edge</t>
    </r>
    <r>
      <rPr>
        <rFont val="Calibri"/>
      </rPr>
      <t xml:space="preserve"> of the screen)</t>
    </r>
  </si>
  <si>
    <t>Equipment</t>
  </si>
  <si>
    <t>Stalker</t>
  </si>
  <si>
    <r>
      <rPr>
        <rFont val="arial,sans,sans-serif"/>
        <b/>
        <sz val="8.0"/>
      </rPr>
      <t>Grey cells</t>
    </r>
    <r>
      <rPr>
        <rFont val="arial,sans,sans-serif"/>
        <sz val="8.0"/>
      </rPr>
      <t xml:space="preserve"> contain formulas, and should not be edited!</t>
    </r>
  </si>
  <si>
    <t>(To hide this row completely, right-click the Row Number and select "Hide Row")</t>
  </si>
  <si>
    <t>Player Character's Encumbrance</t>
  </si>
  <si>
    <t>Minimum 4+INT skill ranks</t>
  </si>
  <si>
    <t>Companion Encumbrance</t>
  </si>
  <si>
    <t>CANTRIPS/ORISONS</t>
  </si>
  <si>
    <t>Don't worry, its safe. Click "Advanced" to proceed.
Ctrl+z works to undo the effects of the script</t>
  </si>
  <si>
    <t>Gear Storage</t>
  </si>
  <si>
    <t>"Carried?" Code</t>
  </si>
  <si>
    <t>Mini-FAQ (Permissions and Compatibility):</t>
  </si>
  <si>
    <t>Capacity</t>
  </si>
  <si>
    <t xml:space="preserve">Other Pathfinder Resources by me: </t>
  </si>
  <si>
    <t>Bonus Skills</t>
  </si>
  <si>
    <t>Status</t>
  </si>
  <si>
    <t>"File" -&gt; "Make a Copy"</t>
  </si>
  <si>
    <t>Monstrous</t>
  </si>
  <si>
    <t>Protips:</t>
  </si>
  <si>
    <r>
      <rPr/>
      <t xml:space="preserve">&gt; </t>
    </r>
    <r>
      <rPr>
        <b/>
      </rPr>
      <t>No, I will not grant you access to this sheet.</t>
    </r>
    <r>
      <rPr/>
      <t xml:space="preserve"> This is the Master. You may not build your PC on it. My Gmail automatically filters requests.</t>
    </r>
  </si>
  <si>
    <r>
      <rPr>
        <sz val="8.0"/>
      </rPr>
      <t xml:space="preserve">Massive, comprehensive, and automatically updating. Copy/Paste the address of your copied sheet to link this seperate GooglyDoc to your PC.
(See </t>
    </r>
    <r>
      <rPr>
        <b/>
        <sz val="8.0"/>
      </rPr>
      <t>ImportRange permissions</t>
    </r>
    <r>
      <rPr>
        <sz val="8.0"/>
      </rPr>
      <t xml:space="preserve"> protip to the right if you're having difficulties - sharing permissions are important!)</t>
    </r>
  </si>
  <si>
    <t>1ST LEVEL</t>
  </si>
  <si>
    <t>Magical Loot Storage</t>
  </si>
  <si>
    <r>
      <rPr>
        <b/>
      </rPr>
      <t>This sheet is meant to be viewed without gridlines.</t>
    </r>
    <r>
      <rPr/>
      <t xml:space="preserve"> It will look super ugly if you have them enabled. To toggle gridlines, go to "View", then uncheck "Gridlines"</t>
    </r>
  </si>
  <si>
    <r>
      <rPr>
        <b/>
        <i/>
      </rPr>
      <t>I followed the link to make a copy, but it still isn't letting me Edit.</t>
    </r>
    <r>
      <rPr>
        <i/>
      </rPr>
      <t xml:space="preserve">
&gt; </t>
    </r>
    <r>
      <rPr>
        <i val="0"/>
      </rPr>
      <t>If the provided link doesn't work, try making a manual copy to your personal Drive by going to "File" -&gt; "Make a Copy". If that's still giving you grief, double check that it is "Copy of Pathfinder Autosheet" and that it is from your Google Drive - the most common error I've seen is being signed into alternate work or school Google accounts.</t>
    </r>
  </si>
  <si>
    <t>2ND LEVEL</t>
  </si>
  <si>
    <t>Companion:</t>
  </si>
  <si>
    <r>
      <rPr>
        <b/>
      </rPr>
      <t xml:space="preserve">Hover over this cell to learn how to Insert Notes
</t>
    </r>
    <r>
      <rPr>
        <b val="0"/>
      </rPr>
      <t>Notes are a HUGE asset to minutia tracking - very important for when the GM asks how in the hell you have a +59 to Stealth checks without Invisibility.</t>
    </r>
  </si>
  <si>
    <t>Are you a pack rat? an OCD neat-freak? Does your GM force your party to actually track encumbrance? This Equipment page has you covered. Features multiple sections to sort your gear and automatically calculates carry capacity for you, your magical bags, AND a pack animal!</t>
  </si>
  <si>
    <t>3RD LEVEL</t>
  </si>
  <si>
    <t>Adult</t>
  </si>
  <si>
    <r>
      <rPr>
        <b/>
      </rPr>
      <t xml:space="preserve">Named Ranges: </t>
    </r>
    <r>
      <rPr>
        <b val="0"/>
      </rPr>
      <t>many important values can now be used by directly typing their names into formulas. For a complete list, see "Data" --&gt; "Named Ranges".</t>
    </r>
  </si>
  <si>
    <t>4TH LEVEL</t>
  </si>
  <si>
    <r>
      <rPr>
        <b/>
        <i/>
      </rPr>
      <t>I can't find feature X that was in Autosheet v5, what gives?</t>
    </r>
    <r>
      <rPr>
        <i/>
      </rPr>
      <t xml:space="preserve">
</t>
    </r>
    <r>
      <rPr/>
      <t>&gt; Some of v6's functionality has been split over multiple spreadsheets. Cohorts and Animal Companions should get their own sheet, the old-school Spell Sheet is a standalone now (see right), and Encumbrance-tracking madmen can find that feature in the Equipment Tracker (ditto). While it IS possible to reintigrate these support sheets, doing so is difficult and may make the sheet laggy and less responsive. I suggest pasting a hyperlink to your support sheets into the Main Sheet's note section.</t>
    </r>
  </si>
  <si>
    <t>Size:</t>
  </si>
  <si>
    <t>Other Bonus</t>
  </si>
  <si>
    <t>Input Treasure and XP into this chart to track your progress as you adventure. Easily divide your rewards fairly. Also has calculations for debts, loans, and of course XP tracking. Every party should have 1 shared copy of this sheet.
Also contains an automated GM Reference Screen</t>
  </si>
  <si>
    <t>SPELL-LIKE ABILITIES</t>
  </si>
  <si>
    <r>
      <rPr>
        <b/>
      </rPr>
      <t>Printing this character sheet</t>
    </r>
    <r>
      <rPr/>
      <t>: I recommend 69% zoom, Narrow Margins, and Portrait orientation. This cuts the less-important right-hand edge of the sheet off while retaining all of the critical information. I also recommend:
1. Replacing the Quick Toggle section with large resource-tracking boxes
2. Add 13 rows above Spellcasting to place that section entirely on the second page instead of being cut in half by the page break (or delete/hide rows 59-68 if you're a tertiary caster). Maybe move the Resources, Magic Items, and Notes sections that would otherwise be deleted over to this new space.
3. Edit the HP box to   ="           / " &amp; $AK$6
4. Print in Black and White, obviously</t>
    </r>
  </si>
  <si>
    <t>You probably don't need this, but my players do. Have a look if you'd like, though! 
-- Feat Tax reduction     -- Class Balancing (buffs/bans)
-- New/Modified Feats (more buffs/bans)
-- Marksman Weapons (new firearm/crossbow rules)</t>
  </si>
  <si>
    <t>Can I do a thing with this sheet?</t>
  </si>
  <si>
    <t>Spellcasting Notes</t>
  </si>
  <si>
    <t>Like Pathfinder? Like Sci-Fi? You're probably already a fan of Starfinder. The Starfinder Autosheet contains all the goodies and tricks of the Pathfinder Autosheet, combined with a sweet sci-fi color scheme.</t>
  </si>
  <si>
    <t>&gt; You may use or modify this sheet for any non-commercial purpose. You may link to this sheet from other websites, but you may not rehost this sheet as your own work.</t>
  </si>
  <si>
    <t>Max Dex</t>
  </si>
  <si>
    <t>(still incomplete / in Beta)</t>
  </si>
  <si>
    <t>Check Penalty</t>
  </si>
  <si>
    <t>My internet is terrible. Can I use this offline?</t>
  </si>
  <si>
    <t>The previous-gen Autosheet, if for some reason you decide this one is ugly and everything is terrible about it... or if it breaks for some strange reason and I can't figure out why for a while.</t>
  </si>
  <si>
    <r>
      <rPr>
        <b/>
      </rPr>
      <t>ImportRange updates</t>
    </r>
    <r>
      <rPr>
        <b val="0"/>
      </rPr>
      <t xml:space="preserve"> only when something else on the sheet is changed, NOT a timer, so if you're trying to keep something like the "Party Treasure, XP, and GM Reference" sheet synced, all you need to do is type a quick string of gibberish in the margins, hit Enter, and re-delete it.</t>
    </r>
  </si>
  <si>
    <t>Speed</t>
  </si>
  <si>
    <t xml:space="preserve">&gt; To use the autosheet offline, try downloading the offline Googlesheets app. The AutoSpellcasting Sheet ABSOLUTELY will not work, but everything else should. Unfortunately, this sheet isn't compatible with Microsoft Excel. Many of its important formulas rely on GoogleSheet-only commands. </t>
  </si>
  <si>
    <t>Disguise Self</t>
  </si>
  <si>
    <t>Invisibility</t>
  </si>
  <si>
    <t>Base/Current Size</t>
  </si>
  <si>
    <t>Age Category</t>
  </si>
  <si>
    <t>Experience Points</t>
  </si>
  <si>
    <t>Gestalt</t>
  </si>
  <si>
    <r>
      <rPr>
        <b/>
      </rPr>
      <t xml:space="preserve">ImportRange permissions </t>
    </r>
    <r>
      <rPr>
        <b val="0"/>
      </rPr>
      <t>may cause an error for the AutoSpellcasting, Equipment , or Party Treasure support sheets. In order to work, these sheets need permission to access the main sheet they pull values from just like a human would. You can solve this problem by setting everything's Sharing Settings to "Viewable by Everyone with the Hyperlink".</t>
    </r>
  </si>
  <si>
    <t>PC Encumbrance</t>
  </si>
  <si>
    <t>Totals</t>
  </si>
  <si>
    <t>1/day Spell-Like Abilities</t>
  </si>
  <si>
    <t>They're actually SLAs, 1/day/ea</t>
  </si>
  <si>
    <r>
      <rPr>
        <b/>
      </rPr>
      <t xml:space="preserve">Building an Undead Character? </t>
    </r>
    <r>
      <rPr>
        <b val="0"/>
      </rPr>
      <t>You'll want to set your Constitution score equal to your Charisma score (overwrite F11 with "=F14"), with that done, you can hide the Constitution row either by filling it Black or changing the text color to the same parchment-esque yellow as the background.</t>
    </r>
  </si>
  <si>
    <t>DO NOT DELETE THIS TAB! When those grey cells in the top-right go missing, lots of things break.</t>
  </si>
  <si>
    <t>(actually just Skills, but you get the picture)</t>
  </si>
  <si>
    <t>Feel free to right click the red "Welcome Page" tab below and select "Hide Sheet" though. You can find it again by going to the top bar menu, View-&gt;Hidden Sheets</t>
  </si>
  <si>
    <r>
      <rPr>
        <b/>
      </rPr>
      <t xml:space="preserve">Massive Errors in the Skills Section </t>
    </r>
    <r>
      <rPr>
        <b val="0"/>
      </rPr>
      <t>probably originate from either trying to customize the skill list or messing up the formatting. The cell which is causing you grief is AE9 "Acrobatics", which is importing the entire 34-row list of skills from the bottom of the Formula References tab. You can either Copy AE9:AE45 and Right-Click -&gt; "Paste Special" -&gt; "Paste Values Only..." to break the OFFSET formula, or you can edit the Formula References tab to change things around.</t>
    </r>
  </si>
  <si>
    <t>Ability:</t>
  </si>
  <si>
    <t>Intelligence</t>
  </si>
  <si>
    <t>HP</t>
  </si>
  <si>
    <t>Ranks</t>
  </si>
  <si>
    <t>ABILITIES</t>
  </si>
  <si>
    <t>Score</t>
  </si>
  <si>
    <t>Modifier</t>
  </si>
  <si>
    <t>Base</t>
  </si>
  <si>
    <t>Enhance</t>
  </si>
  <si>
    <t>Inherent</t>
  </si>
  <si>
    <t>Temp.</t>
  </si>
  <si>
    <t>Penalty</t>
  </si>
  <si>
    <t>Item</t>
  </si>
  <si>
    <t>Copycat (Sp): You can create an illusory double of yourself as a move action.</t>
  </si>
  <si>
    <t>HIT POINTS</t>
  </si>
  <si>
    <t>Weight</t>
  </si>
  <si>
    <t>Total Wealth</t>
  </si>
  <si>
    <t>HP Formula:</t>
  </si>
  <si>
    <t>Maximum</t>
  </si>
  <si>
    <t>STR</t>
  </si>
  <si>
    <t xml:space="preserve"> This double functions as a single mirror image, and lasts for a number of rounds </t>
  </si>
  <si>
    <t>Per Day</t>
  </si>
  <si>
    <t>Known</t>
  </si>
  <si>
    <t>SKILLS</t>
  </si>
  <si>
    <t>Misc.</t>
  </si>
  <si>
    <t>Mult.</t>
  </si>
  <si>
    <t>Light Load</t>
  </si>
  <si>
    <t xml:space="preserve">equal to your cleric level, or until the illusory duplicate is dispelled or destroyed. </t>
  </si>
  <si>
    <t>Total</t>
  </si>
  <si>
    <t>Ability</t>
  </si>
  <si>
    <t>Size &amp;
Armor</t>
  </si>
  <si>
    <t>STRENGTH</t>
  </si>
  <si>
    <t>=</t>
  </si>
  <si>
    <t>Companion</t>
  </si>
  <si>
    <t>C</t>
  </si>
  <si>
    <t>3/day Spell-Like Abilities</t>
  </si>
  <si>
    <t xml:space="preserve">You can have no more than one copycat at a time. </t>
  </si>
  <si>
    <t>Defenses</t>
  </si>
  <si>
    <t>Paizo Base Classes (Core, APG, UM, UC, UI, UW, Unchained)</t>
  </si>
  <si>
    <t>Health</t>
  </si>
  <si>
    <t>Notes:</t>
  </si>
  <si>
    <t>Handy Haversack</t>
  </si>
  <si>
    <t xml:space="preserve">This ability does not stack with the mirror image spell. </t>
  </si>
  <si>
    <t>Gold Pieces</t>
  </si>
  <si>
    <t>gp</t>
  </si>
  <si>
    <t>[Region 1 Start]</t>
  </si>
  <si>
    <t>Ref</t>
  </si>
  <si>
    <t>Spellcasting</t>
  </si>
  <si>
    <t>11/day</t>
  </si>
  <si>
    <t>spells/day</t>
  </si>
  <si>
    <t>spells known</t>
  </si>
  <si>
    <t>Do not add or move any columns to/on this sheet; it will probably break everything.
DO feel free to add rows, though! So long as you stick to the format examples given and don't add any rows near the top of the sheet (leave 2-30 alone), it should work fine. Alphabetical Order is not necessary. If you edit anything here, you'll also need to enter a new row (for a new class) / change an existing row (to alter a class) on the Class Skills tab.</t>
  </si>
  <si>
    <t>Alchemist</t>
  </si>
  <si>
    <t xml:space="preserve"> =</t>
  </si>
  <si>
    <t>Good</t>
  </si>
  <si>
    <t>Poor</t>
  </si>
  <si>
    <t>INT</t>
  </si>
  <si>
    <t>Spellbook</t>
  </si>
  <si>
    <t>= (</t>
  </si>
  <si>
    <t>Antipaladin</t>
  </si>
  <si>
    <t>CHA</t>
  </si>
  <si>
    <t>Divine</t>
  </si>
  <si>
    <t>+</t>
  </si>
  <si>
    <t>) *</t>
  </si>
  <si>
    <t>Barbarian</t>
  </si>
  <si>
    <t>—</t>
  </si>
  <si>
    <t>Bard</t>
  </si>
  <si>
    <t>Medium Load</t>
  </si>
  <si>
    <t>Cavalier</t>
  </si>
  <si>
    <t>Cleric</t>
  </si>
  <si>
    <t>+3</t>
  </si>
  <si>
    <t>WIS</t>
  </si>
  <si>
    <t>HD Filters</t>
  </si>
  <si>
    <t>Main Sheet</t>
  </si>
  <si>
    <t>Medium
 Armor</t>
  </si>
  <si>
    <t>Spells per day</t>
  </si>
  <si>
    <t>Spells Known</t>
  </si>
  <si>
    <t>Druid</t>
  </si>
  <si>
    <t>1st Class</t>
  </si>
  <si>
    <t>2nd Class</t>
  </si>
  <si>
    <t>3rd Class</t>
  </si>
  <si>
    <t>Caster Type</t>
  </si>
  <si>
    <t>Address</t>
  </si>
  <si>
    <t>Fighter</t>
  </si>
  <si>
    <t>Hybrid</t>
  </si>
  <si>
    <t>DEXTERITY</t>
  </si>
  <si>
    <t>Prepared (Primary)</t>
  </si>
  <si>
    <t>5TH LEVEL</t>
  </si>
  <si>
    <t>To connect Encumbrance to the Main Sheet, Copy this Sheet's URL to the "Equipment URL" box in the Formula Reference page by the Armor Table.</t>
  </si>
  <si>
    <t>Bag of Holding I</t>
  </si>
  <si>
    <t>Divine Prepared</t>
  </si>
  <si>
    <t>Gold Remaining</t>
  </si>
  <si>
    <t>Gunslinger</t>
  </si>
  <si>
    <t>Occult</t>
  </si>
  <si>
    <t>Spontaneous (Primary)</t>
  </si>
  <si>
    <t>6TH LEVEL</t>
  </si>
  <si>
    <t>Spellbook (Primary)</t>
  </si>
  <si>
    <t>7TH LEVEL</t>
  </si>
  <si>
    <t>Inquisitor</t>
  </si>
  <si>
    <t>8TH LEVEL</t>
  </si>
  <si>
    <t>Prepared (Secondary)</t>
  </si>
  <si>
    <t>Familiar (Primary)</t>
  </si>
  <si>
    <t>Magus</t>
  </si>
  <si>
    <t>Paizo Prestige</t>
  </si>
  <si>
    <t>9TH LEVEL</t>
  </si>
  <si>
    <t>Spontaneous (Secondary)</t>
  </si>
  <si>
    <t>Monk</t>
  </si>
  <si>
    <t>SoP Classes</t>
  </si>
  <si>
    <t>Prepared (Tertiary)</t>
  </si>
  <si>
    <t>Spellbook (Secondary)</t>
  </si>
  <si>
    <t>At-Will Spell-Like Abilities</t>
  </si>
  <si>
    <t>Ninja</t>
  </si>
  <si>
    <t>SoM Classes</t>
  </si>
  <si>
    <t>Arcanist</t>
  </si>
  <si>
    <t>Familiar (Secondary)</t>
  </si>
  <si>
    <t>Oracle</t>
  </si>
  <si>
    <t>CotS Classes</t>
  </si>
  <si>
    <t>Bloodrager</t>
  </si>
  <si>
    <t>Bluff</t>
  </si>
  <si>
    <t>Paladin</t>
  </si>
  <si>
    <t>Ranger</t>
  </si>
  <si>
    <t>NPC</t>
  </si>
  <si>
    <t>Rogue</t>
  </si>
  <si>
    <t>Heavy Load</t>
  </si>
  <si>
    <t>3PP-Psionics</t>
  </si>
  <si>
    <t>Samurai</t>
  </si>
  <si>
    <t>Shifter</t>
  </si>
  <si>
    <t>FFd20</t>
  </si>
  <si>
    <t>Sorcerer</t>
  </si>
  <si>
    <t>Other</t>
  </si>
  <si>
    <t>+1</t>
  </si>
  <si>
    <t>Summoner</t>
  </si>
  <si>
    <t>Heavy
 Armor</t>
  </si>
  <si>
    <t>Vigilante</t>
  </si>
  <si>
    <t>Witch</t>
  </si>
  <si>
    <t>CONSTITUTION</t>
  </si>
  <si>
    <t>Wizard</t>
  </si>
  <si>
    <t>Barbarian (Unchained)</t>
  </si>
  <si>
    <t>Monk (Unchained)</t>
  </si>
  <si>
    <t>Rogue (Unchained)</t>
  </si>
  <si>
    <t>Summoner (Unchained)</t>
  </si>
  <si>
    <t>[Region 1 End]</t>
  </si>
  <si>
    <t>Bag of Holding II</t>
  </si>
  <si>
    <t>Advanced Class Guide</t>
  </si>
  <si>
    <t>Note: ACG classes are distinctly more powerful than other Base Classes. Use with caution!</t>
  </si>
  <si>
    <t>[Region 2 Start]</t>
  </si>
  <si>
    <t>(rearrange these in</t>
  </si>
  <si>
    <t>Brawler</t>
  </si>
  <si>
    <t>Climb</t>
  </si>
  <si>
    <t>Hunter</t>
  </si>
  <si>
    <t>Investigator</t>
  </si>
  <si>
    <t>Shaman</t>
  </si>
  <si>
    <t>Bag of Holding III</t>
  </si>
  <si>
    <t>Skald</t>
  </si>
  <si>
    <t>Disposable Magic (Potions, Scrolls, Wands)</t>
  </si>
  <si>
    <t>Slayer</t>
  </si>
  <si>
    <t>Swashbuckler</t>
  </si>
  <si>
    <t>Worn Magic Items (Main Sheet)</t>
  </si>
  <si>
    <t>Warpriest</t>
  </si>
  <si>
    <t xml:space="preserve">  whatever order best</t>
  </si>
  <si>
    <t>[Region 2 End]</t>
  </si>
  <si>
    <t>Occult Adventures</t>
  </si>
  <si>
    <t>[Region 3 Start]</t>
  </si>
  <si>
    <t>Kineticist</t>
  </si>
  <si>
    <t>INTELLIGENCE</t>
  </si>
  <si>
    <t>Other Gear + Encumbrance Calculations</t>
  </si>
  <si>
    <t>Medium (Archmage/Heirophant Mode)</t>
  </si>
  <si>
    <t>Mesmerist</t>
  </si>
  <si>
    <t>Bag of Holding IV</t>
  </si>
  <si>
    <t>Occultist</t>
  </si>
  <si>
    <t>Quantity</t>
  </si>
  <si>
    <t>Special</t>
  </si>
  <si>
    <t xml:space="preserve">  fits your character)</t>
  </si>
  <si>
    <t>Psychic</t>
  </si>
  <si>
    <t>Price</t>
  </si>
  <si>
    <t>Class 
Level:</t>
  </si>
  <si>
    <t>Slot</t>
  </si>
  <si>
    <t>Resistances</t>
  </si>
  <si>
    <t>Spiritualist</t>
  </si>
  <si>
    <t>[Region 3 End]</t>
  </si>
  <si>
    <t>misc.</t>
  </si>
  <si>
    <t>Monstrous HD (Bestiary)</t>
  </si>
  <si>
    <t>[Region 4 Start]</t>
  </si>
  <si>
    <t>BAB Multiplier</t>
  </si>
  <si>
    <t>Aberration</t>
  </si>
  <si>
    <t>Notes</t>
  </si>
  <si>
    <t>Diplomacy</t>
  </si>
  <si>
    <t>DC</t>
  </si>
  <si>
    <t>Constant Spell-Like Abilities</t>
  </si>
  <si>
    <t>Carried?</t>
  </si>
  <si>
    <t>Animal</t>
  </si>
  <si>
    <t>Construct</t>
  </si>
  <si>
    <t>Dragon</t>
  </si>
  <si>
    <t>Fey</t>
  </si>
  <si>
    <t>Humanoid</t>
  </si>
  <si>
    <t>Portable Hole</t>
  </si>
  <si>
    <t>inf</t>
  </si>
  <si>
    <t>Magical beast</t>
  </si>
  <si>
    <t>Monstrous Humanoid</t>
  </si>
  <si>
    <t>Ooze</t>
  </si>
  <si>
    <t>Outsider / Eidolon (Low Fortitude)</t>
  </si>
  <si>
    <t>WISDOM</t>
  </si>
  <si>
    <t>head</t>
  </si>
  <si>
    <t>Outsider / Eidolon (Low Reflex)</t>
  </si>
  <si>
    <t>Outsider / Eidolon (Low Will)</t>
  </si>
  <si>
    <t>Caster
Level:</t>
  </si>
  <si>
    <t>Plant</t>
  </si>
  <si>
    <t>Undead</t>
  </si>
  <si>
    <t>Vermin</t>
  </si>
  <si>
    <t>[Region 4 End]</t>
  </si>
  <si>
    <t>Paizo Prestige Classes</t>
  </si>
  <si>
    <t>[Region 5 Start]</t>
  </si>
  <si>
    <t>spellcasting/level</t>
  </si>
  <si>
    <t>PrC Levels</t>
  </si>
  <si>
    <t>Caster Levels</t>
  </si>
  <si>
    <t>Agent of the Grave</t>
  </si>
  <si>
    <t>Prestige Good</t>
  </si>
  <si>
    <t>Damage</t>
  </si>
  <si>
    <t>Prestige Poor</t>
  </si>
  <si>
    <t>Nonlethal</t>
  </si>
  <si>
    <t>4 / 5</t>
  </si>
  <si>
    <t>Arcane Archer</t>
  </si>
  <si>
    <t>7 / 10</t>
  </si>
  <si>
    <t>Disable Device</t>
  </si>
  <si>
    <t>Arcane Savant</t>
  </si>
  <si>
    <t>6 / 7</t>
  </si>
  <si>
    <t>Arcane Trickster</t>
  </si>
  <si>
    <t>10 / 10</t>
  </si>
  <si>
    <t>Assassin</t>
  </si>
  <si>
    <t>None</t>
  </si>
  <si>
    <t>Battle Herald</t>
  </si>
  <si>
    <t>Extradimensional Shadow</t>
  </si>
  <si>
    <t>Bloodmage</t>
  </si>
  <si>
    <t>Brightness Seeker</t>
  </si>
  <si>
    <t>Brother of the Seal</t>
  </si>
  <si>
    <t>Celestial Knight</t>
  </si>
  <si>
    <t>Champion of the Enlightened</t>
  </si>
  <si>
    <t>Chevalier</t>
  </si>
  <si>
    <t>Coastal Pirate</t>
  </si>
  <si>
    <t>Collegiate Arcanist</t>
  </si>
  <si>
    <t>headband</t>
  </si>
  <si>
    <t>Crimson Assassin</t>
  </si>
  <si>
    <t>MANEUVERS</t>
  </si>
  <si>
    <r>
      <rPr>
        <rFont val="Calibri"/>
      </rPr>
      <t xml:space="preserve">(To reveal this hidden section, click the arrows in the Row Numbers to the </t>
    </r>
    <r>
      <rPr>
        <rFont val="Calibri"/>
        <b/>
      </rPr>
      <t>far left edge</t>
    </r>
    <r>
      <rPr>
        <rFont val="Calibri"/>
      </rPr>
      <t xml:space="preserve"> of the screen)</t>
    </r>
  </si>
  <si>
    <t>Cyphermage</t>
  </si>
  <si>
    <t>Daivrat</t>
  </si>
  <si>
    <t>9 / 10</t>
  </si>
  <si>
    <t>CHARISMA</t>
  </si>
  <si>
    <t>Dark Delver</t>
  </si>
  <si>
    <t>Darkfire Adept</t>
  </si>
  <si>
    <t>Deep Sea Pirate</t>
  </si>
  <si>
    <t>Demoniac</t>
  </si>
  <si>
    <t>Diabolist</t>
  </si>
  <si>
    <t>Dissident of Dawn</t>
  </si>
  <si>
    <t>Divine Assessor</t>
  </si>
  <si>
    <t>5 / 6</t>
  </si>
  <si>
    <t>Divine Scion</t>
  </si>
  <si>
    <t>Dragon Disciple</t>
  </si>
  <si>
    <t>Duelist</t>
  </si>
  <si>
    <t>Eldritch Knight</t>
  </si>
  <si>
    <t>Envoy of Balance</t>
  </si>
  <si>
    <t>Evangelist</t>
  </si>
  <si>
    <t>Exalted</t>
  </si>
  <si>
    <t>False Priest</t>
  </si>
  <si>
    <t>Field Agent</t>
  </si>
  <si>
    <t>Furious Guardian</t>
  </si>
  <si>
    <t>Genie Binder</t>
  </si>
  <si>
    <t>5 / 5</t>
  </si>
  <si>
    <t>STANCES</t>
  </si>
  <si>
    <t>Golden Legionnaire</t>
  </si>
  <si>
    <t>Grand Marshal</t>
  </si>
  <si>
    <t>Gray Warden</t>
  </si>
  <si>
    <t>face/eyes</t>
  </si>
  <si>
    <t>Green Faith Acolyte</t>
  </si>
  <si>
    <t>Group Leader</t>
  </si>
  <si>
    <t>Guild Agent</t>
  </si>
  <si>
    <t>Guild Poisoner</t>
  </si>
  <si>
    <t>Halfling Opportunist</t>
  </si>
  <si>
    <t>Harrower</t>
  </si>
  <si>
    <t>Initiatior Notes</t>
  </si>
  <si>
    <t>Hell Knight Commander</t>
  </si>
  <si>
    <t>Disguise</t>
  </si>
  <si>
    <t>Hell Knight Enforcer</t>
  </si>
  <si>
    <t>Holy Vindicator</t>
  </si>
  <si>
    <t>Horizon Walker</t>
  </si>
  <si>
    <t>Aura of Misfortune</t>
  </si>
  <si>
    <t>Inheritor's Crusader</t>
  </si>
  <si>
    <t>3 / 3</t>
  </si>
  <si>
    <t>Woeful Burden</t>
  </si>
  <si>
    <t>Justiciar</t>
  </si>
  <si>
    <t>Mockery</t>
  </si>
  <si>
    <t>Lantern Bearer</t>
  </si>
  <si>
    <t>Liberator</t>
  </si>
  <si>
    <t>Lion Blade</t>
  </si>
  <si>
    <t>Living Monolith</t>
  </si>
  <si>
    <t>Loremaster</t>
  </si>
  <si>
    <t>Low Templar</t>
  </si>
  <si>
    <t>Mage of the Third Eye</t>
  </si>
  <si>
    <t>throat</t>
  </si>
  <si>
    <t>Mammoth Rider</t>
  </si>
  <si>
    <t>Master Chymist</t>
  </si>
  <si>
    <t>Master of Storms</t>
  </si>
  <si>
    <t>Black Seraph's Glare</t>
  </si>
  <si>
    <t>Master Spy</t>
  </si>
  <si>
    <t>Strike The Hourglass</t>
  </si>
  <si>
    <t>Mystery Cultist</t>
  </si>
  <si>
    <t>Rapid Strike</t>
  </si>
  <si>
    <t>Mystic Theurge</t>
  </si>
  <si>
    <t>Natural Alchemist</t>
  </si>
  <si>
    <t>Nature Warden</t>
  </si>
  <si>
    <t>Noble Scion</t>
  </si>
  <si>
    <t>Pain Taster</t>
  </si>
  <si>
    <t>Pathfinder Chronicler</t>
  </si>
  <si>
    <t>Pit Fighter</t>
  </si>
  <si>
    <t>Planes Walker</t>
  </si>
  <si>
    <t>Purity Legion Enforcer</t>
  </si>
  <si>
    <t>Rage Prophet</t>
  </si>
  <si>
    <t>2,3,4,6,7,9,10</t>
  </si>
  <si>
    <t>Sanctified Prophet</t>
  </si>
  <si>
    <t>Strength of Hell</t>
  </si>
  <si>
    <t>shoulders</t>
  </si>
  <si>
    <t>Sentinel</t>
  </si>
  <si>
    <t>Shadowdancer</t>
  </si>
  <si>
    <t>Sleepless Detective</t>
  </si>
  <si>
    <t>Escape Artist</t>
  </si>
  <si>
    <t>Soul Warden</t>
  </si>
  <si>
    <t>Souleater</t>
  </si>
  <si>
    <t>8 / 10</t>
  </si>
  <si>
    <t>Spherewalker</t>
  </si>
  <si>
    <t>Minute Hand</t>
  </si>
  <si>
    <t>Stalwart Defender</t>
  </si>
  <si>
    <t>Steel Falcon</t>
  </si>
  <si>
    <t>Student of War</t>
  </si>
  <si>
    <t>Sun Seeker</t>
  </si>
  <si>
    <t>Swordlord</t>
  </si>
  <si>
    <t>Tattooed Mystic</t>
  </si>
  <si>
    <t>Technomancer</t>
  </si>
  <si>
    <t>body</t>
  </si>
  <si>
    <t>Umbral Agent</t>
  </si>
  <si>
    <t>Veiled Illusionist</t>
  </si>
  <si>
    <t>Winter Witch</t>
  </si>
  <si>
    <t>[Region 5 End]</t>
  </si>
  <si>
    <t>3PP Classes</t>
  </si>
  <si>
    <t>Disturbing Blow</t>
  </si>
  <si>
    <t>[Region 6 Start]</t>
  </si>
  <si>
    <t>SAVES</t>
  </si>
  <si>
    <t>Initiatior
Level:</t>
  </si>
  <si>
    <t>Resist</t>
  </si>
  <si>
    <t>DEFENSES</t>
  </si>
  <si>
    <t>Dizzying Venom Prana</t>
  </si>
  <si>
    <t>Armorist</t>
  </si>
  <si>
    <t>Armor</t>
  </si>
  <si>
    <t>Shield</t>
  </si>
  <si>
    <t>Dex</t>
  </si>
  <si>
    <t>Size</t>
  </si>
  <si>
    <t>Natural</t>
  </si>
  <si>
    <t>Deflect</t>
  </si>
  <si>
    <t>Dodge</t>
  </si>
  <si>
    <t>Elementalist</t>
  </si>
  <si>
    <t>Eliciter</t>
  </si>
  <si>
    <t>Fey Adept</t>
  </si>
  <si>
    <t>Hedgewitch</t>
  </si>
  <si>
    <t>Incanter</t>
  </si>
  <si>
    <t>torso</t>
  </si>
  <si>
    <t>Mageknight</t>
  </si>
  <si>
    <t>Fly</t>
  </si>
  <si>
    <t>Shifter (Spheres)</t>
  </si>
  <si>
    <t>Soul Weaver</t>
  </si>
  <si>
    <t>Symbiat</t>
  </si>
  <si>
    <t>Thaumaturge</t>
  </si>
  <si>
    <t>Wraith</t>
  </si>
  <si>
    <t>Armiger</t>
  </si>
  <si>
    <t>Blacksmith</t>
  </si>
  <si>
    <t>Commander</t>
  </si>
  <si>
    <t>Conscript</t>
  </si>
  <si>
    <t>Scholar</t>
  </si>
  <si>
    <t>Striker</t>
  </si>
  <si>
    <t>Technician</t>
  </si>
  <si>
    <t>Prodigy</t>
  </si>
  <si>
    <t>Sage</t>
  </si>
  <si>
    <t>Troubadour</t>
  </si>
  <si>
    <t>Warden</t>
  </si>
  <si>
    <t>Dragoon</t>
  </si>
  <si>
    <t>Mountebank</t>
  </si>
  <si>
    <t>Necros</t>
  </si>
  <si>
    <t>FORTITUDE</t>
  </si>
  <si>
    <t>Reaper</t>
  </si>
  <si>
    <t>Daevic</t>
  </si>
  <si>
    <t>Eclipse</t>
  </si>
  <si>
    <t>Guru</t>
  </si>
  <si>
    <t>arms</t>
  </si>
  <si>
    <t>Nexus</t>
  </si>
  <si>
    <t>Radiant</t>
  </si>
  <si>
    <t>Stormbound</t>
  </si>
  <si>
    <t>Vizier</t>
  </si>
  <si>
    <t>Zodiac</t>
  </si>
  <si>
    <t>Harbinger</t>
  </si>
  <si>
    <t>Mystic</t>
  </si>
  <si>
    <t>Zealot</t>
  </si>
  <si>
    <t>Epilektoi</t>
  </si>
  <si>
    <t>Medic</t>
  </si>
  <si>
    <t>Parasite</t>
  </si>
  <si>
    <t>Crux</t>
  </si>
  <si>
    <t>Fisherking</t>
  </si>
  <si>
    <t>Kheshig</t>
  </si>
  <si>
    <t>Huay</t>
  </si>
  <si>
    <t>Helmsman</t>
  </si>
  <si>
    <t>ARMOR CLASS</t>
  </si>
  <si>
    <t>Volur</t>
  </si>
  <si>
    <t>Thug</t>
  </si>
  <si>
    <t>Soulforge</t>
  </si>
  <si>
    <t>Promethean</t>
  </si>
  <si>
    <t>[Region 6 End]</t>
  </si>
  <si>
    <t>Non Player Character Classes (Core)</t>
  </si>
  <si>
    <t>[Region 7 Start]</t>
  </si>
  <si>
    <t>Adept</t>
  </si>
  <si>
    <t>hands</t>
  </si>
  <si>
    <t>Aristocrat</t>
  </si>
  <si>
    <t>Commoner</t>
  </si>
  <si>
    <t>Expert</t>
  </si>
  <si>
    <t>Warrior</t>
  </si>
  <si>
    <t>[Region 7 End]</t>
  </si>
  <si>
    <t>Psionic Classes (3rd Party Publisher - Dreamscarred Press "Ultimate Psionics" and "Psionics Expanded")</t>
  </si>
  <si>
    <t>[Region 8 Start]</t>
  </si>
  <si>
    <t>PP/day</t>
  </si>
  <si>
    <t>Powers known</t>
  </si>
  <si>
    <t>Max Level</t>
  </si>
  <si>
    <t>Aegis</t>
  </si>
  <si>
    <t>$D$518</t>
  </si>
  <si>
    <t>$L$518</t>
  </si>
  <si>
    <t>Heal</t>
  </si>
  <si>
    <t>Cryptic</t>
  </si>
  <si>
    <t>$C$518</t>
  </si>
  <si>
    <t>$H$518</t>
  </si>
  <si>
    <t>$Q$518</t>
  </si>
  <si>
    <t>Dread</t>
  </si>
  <si>
    <t>Marksman</t>
  </si>
  <si>
    <t>$I$518</t>
  </si>
  <si>
    <t>$R$518</t>
  </si>
  <si>
    <t>Psion</t>
  </si>
  <si>
    <t>$B$518</t>
  </si>
  <si>
    <t>$G$518</t>
  </si>
  <si>
    <t>$O$518</t>
  </si>
  <si>
    <t>waist</t>
  </si>
  <si>
    <t>Psychic Warrior</t>
  </si>
  <si>
    <t>Psionic</t>
  </si>
  <si>
    <t>Soulknife</t>
  </si>
  <si>
    <t>Tactician</t>
  </si>
  <si>
    <t>Vitalist</t>
  </si>
  <si>
    <t>$J$518</t>
  </si>
  <si>
    <t>Wilder</t>
  </si>
  <si>
    <t>$K$518</t>
  </si>
  <si>
    <t>$P$518</t>
  </si>
  <si>
    <t>[Region 8 End]</t>
  </si>
  <si>
    <t>REFLEX</t>
  </si>
  <si>
    <t>Martial Classes (3rd Party Publisher - Dreamscarred Press "Path of War")</t>
  </si>
  <si>
    <t>feet</t>
  </si>
  <si>
    <t>Warder</t>
  </si>
  <si>
    <t>Warlord</t>
  </si>
  <si>
    <t>[Region 9 Start]</t>
  </si>
  <si>
    <t>PrC Caster Levels</t>
  </si>
  <si>
    <t>Avowed</t>
  </si>
  <si>
    <t>FLAT-FOOTED</t>
  </si>
  <si>
    <t>ring</t>
  </si>
  <si>
    <t>VEILWEAVING</t>
  </si>
  <si>
    <t>Archer</t>
  </si>
  <si>
    <r>
      <rPr>
        <rFont val="Calibri"/>
      </rPr>
      <t xml:space="preserve">(To reveal this hidden section, click the arrows in the Row Numbers to the </t>
    </r>
    <r>
      <rPr>
        <rFont val="Calibri"/>
        <b/>
      </rPr>
      <t>far left edge</t>
    </r>
    <r>
      <rPr>
        <rFont val="Calibri"/>
      </rPr>
      <t xml:space="preserve"> of the screen)</t>
    </r>
  </si>
  <si>
    <t>Intimidate</t>
  </si>
  <si>
    <t>Int</t>
  </si>
  <si>
    <t>Essence</t>
  </si>
  <si>
    <t>Veil</t>
  </si>
  <si>
    <t>Bind</t>
  </si>
  <si>
    <t>Beastmaster</t>
  </si>
  <si>
    <t>Non-Veil Receptacles</t>
  </si>
  <si>
    <t>Black Mage</t>
  </si>
  <si>
    <t>Feet Chakra</t>
  </si>
  <si>
    <t>WILL</t>
  </si>
  <si>
    <t>Knight</t>
  </si>
  <si>
    <t>TOUCH</t>
  </si>
  <si>
    <t>Hands Chakra</t>
  </si>
  <si>
    <t>Red Mage</t>
  </si>
  <si>
    <t>Thief</t>
  </si>
  <si>
    <t>X</t>
  </si>
  <si>
    <t>Kn. Arcana</t>
  </si>
  <si>
    <t>Head Chakra</t>
  </si>
  <si>
    <t>White Mage</t>
  </si>
  <si>
    <t>Astrologian</t>
  </si>
  <si>
    <t>Essence Pool</t>
  </si>
  <si>
    <t>Berserker</t>
  </si>
  <si>
    <t>Miscellaneous Magic Items</t>
  </si>
  <si>
    <t>Headband Chakra</t>
  </si>
  <si>
    <t>Blue Mage</t>
  </si>
  <si>
    <t>CMD</t>
  </si>
  <si>
    <t>Chemist</t>
  </si>
  <si>
    <t>Chocobo Knight</t>
  </si>
  <si>
    <t>Shoulders Chakra</t>
  </si>
  <si>
    <t>Kn. Dungeoneering</t>
  </si>
  <si>
    <t>Dark Knight</t>
  </si>
  <si>
    <t>Engineer</t>
  </si>
  <si>
    <t>Wrists Chakra</t>
  </si>
  <si>
    <t>Gambler</t>
  </si>
  <si>
    <t>Dimensional Bridge</t>
  </si>
  <si>
    <t>Saving Throw Notes</t>
  </si>
  <si>
    <t>Geomancer</t>
  </si>
  <si>
    <t>Armor Class Notes</t>
  </si>
  <si>
    <t>Veilweaving
Level:</t>
  </si>
  <si>
    <t>Gunner</t>
  </si>
  <si>
    <t>Kn. Local</t>
  </si>
  <si>
    <t>Belt Chakra</t>
  </si>
  <si>
    <t>Holy Knight</t>
  </si>
  <si>
    <t>Illusionist</t>
  </si>
  <si>
    <t>Neck Chakra</t>
  </si>
  <si>
    <t>Necromancer</t>
  </si>
  <si>
    <t>Base
Essence:</t>
  </si>
  <si>
    <t>Body Chakra</t>
  </si>
  <si>
    <t>Izanami's Nodachi</t>
  </si>
  <si>
    <t>Kn. Nature</t>
  </si>
  <si>
    <t>Time Mage</t>
  </si>
  <si>
    <t>Black Belt</t>
  </si>
  <si>
    <t>Dancer</t>
  </si>
  <si>
    <t>Chest Chakra</t>
  </si>
  <si>
    <t>Essence
Capacity:</t>
  </si>
  <si>
    <t>Fencer</t>
  </si>
  <si>
    <t>Esoteric Chakra</t>
  </si>
  <si>
    <t>Gunbreaker</t>
  </si>
  <si>
    <t>Kn. Planes</t>
  </si>
  <si>
    <t>MAGIC SPHERES</t>
  </si>
  <si>
    <t>Sword Saint</t>
  </si>
  <si>
    <r>
      <rPr>
        <rFont val="Calibri"/>
      </rPr>
      <t xml:space="preserve">(To reveal this hidden section, click the arrows in the Row Numbers to the </t>
    </r>
    <r>
      <rPr>
        <rFont val="Calibri"/>
        <b/>
      </rPr>
      <t>far left edge</t>
    </r>
    <r>
      <rPr>
        <rFont val="Calibri"/>
      </rPr>
      <t xml:space="preserve"> of the screen)</t>
    </r>
  </si>
  <si>
    <t>Kn. Religion</t>
  </si>
  <si>
    <t>Arithmetician</t>
  </si>
  <si>
    <t>Spherecasting Notes</t>
  </si>
  <si>
    <t>Braggart</t>
  </si>
  <si>
    <t>mAtk</t>
  </si>
  <si>
    <t>mDmg</t>
  </si>
  <si>
    <t>Enh.</t>
  </si>
  <si>
    <t>OFFENSES</t>
  </si>
  <si>
    <t>Formula Variables</t>
  </si>
  <si>
    <t>Attacks</t>
  </si>
  <si>
    <t>Dice</t>
  </si>
  <si>
    <t>Crit</t>
  </si>
  <si>
    <t>Mult</t>
  </si>
  <si>
    <t>Range</t>
  </si>
  <si>
    <t>Type</t>
  </si>
  <si>
    <t>Perception</t>
  </si>
  <si>
    <t>Primary Caster (Spontaneous) Spells per day</t>
  </si>
  <si>
    <t>Sorcerer/Oracle Spells Known</t>
  </si>
  <si>
    <t>Level (Character \ Spell)</t>
  </si>
  <si>
    <t>∞</t>
  </si>
  <si>
    <t>Charisma</t>
  </si>
  <si>
    <t>Melee Attack</t>
  </si>
  <si>
    <t>INT to hit, INT to damage</t>
  </si>
  <si>
    <t>Spell Points</t>
  </si>
  <si>
    <t>Primary Caster (Prepared) Spells Per Day</t>
  </si>
  <si>
    <t>Spellbook/Familiar Free Spells Known (assume highest level possible)</t>
  </si>
  <si>
    <t>Total Talents</t>
  </si>
  <si>
    <t>Secondary Caster Spells per Day</t>
  </si>
  <si>
    <t>Bard, Inquisitor, Summoner Spells Known</t>
  </si>
  <si>
    <t>1d10 + 2d4+1 (Bleed)</t>
  </si>
  <si>
    <t>18-20</t>
  </si>
  <si>
    <t>Ride</t>
  </si>
  <si>
    <t>Tertiary Caster Spells per Day</t>
  </si>
  <si>
    <t>7th</t>
  </si>
  <si>
    <t>8th</t>
  </si>
  <si>
    <t>9th</t>
  </si>
  <si>
    <t>Izanami's Nodachi (Soulburn)</t>
  </si>
  <si>
    <t>Medium Spells per Day</t>
  </si>
  <si>
    <t>Medium Spells Known</t>
  </si>
  <si>
    <t>Save DC</t>
  </si>
  <si>
    <t>Arcanist Spells per Day</t>
  </si>
  <si>
    <t>-</t>
  </si>
  <si>
    <t>Bloodrager Spells per Day</t>
  </si>
  <si>
    <t>Bloodrager Spells Known</t>
  </si>
  <si>
    <t>1d10 + 1d6 + 2d4+1 (Bleed)</t>
  </si>
  <si>
    <t>Sense Motive</t>
  </si>
  <si>
    <t>Adept Spells per Day</t>
  </si>
  <si>
    <t>Class Level</t>
  </si>
  <si>
    <t>Spells per Day</t>
  </si>
  <si>
    <t>1st</t>
  </si>
  <si>
    <t>2nd</t>
  </si>
  <si>
    <t>3rd</t>
  </si>
  <si>
    <t>4th</t>
  </si>
  <si>
    <t>5th</t>
  </si>
  <si>
    <t>6th</t>
  </si>
  <si>
    <t>10th</t>
  </si>
  <si>
    <t>1d6</t>
  </si>
  <si>
    <t>PP / Day</t>
  </si>
  <si>
    <t>Psion, Tactician, Vitalist, Wilder</t>
  </si>
  <si>
    <t>Cryptic, Dread, Psychic Warrior</t>
  </si>
  <si>
    <t>Marksman, Aegis</t>
  </si>
  <si>
    <t>Powers Known</t>
  </si>
  <si>
    <t>Psychic Warrior, Cryptic, Dread, Tactician</t>
  </si>
  <si>
    <t>Max Psionic Power Level</t>
  </si>
  <si>
    <t>Psion, Vitalist, Tactician</t>
  </si>
  <si>
    <t>11th</t>
  </si>
  <si>
    <t>12th</t>
  </si>
  <si>
    <t>13th</t>
  </si>
  <si>
    <t>14th</t>
  </si>
  <si>
    <t>15th</t>
  </si>
  <si>
    <t>16th</t>
  </si>
  <si>
    <t>17th</t>
  </si>
  <si>
    <t>18th</t>
  </si>
  <si>
    <t>19th</t>
  </si>
  <si>
    <t>20th</t>
  </si>
  <si>
    <t>Spellcraft</t>
  </si>
  <si>
    <t>MP / Day</t>
  </si>
  <si>
    <t>Full caster</t>
  </si>
  <si>
    <t>3/4-caster</t>
  </si>
  <si>
    <t>1/2-caster</t>
  </si>
  <si>
    <t>MARTIAL SPHERES</t>
  </si>
  <si>
    <t>Stealth</t>
  </si>
  <si>
    <r>
      <rPr>
        <rFont val="Calibri"/>
      </rPr>
      <t xml:space="preserve">(To reveal this hidden section, click the arrows in the Row Numbers to the </t>
    </r>
    <r>
      <rPr>
        <rFont val="Calibri"/>
        <b/>
      </rPr>
      <t>far left edge</t>
    </r>
    <r>
      <rPr>
        <rFont val="Calibri"/>
      </rPr>
      <t xml:space="preserve"> of the screen)</t>
    </r>
  </si>
  <si>
    <t>Martial Notes</t>
  </si>
  <si>
    <t>Acrobatics</t>
  </si>
  <si>
    <t>Effective
BAB</t>
  </si>
  <si>
    <t>Survival</t>
  </si>
  <si>
    <t>Appraise</t>
  </si>
  <si>
    <t>Craft:</t>
  </si>
  <si>
    <t>Handle Animal</t>
  </si>
  <si>
    <t>Kn. Engineering</t>
  </si>
  <si>
    <t>Kn. Geography</t>
  </si>
  <si>
    <t>Kn. History</t>
  </si>
  <si>
    <t>Kn. Nobility</t>
  </si>
  <si>
    <t>Linguistics</t>
  </si>
  <si>
    <t>Perform:</t>
  </si>
  <si>
    <t>Prof:</t>
  </si>
  <si>
    <t>Sleight of Hand</t>
  </si>
  <si>
    <t>Swim</t>
  </si>
  <si>
    <t>Use Magic Device</t>
  </si>
  <si>
    <t>(Custom Skill)</t>
  </si>
  <si>
    <t>Artistry:</t>
  </si>
  <si>
    <t>Lore:</t>
  </si>
  <si>
    <t>C. Acrobatics</t>
  </si>
  <si>
    <t>C. Athletics</t>
  </si>
  <si>
    <t>C. Finesse</t>
  </si>
  <si>
    <t>C. Influence</t>
  </si>
  <si>
    <t>C. Nature</t>
  </si>
  <si>
    <t>C. Perception</t>
  </si>
  <si>
    <t>C. Performance</t>
  </si>
  <si>
    <t>C. Religion</t>
  </si>
  <si>
    <t>C. Society</t>
  </si>
  <si>
    <t>C. Spellcraft</t>
  </si>
  <si>
    <t>C. Stealth</t>
  </si>
  <si>
    <t>C. Survival</t>
  </si>
  <si>
    <t>Autohypnosis</t>
  </si>
  <si>
    <t>Kn. Psionics</t>
  </si>
  <si>
    <t>Trained Only</t>
  </si>
  <si>
    <t>SOURCE</t>
  </si>
  <si>
    <t>Cha</t>
  </si>
  <si>
    <t>Str</t>
  </si>
  <si>
    <t>Wis</t>
  </si>
  <si>
    <t>BASE CLASSES</t>
  </si>
  <si>
    <t>Armor Penalty</t>
  </si>
  <si>
    <t xml:space="preserve"> </t>
  </si>
  <si>
    <t>RESOURCES</t>
  </si>
  <si>
    <t>NPC CLASSES</t>
  </si>
  <si>
    <t>MAGICAL ITEMS</t>
  </si>
  <si>
    <t>Attack Notes</t>
  </si>
  <si>
    <t>Combat Effect Quick Toggles - see Row 123</t>
  </si>
  <si>
    <t>HYBRID CLASSES CLASSES</t>
  </si>
  <si>
    <t>Uses</t>
  </si>
  <si>
    <t>/ Max</t>
  </si>
  <si>
    <t>Resource, Item, or Ability</t>
  </si>
  <si>
    <t>OCCULT CLASSES</t>
  </si>
  <si>
    <t>Disable Device*</t>
  </si>
  <si>
    <t>Handle Animal*</t>
  </si>
  <si>
    <t>Kn. Arcana*</t>
  </si>
  <si>
    <t>Kn. Dungeoneering*</t>
  </si>
  <si>
    <t>Kn. Engineering*</t>
  </si>
  <si>
    <t>Kn. Geography*</t>
  </si>
  <si>
    <t>Kn. History*</t>
  </si>
  <si>
    <t>Kn. Local*</t>
  </si>
  <si>
    <t>Kn. Nature*</t>
  </si>
  <si>
    <t>Kn. Nobility*</t>
  </si>
  <si>
    <t>Kn. Planes*</t>
  </si>
  <si>
    <t>Kn. Religion*</t>
  </si>
  <si>
    <t>Linguistics*</t>
  </si>
  <si>
    <t>Sleight of Hand*</t>
  </si>
  <si>
    <t>Spellcraft*</t>
  </si>
  <si>
    <t>Use Magic Device*</t>
  </si>
  <si>
    <t>Ki Pool</t>
  </si>
  <si>
    <t>Kn: Psionics</t>
  </si>
  <si>
    <t xml:space="preserve">   B. SKILLS</t>
  </si>
  <si>
    <t>MONSTROUS HD</t>
  </si>
  <si>
    <t>Magical Beast</t>
  </si>
  <si>
    <t>MOVEMENT</t>
  </si>
  <si>
    <t xml:space="preserve">Enter base values in 
the Effects Table </t>
  </si>
  <si>
    <t>PRESTIGE CLASSES</t>
  </si>
  <si>
    <t>Move</t>
  </si>
  <si>
    <t>Charge</t>
  </si>
  <si>
    <t>Run</t>
  </si>
  <si>
    <t>Ignore Armor?</t>
  </si>
  <si>
    <t>INITIATIVE</t>
  </si>
  <si>
    <t>Flight
Maneuverability</t>
  </si>
  <si>
    <t>average</t>
  </si>
  <si>
    <t>DEX</t>
  </si>
  <si>
    <t>PSIONICS</t>
  </si>
  <si>
    <r>
      <rPr>
        <rFont val="Calibri"/>
      </rPr>
      <t xml:space="preserve">(To reveal this hidden section, click the arrows in the Row Numbers to the </t>
    </r>
    <r>
      <rPr>
        <rFont val="Calibri"/>
        <b/>
      </rPr>
      <t>far left edge</t>
    </r>
    <r>
      <rPr>
        <rFont val="Calibri"/>
      </rPr>
      <t xml:space="preserve"> of the screen)</t>
    </r>
  </si>
  <si>
    <t>TALENTS</t>
  </si>
  <si>
    <t>Potions, Wands, Scrolls (approximate average)</t>
  </si>
  <si>
    <t>Run
Multiplier</t>
  </si>
  <si>
    <t>Alchemical Items (approximate)</t>
  </si>
  <si>
    <t>Entangled</t>
  </si>
  <si>
    <t>Dazzled</t>
  </si>
  <si>
    <t>Power Points Total</t>
  </si>
  <si>
    <t>To add more space to this sheet, use the "Add Rows" option to insert rows somewhere above row 64 in order to keep the Encumbrance formulas working correctly.</t>
  </si>
  <si>
    <t>3PP CLASSES</t>
  </si>
  <si>
    <t>Craft</t>
  </si>
  <si>
    <t>Burrow</t>
  </si>
  <si>
    <t>Charge
Bonus Distance</t>
  </si>
  <si>
    <t>Blinded</t>
  </si>
  <si>
    <t>Negative Levels</t>
  </si>
  <si>
    <t>Acrobatics (Dex), Climb (Str), Craft (Int), Intimidate (Cha), Knowledge (arcana) (Int), Knowledge (engineering) (Int), Knowledge (nobility) (Int), Perception (Wis), Profession (Wis), Ride (Dex), Spellcraft (Int), Swim (Str), and Use Magic Device (Cha).</t>
  </si>
  <si>
    <t>Acrobatics (Dex), Bluff (Cha), Climb (Str), Craft (Int), Escape Artist (Dex), Fly (Dex), Intimidate (Cha), Knowledge (arcana) (Int), Knowledge (nature) (Int), Knowledge (planes) (Int), Perception (Wis), Profession (Wis), Spellcraft (Int), Stealth (Dex), Survival (Wis), and Swim (Str).</t>
  </si>
  <si>
    <t>Rolled HP</t>
  </si>
  <si>
    <t>Acrobatics (Dex), Bluff (Cha), Climb (Str), Craft (Int), Diplomacy (Cha), Disguise (Cha), Handle Animal (Cha), Intimidate (Cha), Knowledge (local) (Int), Knowledge (nobility) (Int), Linguistics (Int), Perform (Cha), Profession (Wis), Sense Motive (Wis), Spellcraft (Int), Stealth (Dex), and Use Magic Device (Cha).</t>
  </si>
  <si>
    <t>Example: Barbarian 3 / Sorcerer 2 / Dragon Disciple 5. 
Delete my rolls in the yellow before entering your own!</t>
  </si>
  <si>
    <t>Hit Points (Main Sheet)</t>
  </si>
  <si>
    <t>Appraise (Int), Bluff (Cha), Craft (Int), Disguise (Cha), Escape Artist (Dex), Intimidate (Cha), Knowledge (arcana) (Int), Knowledge (local) (Int), Knowledge (nature) (Int), Linguistics (Int), Perception (Wis), Perform (Cha), Sense Motive (Wis), Sleight of Hand (Dex), Spellcraft (Int), Stealth (Dex), and Use Magic Device (Cha).</t>
  </si>
  <si>
    <t>Average</t>
  </si>
  <si>
    <t>Average 
(1st level Max)</t>
  </si>
  <si>
    <t>Average round up</t>
  </si>
  <si>
    <t>Average round up 
(1st level max)</t>
  </si>
  <si>
    <t>Appraise (Int), Bluff (Cha), Craft (Int), Diplomacy (Cha), Fly (Dex), Handle Animal (Cha), Heal (Wis), Knowledge (arcana) (Int), Linguistics (Int), Perform (Cha), Profession (Wis), Sense Motive (Wis), Spellcraft (Int), Stealth (Dex), and Use Magic Device (Cha)</t>
  </si>
  <si>
    <t>Custom Rolled</t>
  </si>
  <si>
    <t>SUM:</t>
  </si>
  <si>
    <t>Sum</t>
  </si>
  <si>
    <t>Appraise (Int), Craft (Int), Fly (Dex), Knowledge (all) (Int), Linguistics (Int), Profession (Wis), and Spellcraft (Int).</t>
  </si>
  <si>
    <t>Alchemy</t>
  </si>
  <si>
    <t>Acrobatics (Dex), Climb (Str), Craft (Int), Diplomacy (Cha), Handle Animal (Cha), Knowledge (arcana) (Int), Knowledge (nature) (Int), Knowledge (nobility) (Int), Knowledge (planes) (Int), Knowledge (religion) (Int), Profession (Wis), Ride (Dex), Spellcraft (Int), Survival (Wis), and Swim (Str).</t>
  </si>
  <si>
    <t>Alteration</t>
  </si>
  <si>
    <t>CON * Level:</t>
  </si>
  <si>
    <t>Acrobatics (Dex), Climb (Str), Craft (Int), Intimidate (Cha), Knowledge (dungeoneering) (Int), Knowledge (geography) (Int), Knowledge (local) (Int), Knowledge (nobility) (Int), Perception (Wis), Profession (Wis), Ride (Dex), Sense Motive (Wis), Sleight of Hand (Dex), Survival (Wis), and Swim (Str)</t>
  </si>
  <si>
    <t>Class 1</t>
  </si>
  <si>
    <t>FFD20 SPELLCASTING</t>
  </si>
  <si>
    <r>
      <rPr>
        <rFont val="Calibri"/>
      </rPr>
      <t xml:space="preserve">(To reveal this hidden section, click the arrows in the Row Numbers to the </t>
    </r>
    <r>
      <rPr>
        <rFont val="Calibri"/>
        <b/>
      </rPr>
      <t>far left edge</t>
    </r>
    <r>
      <rPr>
        <rFont val="Calibri"/>
      </rPr>
      <t xml:space="preserve"> of the screen)</t>
    </r>
  </si>
  <si>
    <t>Craft (Int), Diplomacy (Cha), Fly (Dex), Heal (Wis), Intimidate (Cha), Knowledge (arcana) (Int), Knowledge (history) (Int), Knowledge (planes) (Int), Knowledge (religion) (Int), Linguistics (Int), Perform (Cha), Profession (Wis), Sense Motive (Wis), and Spellcraft (Int).</t>
  </si>
  <si>
    <t>Acrobatics (Dex), Craft (Int), Diplomacy (Cha), Fly (Dex), Intimidate (Cha), Knowledge (all) (Int), Linguistics (Int), Perception (Wis), Profession (Wis), Sense Motive (Wis), Spellcraft (Int), and Stealth (Dex).</t>
  </si>
  <si>
    <t>mSkill</t>
  </si>
  <si>
    <t>mDex</t>
  </si>
  <si>
    <t>ARMOR AND PROTECTIVES</t>
  </si>
  <si>
    <t>Craft (Int), Diplomacy (Cha), Disguise (Cha), Fly (Dex), Heal (Wis), Intimidate (Cha), Knowledge (all) (Int), Linguistics (Int), Perform (Cha), Profession (Wis), Sense Motive (Wis), Spellcraft (Int), Use Magic Device (Cha).</t>
  </si>
  <si>
    <t>Material</t>
  </si>
  <si>
    <t>AC</t>
  </si>
  <si>
    <t>MaxDex</t>
  </si>
  <si>
    <t>Spells</t>
  </si>
  <si>
    <t>Athletics</t>
  </si>
  <si>
    <t>Blood</t>
  </si>
  <si>
    <t>Magical Item or Feature</t>
  </si>
  <si>
    <t>Target</t>
  </si>
  <si>
    <t>Class 2</t>
  </si>
  <si>
    <t>Value</t>
  </si>
  <si>
    <t>Bluff (Cha), Craft (Int), Disguise (Cha), Fly (Dex), Intimidate (Cha), Knowledge (arcana) (Int), Knowledge (history) (Int), Knowledge (nobility) (Int), Knowledge (religion) (Int), Linguistics (Int), Perception (Wis), Profession (Wis), Sense Motive (Wis), Spellcraft (Int), Stealth (Dex), Use Magic Device (Cha).</t>
  </si>
  <si>
    <t>Acrobatics (Dex), Climb (Str), Craft (Int), Intimidate (Cha), Knowledge (dungeoneering) (Int), Knowledge (geography) (Int), Knowledge (local) (Int), Knowledge (nobility) (Int), Perception (Wis), Profession (Wis), Ride (Dex), Sense Motive (Wis), Sleight of Hand (Dex), Survival (Wis), and Swim (Str).</t>
  </si>
  <si>
    <t>Barrage</t>
  </si>
  <si>
    <t>MP Total</t>
  </si>
  <si>
    <t>Conjuration</t>
  </si>
  <si>
    <t>Appraise (Int), Climb (Str), Craft (Int), Disable Device (Dex), Intimidate (Cha), Knowledge (engineering) (Int), Knowledge (local) (Int), Perception (Wis), Profession (Wis), Survival (Wis), Swim (Str), and Use Magic Device (Cha).</t>
  </si>
  <si>
    <t>Class 3</t>
  </si>
  <si>
    <t>Appraise (Int), Bluff (Cha), Climb (Str), Craft (Int), Diplomacy (Cha), Handle Animal (Cha), Intimidate (Cha), Knowledge (engineering) (Int), Knowledge (geography) (Int), Knowledge (history) (Int), Knowledge (local) (Int), Knowledge (nobility) (Int), Linguistics (Int), Perception (Wis),Profession (Wis), Ride (Dex), Sense Motive (Wis), Survival (Wis), and Swim (Str).</t>
  </si>
  <si>
    <t>Barroom</t>
  </si>
  <si>
    <t>Creation</t>
  </si>
  <si>
    <t xml:space="preserve">Climb (Str), Craft (Int), Handle Animal (Cha), Knowledge (local) (Int), Perception (Wis), Profession (Wis), Survival (Wis), Swim (Str), </t>
  </si>
  <si>
    <t>Custom Class</t>
  </si>
  <si>
    <t>Appraise (Int), Bluff (Cha), Craft (Int), Diplomacy (Cha), Disable Device (Dex), Disguise (Cha), Escape Artist (Dex), Handle Animal (Cha), Heal (Wis), Intimidate (Cha), Knowledge (all) (Int), Linguistics (Int), Perception (Wis), Perform (Cha), Profession (Wis), Sense Motive (Wis), Sleight of Hand (Dex), Spellcraft (Int), Stealth (Dex), Survival (Wis), and Use Magic Device (Cha).</t>
  </si>
  <si>
    <t>MP Stat</t>
  </si>
  <si>
    <t>Bluff (Cha), Climb (Str), Craft (Int), Diplomacy (Cha), Handle Animal (Cha), Heal (Wis), Intimidate (Cha), Knowledge (nobility) (Int), Perception (Wis), Profession (Wis), Ride (Dex), Sense Motive (Wis), and Swim (Str).</t>
  </si>
  <si>
    <t>Acrobatics (Dex), Climb (Str), Craft (Int), Escape Artist (Dex), Fly (Dex), Heal (Wis), Intimidate (Cha), Knowledge (nature) (Int), Perception (Wis), Perform (Cha), Profession (Wis), Ride (Dex), Sense Motive (Wis), Sleight of Hand (Dex), Stealth (Dex), Survival (Wis), and Swim (Str).</t>
  </si>
  <si>
    <t>Beastmastery</t>
  </si>
  <si>
    <t>Dark</t>
  </si>
  <si>
    <t>Death</t>
  </si>
  <si>
    <t>Appraise (Int), Bluff (Cha), Climb (Str), Craft (Int), Diplomacy (Cha), Disable Device (Dex), Knowledge (dungeoneering) (Int), Knowledge (engineering) (Int), Knowledge (geography) (Int), Knowledge (local) (Int), Linguistics (Int), Perception (Wis), Profession (Wis), Sense Motive (Wis), Sleight of Hand (Dex), Stealth (Dex), Swim (Str), and Use Magic Device (Cha).</t>
  </si>
  <si>
    <t>Boxing</t>
  </si>
  <si>
    <t>Destruction</t>
  </si>
  <si>
    <t>Brute</t>
  </si>
  <si>
    <t>Acrobatics (Dex), Bluff (Cha), Climb (Str), Craft (Int), Diplomacy (Cha), Intimidate (Cha), Knowledge (all) (Int), Perception (Wis), Perform (Cha), Profession (Wis), Sense Motive (Wis), Spellcraft (Int), Use Magic Device (Cha)</t>
  </si>
  <si>
    <t>Divination</t>
  </si>
  <si>
    <t>Dual Wielding</t>
  </si>
  <si>
    <t>Acrobatics (Dex), Appraise (Int), Climb (Str), Craft (Int), Diplomacy (Cha), Escape Artist (Dex), Intimidate (Cha), Knowledge (all) (Int), Perception (Wis), Perform (Cha), Profession (Wis), Ride (Dex), Sense Motive (Wis), Stealth (Dex), and Swim (Str).</t>
  </si>
  <si>
    <t>Enhancement</t>
  </si>
  <si>
    <t>Acrobatics (Dex), Appraise (Int), Bluff (Cha), Climb (Str), Craft (Int), Diplomacy (Cha), Disable Device (Dex), Disguise (Cha), Escape Artist (Dex), Intimidate (Cha), Knowledge (all) (Int), Linguistics (Int), Perform (Cha), Profession (Wis), Sense Motive (Wis), Spellcraft (Int), Stealth (Dex), Swim (Str), and Use Magic Device (Cha).</t>
  </si>
  <si>
    <t>Fallen Fey</t>
  </si>
  <si>
    <t>Fate</t>
  </si>
  <si>
    <t>Climb (Str), Craft (Int), Diplomacy (Cha), Handle Animal (Cha), Heal (Wis), Intimidate (Cha), Knowledge (arcana) (Int), Knowledge (history) (Int), Knowledge (local) (Int), Knowledge (nobility) (Int), Perception (Wis), Profession (Wis), Sense Motive (Wis), Spellcraft (Int), and Swim (Str).</t>
  </si>
  <si>
    <t>Fencing</t>
  </si>
  <si>
    <t>Illusion</t>
  </si>
  <si>
    <t>Gladiator</t>
  </si>
  <si>
    <t>Acrobatics (Dex), Bluff (Cha), Climb (Str), Craft (Int), Diplomacy (Cha), Intimidate (Cha), Knowledge (local) (Int), Perception (Wis), Perform (Cha), Profession (Wis), Sense Motive (Wis), Spellcraft (Int), and Use Magic Device (Cha).</t>
  </si>
  <si>
    <t>Life</t>
  </si>
  <si>
    <t>Guardian</t>
  </si>
  <si>
    <t>Light</t>
  </si>
  <si>
    <t>Acrobatics (Dex), Appraise (Int), Bluff (Cha), Climb (Str), Craft (Int), Diplomacy (Cha), Disable Device (Dex), Disguise (Cha), Escape Artist (Dex), Intimidate (Cha), Knowledge (arcana) (Int), Knowledge (dungeoneer) (Int), Knowledge (local) (Int), Knowledge (nobility) (Int), Linguistics (Int), Perception (Wis), Perform (Cha), Profession (Wis), Sense Motive (Wis), Sleight of Hand (Dex), Spellcraft (Int), Stealth(Dex), Swim (Str), and Use Magic Device (Cha).</t>
  </si>
  <si>
    <t>Lancer</t>
  </si>
  <si>
    <t>Mana</t>
  </si>
  <si>
    <t>Open Hand</t>
  </si>
  <si>
    <t>Mind</t>
  </si>
  <si>
    <t>Acrobatics (Dex), Bluff (Cha), Climb (Str), Craft (Int), Disguise (Cha), Heal (Wis), Intimidate (Cha), Knowledge (arcana) (Int), Knowledge (dungeoneering) (Int), Knowledge (local) (Int), Knowledge (nature) (Int), Knowledge (planes) (Int), Knowledge (religion) (Int), Linguistics (Int), Perception (Wis), Profession (Wis), Ride (Dex), Sense Motive (Wis), Spellcraft (Int), Stealth (Dex), Survival (Wis), and Use Magic Device (Cha).</t>
  </si>
  <si>
    <t>Scoundrel</t>
  </si>
  <si>
    <t>Nature</t>
  </si>
  <si>
    <t>Scout</t>
  </si>
  <si>
    <t>Armor Notes</t>
  </si>
  <si>
    <t>Protection</t>
  </si>
  <si>
    <t>Bluff (Cha), Climb (Str), Craft (Int), Intimidate (Cha), Knowledge (History) (Int), Knowledge (Local) (Int), Knowledge (Planes) (Int), Profession (Wis), Ride (Dex), Sense Motive (Wis), Swim (Str), and Use Magic Device (Cha).</t>
  </si>
  <si>
    <t>Telekinesis</t>
  </si>
  <si>
    <t>Sniper</t>
  </si>
  <si>
    <t>Acrobatics (Dex), Bluff (Cha), Climb (Str), Craft (Int), Disable Device (Dex), Disguise (Cha), Escape Artist (Dex), Intimidate (Cha), Knowledge (arcana) (Int), Knowledge (history), Knowledge (nobility), Knowledge (planes) (Int), Knowledge (religion) (Int), Perception (Wis), Sleight of Hand (Dex), Spellcraft (Int), Stealth (Dex), Swim (Str) , and Use Magic Device (Cha).</t>
  </si>
  <si>
    <t>Time</t>
  </si>
  <si>
    <t>Trap</t>
  </si>
  <si>
    <t>War</t>
  </si>
  <si>
    <t>Acrobatics (Dex), Climb (Str), Craft (Int), Diplomacy (Cha), Disable Device (Dex), Escape Artist (Dex), Heal (Wis), Knowledge (History, Local, Nobility) (Int), Perception (Wis), Sense Motive (Wis), Stealth (Dex), Survival (Wis), and Swim (Str).</t>
  </si>
  <si>
    <t>Warleader</t>
  </si>
  <si>
    <t>Warp</t>
  </si>
  <si>
    <t>Bluff (Cha), Craft (Int), Diplomacy (Cha), Heal (Wis), Intimidate (Cha), Knowledge (arcana) (Int), Knowledge (planes) (Int), Knowledge (religion) (Int), Linguistics (Int), Perception (Wis), Profession (Wis), Spellcraft (Int), and Use Magic Device (Cha).</t>
  </si>
  <si>
    <t>Wrestling</t>
  </si>
  <si>
    <t>Weather</t>
  </si>
  <si>
    <t>Craft (Int), Diplomacy (Cha), Handle Animal (Cha), Heal (Wis), Knowledge (arcana), Knowledge (dungeoneering) (Int), Knowledge (history) (Int), Knowledge (local) (Int), Knowledge (nature), Knowledge (religion) (Int), Linguistics (Int), Perception (Wis), Profession (Wis), Sense Motive(Wis), and Survival (Wis).</t>
  </si>
  <si>
    <t>Age Bonus/Penalties to Ability Scores</t>
  </si>
  <si>
    <t>Leadership</t>
  </si>
  <si>
    <t>Bear</t>
  </si>
  <si>
    <t>Appraise (Int), Bluff (Cha),Climb (Str), Craft (Int), Diplomacy (Cha), Handle Animal(Cha), Heal (Wis), Intimidate (Cha), Knowledge (All) (Int),Linguistics (Int), Perception (Wis), Perform (Cha), Profession (Wis), Ride (Dex), Sense Motive (Wis), Spellcraft (Int)and Swim (Str).</t>
  </si>
  <si>
    <t>Young</t>
  </si>
  <si>
    <t>Middle Age</t>
  </si>
  <si>
    <t>Old</t>
  </si>
  <si>
    <t>Venerable</t>
  </si>
  <si>
    <t>Pilot</t>
  </si>
  <si>
    <t>Technomancy</t>
  </si>
  <si>
    <t>Strength</t>
  </si>
  <si>
    <t>Tech</t>
  </si>
  <si>
    <t>Veilweaving</t>
  </si>
  <si>
    <t>Dexterity</t>
  </si>
  <si>
    <t>Climb (Str), Craft (Int), Fly (Dex), Heal (Wis), Intimidate (Cha), Knowledge (arcana) (Int), Knowledge (geography) (Int), Knowledge (nature) (Int), Perception (Wis), Profession (Wis), Ride (Dex), Sense Motive (Wis), Spellcraft (Int), Survival (Wis), and Swim (Str).</t>
  </si>
  <si>
    <t>Constitution</t>
  </si>
  <si>
    <t>Languages:</t>
  </si>
  <si>
    <t>Wisdom</t>
  </si>
  <si>
    <t xml:space="preserve">Appraise (Int), Bluff (Cha), Craft (Int), Diplomacy (Cha), Disguise (Cha), Knowledge (all) (Int), Linguistics (Int), Perception (Wis), Profession (Wis), Ride (Dex), Sense Motive (Wis), and Spellcraft (Int). </t>
  </si>
  <si>
    <t>Companion Creature Wondrous Item Slots</t>
  </si>
  <si>
    <t>Body type</t>
  </si>
  <si>
    <t>*Avian</t>
  </si>
  <si>
    <t>*Biped (claws/paws)</t>
  </si>
  <si>
    <t>*Biped (hands)</t>
  </si>
  <si>
    <t>Piscine</t>
  </si>
  <si>
    <t>Quadruped (claws/paws)</t>
  </si>
  <si>
    <t>Quadruped/Hexapod (feet)</t>
  </si>
  <si>
    <t>Quadruped (hooves)</t>
  </si>
  <si>
    <t>Quadruped (squat-body)</t>
  </si>
  <si>
    <t>Saurian</t>
  </si>
  <si>
    <t>TRAITS AND DRAWBACK</t>
  </si>
  <si>
    <t>Serpentine</t>
  </si>
  <si>
    <t>Verminous</t>
  </si>
  <si>
    <t>Slots Available</t>
  </si>
  <si>
    <t>CLASS FEATURES</t>
  </si>
  <si>
    <t>FEATS</t>
  </si>
  <si>
    <t>STORY &amp; MISC. NOTES</t>
  </si>
  <si>
    <t xml:space="preserve">Bluff (Cha), Climb (Str), Craft (Int), Intimidate (Cha), Knowledge (arcana) (Int), Knowledge (geography), Knowledge (history), Knowledge (planes) (Int), Knowledge (religion) (Int), Perception (Wis), Sense Motive (Wis), Spellcraft (Int), Swim (Str) , and Use Magic Device (Cha). </t>
  </si>
  <si>
    <t>Trait</t>
  </si>
  <si>
    <t>Bruising Intellect</t>
  </si>
  <si>
    <t>Attack/Damage (Main Sheet)</t>
  </si>
  <si>
    <t>Changelog</t>
  </si>
  <si>
    <t>Stalker Art (Rogue Talent: Prescient Dodger)</t>
  </si>
  <si>
    <t>Acrobatics (Dex), Autohypnosis (Wis), Bluff (Cha), Climb (Str), Craft (Int), Diplomacy (Cha), Fly (Dex), Heal (Wis), Intimidate (Cha), Knowledge (arcana) (Int), Knowledge (local) (Int), Knowledge (martial) (Int), Knowledge (nobility) (Int), Knowledge (religion) (Int), Linguistics (Int), Profession (Wis), Sense Motive (Wis), Spellcraft (Int), Stealth (Dex), and Survival (Wis).</t>
  </si>
  <si>
    <t>PF2 v1</t>
  </si>
  <si>
    <t xml:space="preserve">Acrobatics (Dex), Autohypnosis (Wis), Craft (Int), Intimidate (Cha), Knowledge (all) (Int), Perception (Wis), Perform (Cha), Profession (Wis), Sense Motive (Wis), Spellcraft (Int), Stealth (Dex), and Use Magic Device (Cha). </t>
  </si>
  <si>
    <t>Extra Origin Feat (Uncanny Aptitude - Nodachi)</t>
  </si>
  <si>
    <t>Aug 10th-ish 2018</t>
  </si>
  <si>
    <t>Expect a link here for the PF2 Autosheet when Paizo releases the second edition playtest</t>
  </si>
  <si>
    <t>Category 1 - Attack roll type</t>
  </si>
  <si>
    <t>Daayan Rajah</t>
  </si>
  <si>
    <t xml:space="preserve">Autohypnosis (Wis), Bluff (Cha), Craft (Int), Diplomacy (Cha), Heal (Wis), Intimidate (Cha), Knowledge (history) (Int), Knowledge (martial) (Int), Knowledge (nobility) (Int), Knowledge (psionics) (Int), Knowledge (religion) (Int), Perception (Wis), Profession (Wis), and Sense Motive (Wis). </t>
  </si>
  <si>
    <t>Unorthodox Method (Broken Blade -&gt; Black Seraph)</t>
  </si>
  <si>
    <t># of
Iterative Attacks:</t>
  </si>
  <si>
    <t>-- Fixed a series of problems with Monk Flurry</t>
  </si>
  <si>
    <t>Stalker Art (Rogue Talent: Shape Veil (Izanami's Nodachi))</t>
  </si>
  <si>
    <t>v6.2</t>
  </si>
  <si>
    <t>-- Added a "Clear Cells" script to the Welcome Page
-- A bug involving Class Skills near the bottom of the list has been fixed
-- A bug involving extra skill ranks for multiclass characters has been fixed
-- A bug in "Average, 1st level Max" hp calculations has been corrected for multiclass characters
-- Negative Levels now adjust Max HP, CL, and Initiative
-- Darkwood is no longer a valid Armor material, and provides the correct Shield benefit
-- Medium Spells/Day and Spells Known added. Apparently they aren't standard Tertiary casters like a Paladin
-- "Medium (Archmage/Heirophant Mode)" has been added as a class, with Secondary Caster spells known and Spells per day</t>
  </si>
  <si>
    <t>Acrobatics (Dex), Autohypnosis (Wis), Craft (Int), Diplomacy (Cha), Heal (Wis), Intimidate (Cha), Knowledge (local) (Int), Knowledge (martial) (Int), Knowledge (nobility) (Int), Knowledge (religion) (Int), Perform (Cha), Perception (Wis), Profession (Wis), Ride (Dex), Sense Motive(Wis), Spellcraft (Int), Survival (Wis), and Swim (Str).</t>
  </si>
  <si>
    <t>v6.1 (BETA)</t>
  </si>
  <si>
    <t>Hum.</t>
  </si>
  <si>
    <t>Off-Hand Melee Attack (must have TWF 1, 2, or 3 active on Buff Table)</t>
  </si>
  <si>
    <t>Focused Veil (Dimensional Bridge)</t>
  </si>
  <si>
    <t>-- Fixed a bug that resulted in a Max Dex Bonus to AC of 0 when a shield was not equipped. Also added '(no shield)' as an option in the relevant dropdown.</t>
  </si>
  <si>
    <t>-- Added Psionics Unleashed options to the Skills section, as well as advice on the Welcome Page for dealing with the most frequent error there.
-- Fixed a bug where Armor material was applying the opposite benefit/penalty that it should have been
-- Fixed an error in Mithral armor material that caused it to give extra Armor Check Penalty reduction in conjunction with the Masterwork reduction.</t>
  </si>
  <si>
    <t>Soul Hunter Stakler</t>
  </si>
  <si>
    <t>Ranged Attack</t>
  </si>
  <si>
    <t>DB</t>
  </si>
  <si>
    <t>-- Created the changelog and automatic notification/linking to it from the Welcome Page for all future downloads. 
-- Added notes to Welcome Page and Autocasting v4 to reflect an error which appears due to sheet permissions when copied. If a supplementary page does not have permission to access another spreadsheet, its IMPORTRANGE functions and all derived cells will return errors.
-- Changed the name to more accurately reflect the fact that bugs are an ever-present threat.</t>
  </si>
  <si>
    <t>Off-Hand Ranged Attack (must have TWF 1, 2, or 3 active on Buff Table)</t>
  </si>
  <si>
    <t>v6.1</t>
  </si>
  <si>
    <t>-- Major layout tweaks
-- Added a "Spellcasting Light" region on the Main Sheet so that the separate AutoCasting v4 sheet is now optional
-- added Vigilante (because apparently I forgot to do that months ago) and Shifter (because it just came out)
-- Fixed (or attempted to fix) all outstanding bugs and "to-do's" from v5
-- Updated v5.2.4 with a link to this document</t>
  </si>
  <si>
    <t>v6</t>
  </si>
  <si>
    <t>Combat Maneuver</t>
  </si>
  <si>
    <t>Full rebuild from scratch of v5 
-- dramatically reduced load times and lag by separating extraneous tabs into separate sheets
-- condensed layout of Main Sheet for enhanced utility and aesthetics
-- dramatically simplified behind-the-scenes formulas for easier access</t>
  </si>
  <si>
    <t>1</t>
  </si>
  <si>
    <t>v5.2.4</t>
  </si>
  <si>
    <t>Acrobatics (Dex), Appraise (Int), Bluff (Cha), Craft (Int), Diplomacy (Cha), Heal (Wis), Knowledge (Martial) (Int), Knowledge (Nature) (Int), Knowledge (Nobility), Perception (Wis), Profession (Wis), Sense Motive (Wis), and Sleight of Hand (Dex).</t>
  </si>
  <si>
    <t>Soul Claiming (Su)</t>
  </si>
  <si>
    <t>Magic</t>
  </si>
  <si>
    <t>Hidden Brandweaver</t>
  </si>
  <si>
    <t>The most stable and long-running edition of the autosheet thus far. Still has a few esoteric bugs, but it either completely works for 99% of all PCs I've built on it, or it has all the tools and space to allow users to add oddities like Elven Combat Style into their characters with ease.</t>
  </si>
  <si>
    <t>v1 - v5</t>
  </si>
  <si>
    <t xml:space="preserve">Acrobatics (Dex), Autohypnosis (Wis), Bluff (Cha), Craft (Int), Disguise (Cha), Fly (Dex), Heal (Wis), Intimidate (Cha), Knowledge (all) (Int), Perception (Wis), Profession (Wis), Sense Motive (Wis), Spellcraft (Int), Stealth (Dex), Survival (Wis), and Use Magical Device (Cha). </t>
  </si>
  <si>
    <t>Monk Flurry</t>
  </si>
  <si>
    <t>It all started with Guyleal - an elven alchemist I built in the most overpowered game of Pathfinder I've ever played in. I'm a smart guy (I think) but at around the "20 concurrent buffs" mark even I realized I needed some help, and nothing on the internet could really do what I needed.</t>
  </si>
  <si>
    <t>Soulburning (Su) +1d6</t>
  </si>
  <si>
    <t xml:space="preserve">Acrobatics (Dex), Bluff (Cha), Climb (Str), Craft (Int), Diplomacy (Cha), Intimidate (Cha), Knowledge (arcana) (Int), Knowledge (nature) (Int), Knowledge (planes) (Int), Perception (Wis), Perform (Cha), Profession (Wis), Sense Motive (Wis), Spellcraft (Int), and Use Magic Device (Cha). </t>
  </si>
  <si>
    <t>Extra Readied Maneuver</t>
  </si>
  <si>
    <t>Single Attack</t>
  </si>
  <si>
    <t>Natural Attacks (Searches attack name for # of attacks, defaults to 1)</t>
  </si>
  <si>
    <t xml:space="preserve">Bluff (Cha), Craft (Int), Diplomacy (Cha), Fly (Dex), Heal (Wis), Intimidate(Cha), Knowledge (arcane) (Int), Knowledge (history) (Int), Knowledge (nobility) (Int), Perception (Wis), Perform (Cha), Profession (Wis), Ride (Dex), Sense Motive (Wis), Spellcraft (Int), and Use Magic Device (Cha). </t>
  </si>
  <si>
    <t>RACIAL FEATURES</t>
  </si>
  <si>
    <t>STR to hit, STR to damage (Standard Melee)</t>
  </si>
  <si>
    <t>Daayan Veilweaving (Su)</t>
  </si>
  <si>
    <t xml:space="preserve">Acrobatics (Dex), Bluff (Cha), Craft (Int), Diplomacy (Cha), Handle Animal (Cha), Heal (Wis), Intimidate (Cha), Knowledge (arcana) (Int), Knowledge (local) (Int), Knowledge (nobility) (Int), Perception (Wis), Ride (Dex), Sense Motive (Wis), Survival (Wis), and Spellcraft (Int) </t>
  </si>
  <si>
    <t>Domain Rune: Trickery</t>
  </si>
  <si>
    <t>STR to hit, STR * 0.5 to damage (Standard Off-Hand)</t>
  </si>
  <si>
    <t>Path of the Vazputrika</t>
  </si>
  <si>
    <t>DEX to hit (Crossbows, Firearms, Ranged Touch attacks)</t>
  </si>
  <si>
    <t xml:space="preserve">Acrobatics (Dex), Climb (Str), Craft (Int), Fly (Dex), Handle Animal (Cha), Heal (Wis), Intimidate (Cha), Knowledge (arcana) (Int), Knowledge (geography) (Int), Knowledge (nature) (Int), Perception (Wis), Profession (Wis), Ride (Dex), Spellcraft (Int), Stealth (Dex), Survival (Wis), and Swim (Str). </t>
  </si>
  <si>
    <t>Runic Complexity (Su)</t>
  </si>
  <si>
    <t>Ruler's Domain (Su) ACF</t>
  </si>
  <si>
    <t>DEX to hit (Crossbows, Firearms)</t>
  </si>
  <si>
    <t>STR to hit (Standard)</t>
  </si>
  <si>
    <t>Runic Dominance</t>
  </si>
  <si>
    <t xml:space="preserve">Acrobatics (Dex), Appraise (Int), Craft (any) (Int), Diplomacy (Cha), Disable Device (Dex), Escape Artist (Dex), Fly (Dex), Intimidate (Cha), Knowledge (Arcana) (Int), Knowledge (Engineering) (Int), Knowledge (Martial) (Int), Perception (Wis), Ride (Dex), Sense Motive (Wis), Spellcraft (Int), and Swim (Str). </t>
  </si>
  <si>
    <t>Actions of a Ruler (Su) ACF</t>
  </si>
  <si>
    <t>Caster Level Check (CL)</t>
  </si>
  <si>
    <t>STR/STR Monk Melee Flurry (Uses Monk level as full BAB)</t>
  </si>
  <si>
    <t>Bluff (Cha), Climb (Str), Craft (Int), Diplomacy (Cha), Disguise (Cha), Fly (Dex), Handle Animal (Cha), Heal (Wis), Intimidate (Cha), Knowledge (arcana) (Int), Knowledge (geography), Knowledge (history) (Int), Knowledge (nature) (Int), Knowledge (planes) (Int), Perception (Wis), Profession (Wis), Sense Motive (Wis), Spellcraft (Int), Survival (Wis), Swim (Str), and Use Magic Device (Cha). '</t>
  </si>
  <si>
    <t>Strings of the Sun King (Su)</t>
  </si>
  <si>
    <t>Melee: STR to hit, STR to damage (Standard Melee)</t>
  </si>
  <si>
    <t>STR/STR*1.5 Single Primary Natural Attack (Haste Applies)</t>
  </si>
  <si>
    <t>Branded Vassal (Su)</t>
  </si>
  <si>
    <t xml:space="preserve">Acrobatics (Dex), Appraise (Int), Bluff (Cha), Climb (Str), Craft (Int), Diplomacy (Cha), Disable Device (Dex), Disguise (Cha), Escape Artist (Dex), Intimidate (Cha), Knowledge (history) (Int), Knowledge (local) (Int), Knowledge (religion) (Int), Perception (Wis), Profession (Wis), Sense Motive (Wis), Sleight of Hand (Dex), Stealth (Dex), Swim (Str), and Use Magic Device (Cha). </t>
  </si>
  <si>
    <t>Alchemist Bomb (DEX to hit, INT to damage) (Single Attack)</t>
  </si>
  <si>
    <t>Empowered Brands (Su)</t>
  </si>
  <si>
    <t>STR to hit, STR*1.5 to damage (Two-Handed Melee)</t>
  </si>
  <si>
    <t xml:space="preserve">Acrobatics (Dex), Climb (Str), Craft (Int), Knowledge (dungeoneering) (Int), Knowledge (engineering) (Int), Knowledge (local) (Int), Knowledge (nobility) (Int), Perception (Wis), Profession (Wis), Ride (Dex), Sense Motive (Wis), and Swim (Str). </t>
  </si>
  <si>
    <t>STR to hit, STR to damage (Double Slice)</t>
  </si>
  <si>
    <t>Oppressing Presence (Su)</t>
  </si>
  <si>
    <t>DEX to hit, STR to Damage (Composite Bows, Thrown Weapons)</t>
  </si>
  <si>
    <t>DEX to hit, STR * 0.5 to Damage (Thrown Weapons)</t>
  </si>
  <si>
    <t>Appraise (Int), Bluff (Cha), Craft (Int), Diplomacy (Cha), Disguise (Cha), Fly (Dex), Heal (Wis), Intimidate (Cha), Knowledge (arcana) (Int), Knowledge (dungeoneering) (Int), Knowledge (history) (Int), Knowledge (planes) (Int), Knowledge (religion) (Int), Linguistics (Int), Perception (Wis), Profession (Wis), Sense Motive (Wis), Spellcraft (Int), Stealth (Dex), and Use Magic Device (Cha).</t>
  </si>
  <si>
    <t>3PP PSIONICS</t>
  </si>
  <si>
    <t>DEX to hit (Weapon Finesse, Agile Maneuvers)</t>
  </si>
  <si>
    <t>Tyrant's Grasp (Su)</t>
  </si>
  <si>
    <t>Concentration Check (CL + Ability)</t>
  </si>
  <si>
    <t>STR/STR*1.5 Monk Melee Flurry (Base Monk does not get *1.5 STR, but does get better Power Attack ratio; Unchained Monk gets both) (Uses Monk level as full BAB)</t>
  </si>
  <si>
    <t>Melee: STR to hit, STR * 1.5 to damage (Two-Handed Melee)</t>
  </si>
  <si>
    <t>STR/STR Primary Natural Attacks (Haste Applies)</t>
  </si>
  <si>
    <t>Alchemist Bomb (DEX to hit, INT to damage) (Rapid Bomb)</t>
  </si>
  <si>
    <t>~~~~~~~~~~</t>
  </si>
  <si>
    <t>DEX to hit, DEX to Damage (Gun Training + Firearm)</t>
  </si>
  <si>
    <t>DEX to hit, STR to Damage (Double Slice + Thrown, Kasatha double archery)</t>
  </si>
  <si>
    <t xml:space="preserve">Acrobatics (Dex), Autohypnosis (Wis), Climb (Str), Craft (Int), Fly (Dex), Intimidate (Cha), Knowledge (Engineering) (Int), Knowledge (Psionics) (Int), Profession (Wis), Spellcraft (Int), Swim (Str), and Use Magic Device (Cha). </t>
  </si>
  <si>
    <t>WIS to hit (Guided Hand)</t>
  </si>
  <si>
    <t>STR/STR Primary Natural Attack (Haste does not apply)</t>
  </si>
  <si>
    <t>DEX to hit, STR * 0.5 to damage (Weapon Finesse)</t>
  </si>
  <si>
    <t xml:space="preserve">Acrobatics (Dex), Appraise (Int), Autohypnosis (Wis), Climb (Str), Craft (Int), Disable Device (Dex), Disguise (Cha), Escape Artist (Dex), Knowledge (all) (Int), Linguistics (Int), Perception (Wis), Perform (Cha), Profession (Wis), Sense Motive (Wis), Sleight of Hand (Dex), Spellcraft (Int), Stealth (Dex), Swim (Str), and Use Magic Device(Cha). </t>
  </si>
  <si>
    <t>DEX/STR Monk Melee Flurry (Uses Monk level as full BAB)</t>
  </si>
  <si>
    <t xml:space="preserve">Acrobatics (Dex), Autohypnosis (Wis), Bluff (Cha), Climb (Str), Craft (Int), Escape Artist (Dex), Intimidate (Cha), Knowledge (psionics) (Int), Perception (Wis), Stealth (Dex), Profession (Wis), Spellcraft (Int), Sense Motive (Wis), and Swim (Str) </t>
  </si>
  <si>
    <t>Melee: DEX to hit, STR to damage (Weapon Finesse)</t>
  </si>
  <si>
    <t>STR/STR*0.5 Secondary Natural Attack (-5 or -2 penalty to hit must be added manually) (Haste does not apply)</t>
  </si>
  <si>
    <t xml:space="preserve">Acrobatics (Dex), Autohypnosis (Wis), Climb (Str), Craft (Int), Escape Artist (Dex), Intimidate (Cha), Knowledge (psionics) (Int), Perception (Wis), Perform (Cha), Profession (Wis), Sense Motive (Wis), Stealth (Dex), Survival (Wis), and Use Magic Device (Cha) </t>
  </si>
  <si>
    <t>Witch Prehensile Hair (INT to hit / INT to damage)</t>
  </si>
  <si>
    <t>DEX to hit, STR to damage (Weapon Finesse)</t>
  </si>
  <si>
    <t>DEX to hit, STR to damage (Weapon Finesse + Double Slice)</t>
  </si>
  <si>
    <t xml:space="preserve">Autohypnosis (Wis), Craft (Int), Knowledge (all) (Int), Profession (Wis), and Spellcraft (Int). </t>
  </si>
  <si>
    <t>STR to hit, STR to damage (Belt of Mighty Hurling)</t>
  </si>
  <si>
    <t>EFFECT TABLE</t>
  </si>
  <si>
    <t>STR + Maneuver Training (Class #1 grants full BAB)</t>
  </si>
  <si>
    <t>DEX/DEX Monk Melee Flurry (Uses Monk level as full BAB)</t>
  </si>
  <si>
    <t xml:space="preserve">Acrobatics (Dex), Autohypnosis (Wis), Climb (Str), Craft (Int), Knowledge (psionics) (Int), Perception (Wis), Profession (Wis), Ride (Dex), Spellcraft (Int), and Swim (Str). </t>
  </si>
  <si>
    <t>Melee: DEX to hit, DEX to damage (Agile property, Unchained Rogue 3, Slashing Grace, Mythic Weapon Finesse)</t>
  </si>
  <si>
    <t>White Witch Hair (STR to hit / INT to damage)</t>
  </si>
  <si>
    <t xml:space="preserve">Acrobatics (Dex), Autohypnosis (Wis), Climb (Str), Craft (Int), Intimidate (Cha), Knowledge (psionics) (Int), Perception (Wis), Profession (Wis), Stealth (Dex), and Swim (Str). </t>
  </si>
  <si>
    <t>BACKGROUND / PERSONALITY</t>
  </si>
  <si>
    <t>DEX to hit, DEX to damage (Agile property, Unchained Rogue 3, Slashing Grace, Mythic Weapon Finesse)</t>
  </si>
  <si>
    <t>DEX to hit, DEX * 0.5 to damage (Agile property, Unchained Rogue 3, Mythic Weapon Finesse)</t>
  </si>
  <si>
    <t>~~~~~~~~~~~</t>
  </si>
  <si>
    <t>STR to hit, STR * 0.5 to damage (Belt of Mighty Hurling)</t>
  </si>
  <si>
    <t xml:space="preserve">Autohypnosis (Wis), Bluff (Cha), Climb (Str), Craft (Int), Diplomacy (Cha), Intimidate (Cha), Knowledge (engineering) (Int), Knowledge (history) (Int), Knowledge (psionics) (Int), Linguistics (Int), Perception (Wis), Perform (Cha), Profession (Wis), Ride (Dex), Sense Motive (Wis), Spellcraft (Int), Swim (Str), Use Magic Device (Cha). </t>
  </si>
  <si>
    <t>How were you raised? Do you have any close family?</t>
  </si>
  <si>
    <t>DEX + Maneuver Training (Class #1 grants full BAB)</t>
  </si>
  <si>
    <t>Buff or Effect</t>
  </si>
  <si>
    <t>Melee: DEX to hit, DEX*1.5 to damage (Unchained Rogue)</t>
  </si>
  <si>
    <t xml:space="preserve">Autohypnosis, Bluff, Craft, Diplomacy, Heal, Intimidate, Knowledge (history), Knowledge (local), Knowledge (psionics), Linguistics, Perception, Perform, Profession, Sense Motive, Spellcraft, and Survival. </t>
  </si>
  <si>
    <t>Active?</t>
  </si>
  <si>
    <t>DEX/STR*1.5 Single Primary Natural Attack (Haste Applies)</t>
  </si>
  <si>
    <t>Armor Class</t>
  </si>
  <si>
    <t>Saving Throws</t>
  </si>
  <si>
    <t>Ability Scores</t>
  </si>
  <si>
    <t>White Witch Hair (DEX to hit / INT to damage)</t>
  </si>
  <si>
    <t>Melee</t>
  </si>
  <si>
    <t>Ranged</t>
  </si>
  <si>
    <t>Extra Attack</t>
  </si>
  <si>
    <t>DEX to hit, DEX*1.5 to damage (Unchained Rogue)</t>
  </si>
  <si>
    <t xml:space="preserve">Acrobatics (Dex), Autohypnosis (Wis), Bluff (Cha), Climb (Str), Craft (Int), Diplomacy (Cha), Escape Artist (Dex), Intimidate (Cha), Knowledge (psionics) (Int), Perception (Wis), Profession (Int), Sense Motive (Wis), Spellcraft (Int), Swim (Str), and Use Magic Device (Cha). </t>
  </si>
  <si>
    <t>Relative
Size
Change</t>
  </si>
  <si>
    <t>DEX to hit, DEX to damage (Double Slice + Agile/Rogue/Mythic Finesse)</t>
  </si>
  <si>
    <t>Skill Checks</t>
  </si>
  <si>
    <t>3PP PATH OF WAR</t>
  </si>
  <si>
    <t>Kn. Martial</t>
  </si>
  <si>
    <t>WIS + Maneuver Training (Class #1 grants full BAB)</t>
  </si>
  <si>
    <t>WIS/STR Monk Melee Flurry (Uses Monk level as full BAB)</t>
  </si>
  <si>
    <t>Nat</t>
  </si>
  <si>
    <t>DEX/STR Primary Natural Attacks (Haste Applies)</t>
  </si>
  <si>
    <t>Con</t>
  </si>
  <si>
    <t>Attack</t>
  </si>
  <si>
    <t>Dmg</t>
  </si>
  <si>
    <t>OHD</t>
  </si>
  <si>
    <t>White Witch Hair (INT Combat Maneuver)</t>
  </si>
  <si>
    <t>2HD</t>
  </si>
  <si>
    <t>1stA</t>
  </si>
  <si>
    <t>CL</t>
  </si>
  <si>
    <t>TWF</t>
  </si>
  <si>
    <t>WIS to hit, STR to Damage (Guided Hand)</t>
  </si>
  <si>
    <t>All</t>
  </si>
  <si>
    <t xml:space="preserve">Acrobatics (Dex), Appraise (Int), Bluff (Cha), Climb (Str), Craft (Int), Disable Device (Dex), Disguise (Cha), Escape Artist (Dex), Heal (Wis), Intimidate (Cha), Knowledge (local) (Int), Knowledge (martial) (Int), Knowledge (nature) (Int), Knowledge (religion) (Int), Perception (Wis), Profession (Wis), Sense Motive (Wis), and Stealth (Dex). </t>
  </si>
  <si>
    <t>Specified Skills &amp; Initiative</t>
  </si>
  <si>
    <t>WIS/STR*1.5 Monk Melee Flurry (Monk does not get *1.5 STR, but does get better Power Attack ratio) (Uses Monk level as full BAB)</t>
  </si>
  <si>
    <t>TOTAL:</t>
  </si>
  <si>
    <t>Melee: WIS to hit, STR to damage (Guided Hand)</t>
  </si>
  <si>
    <t xml:space="preserve">Acrobatics (Dex), Bluff (Cha), Climb (Str), Craft (Int), Diplomacy (Cha), Handle Animal (Cha), Intimidate (Cha), Knowledge (history) (Int), Knowledge (martial) (Int), Knowledge (nobility and royalty) (Int), Profession (Wis), Ride (Dex), Survival (Wis), and Swim (Str). </t>
  </si>
  <si>
    <t xml:space="preserve">DEX/STR Primary Natural Attack (Haste does not apply) </t>
  </si>
  <si>
    <t>WIS to hit, 0.5 * STR to damage (Guided Hand)</t>
  </si>
  <si>
    <t>WIS to hit, WIS to Damage (Mythic Guided Hand)</t>
  </si>
  <si>
    <t xml:space="preserve">Acrobatics (Dex), Climb (Str), Craft (Int), Diplomacy (Cha), Handle Animal (Cha), Intimidate (Cha), Knowledge (engineering) (Int), Knowledge (history) (Int), Knowledge (martial) (Int), Perception (Wis), Profession (Wis), Ride (Dex), Sense Motive (Wis), Survival (Wis), Swim (Str). </t>
  </si>
  <si>
    <t>WIS to hit, STR * 0.5 to Damage (Guided Hand)</t>
  </si>
  <si>
    <t>HOMEBREW AND SHIT</t>
  </si>
  <si>
    <t>Spell-Based (CL + Casting Ability)</t>
  </si>
  <si>
    <t>WIS/WIS Monk Melee Flurry (Uses Monk level as full BAB)</t>
  </si>
  <si>
    <t>Melee: WIS to hit, WIS to damage (Mythic Guided Hand)</t>
  </si>
  <si>
    <t>DEX/STR*0.5 Secondary Natural Attack (-5 or -2 penalty to hit must be added manually) (Haste does not apply)</t>
  </si>
  <si>
    <t>Acrobatics (Dex), Bluff (Cha), Climb (Str), Craft (Int), Heal (Wis), Knowledge (geography) (Int), Knowledge (nature) (Int), Perception (Wis), Profession (Wis), Ride (Dex), Sense Motive (Wis), Stealth (Dex), Survival (Wis), and Swim (Str).</t>
  </si>
  <si>
    <t>Kineticist Ranged (DEX to hit, CON to damage)</t>
  </si>
  <si>
    <t>WIS to hit, STR to damage (Guided Hand)</t>
  </si>
  <si>
    <t>WIS to hit, STR to damage (Double Slice + Guided Hand)</t>
  </si>
  <si>
    <t>Acrobatics (Dex), Appraise (Int), Bluff (Cha), Climb (Str), Craft (Int), Diplomacy (Cha), Disguise (Cha), Escape Artist (Dex), Intimidate (Cha), Knowledge (all) (Int), Linguistics (Int), Perception (Wis), Perform (Cha), Profession (Wis), Sense Motive (Wis), Sleight of Hand (Dex), Spellcraft (Int), Stealth (Dex), and Use Magic Device (Cha).</t>
  </si>
  <si>
    <t>WIS to hit, STR to Damage (Double Slice + Guided Hand)</t>
  </si>
  <si>
    <t>-----------</t>
  </si>
  <si>
    <t>Kineticist Ranged (DEX to hit, CON*0.5 to damage)</t>
  </si>
  <si>
    <t>Acrobatics (Dex), Climb (Str), Craft (Int), Handle Animal (Cha), Heal (Wis), Intimidate (Cha), Knowledge (nature) (Int), Perception (Wis), Profession (Wis), Ride (Dex), Stealth (Dex), Survival (Wis), and Swim (Str).</t>
  </si>
  <si>
    <t>WIS to hit, WIS to damage (Mythic Guided Hand)</t>
  </si>
  <si>
    <t>WIS to hit, 0.5 * WIS to damage (Mythic Guided Hand)</t>
  </si>
  <si>
    <t>WIS to hit, WIS * 0.5 to Damage (Mythic Guided Hand)</t>
  </si>
  <si>
    <t>DEX/--- Monk Ranged Flurry (Uses Monk level as full BAB)</t>
  </si>
  <si>
    <t>Acrobatics (Dex), Climb (Str), Craft (Int), Handle Animal (Cha), Intimidate (Cha), Knowledge (arcana) (Int), Knowledge (local) (Int), Perception (Wis), Perform (Cha), Profession (Wis), Ride (Dex), Survival (Wis), and Swim (Str).</t>
  </si>
  <si>
    <t>Ranged: DEX to hit (Crossbows, Firearms, Ranged Touch attacks)</t>
  </si>
  <si>
    <t>DEX/DEX*1.5 Single Primary Natural Attack (Unchained Rogue Only) (Haste Applies)</t>
  </si>
  <si>
    <t>Climb (Str), Craft (Int), Diplomacy (Cha), Handle Animal (Cha), Intimidate (Cha), Knowledge (nobility) (Int), Perception (Wis), Profession (Wis), Ride (Dex), Sense Motive (Wis), and Swim (Str).</t>
  </si>
  <si>
    <t>Kineticist Melee (DEX to hit, CON to damage)</t>
  </si>
  <si>
    <t>Acrobatics (Dex), Climb (Str), Craft (Int), Escape Artist (Dex), Intimidate (Cha), Knowledge (history) (Int), Knowledge (religion) (Int), Perception (Wis), Perform (Cha), Profession (Wis), Ride (Dex), Sense Motive (Wis), Stealth (Dex), and Swim (Str).</t>
  </si>
  <si>
    <t>WIS to hit, WIS to damage (Double Slice + Mythic Guided Hand)</t>
  </si>
  <si>
    <t>Acrobatics (Dex), Bluff (Cha), Climb (Str), Craft (Int), Diplomacy (Cha), Fly (Dex), Intimidate (Cha), Knowledge (arcana) (Int), Knowledge (planes) (Int), Perception (Wis), Profession (Wis), Ride (Dex), Spellcraft (Int), Swim (Str), and Use Magic Device (Cha).</t>
  </si>
  <si>
    <t>DEX/STR Monk Ranged Flurry (Uses Monk level as full BAB)</t>
  </si>
  <si>
    <t>Ranged: DEX to hit, STR to Damage (Composite Bows, Thrown Weapons)</t>
  </si>
  <si>
    <t>DEX/DEX Primary Natural Attacks (Haste Applies)</t>
  </si>
  <si>
    <t>Acrobatics (Dex), Appraise (Int), Bluff (Cha), Climb (Str), Craft (Int), Diplomacy (Cha), Disable Device (Dex), Disguise (Cha), Escape Artist (Dex), Intimidate (Cha), Knowledge (dungeoneering) (Int), Knowledge (local) (Int), Linguistics (Int), Perception (Wis), Perform (Cha), Profession (Wis), Sense Motive (Wis), Sleight of Hand (Dex), Stealth (Dex), Swim (Str), and Use Magic Device (Cha).</t>
  </si>
  <si>
    <t>Kineticist Melee (DEX to hit, CON*0.5 to damage)</t>
  </si>
  <si>
    <t>DEX/DEX Monk Ranged Flurry (Uses Monk level as full BAB)</t>
  </si>
  <si>
    <t>Acrobatics (Dex), Climb (Str), Craft (Int), Handle Animal (Cha), Intimidate (Cha), Knowledge (dungeoneering) (Int), Profession (Wis), Ride (Dex), Survival (Wis), and Swim (Str).</t>
  </si>
  <si>
    <t>Ranged: DEX to hit, DEX to Damage (Gun Training + Firearm)</t>
  </si>
  <si>
    <t xml:space="preserve">DEX/DEX Primary Natural Attack (Haste does not apply) </t>
  </si>
  <si>
    <t>Appraise (Int), Craft (Int), Fly (Dex), Heal (Wis), Knowledge (all) (Int), Linguistics (Int), Perception (Wis), Profession (Wis), and Spellcraft (Int).</t>
  </si>
  <si>
    <t>Kineticist Melee (STR to hit, CON to damage)</t>
  </si>
  <si>
    <t>STR/STR Monk Ranged Flurry (Belt of Mighty Hurling) (Uses Monk level as full BAB)</t>
  </si>
  <si>
    <t>Ranged: STR to hit, STR to damage (Belt of Mighty Hurling)</t>
  </si>
  <si>
    <t>Acrobatics (Dex), Climb (Str), Craft (Int), Intimidate (Cha), Knowledge (dungeoneering) (Int), Perception (Wis), Ride (Dex), Survival (Wis), and Swim (Str).</t>
  </si>
  <si>
    <t>DEX/DEX*0.5 Secondary Natural Attack (-5 or -2 penalty to hit must be added manually) (Haste does not apply)</t>
  </si>
  <si>
    <t>Kineticist Melee (STR to hit, CON*0.5 to damage)</t>
  </si>
  <si>
    <t>Acrobatics (Dex), Appraise (Int), Craft (Int), Fly (Dex), Knowledge (all) (Int), Linguistics (Int), Perception (Wis), Profession (Wis), Sense Motive (Wis), Spellcraft (Int), and Survival (Wis).</t>
  </si>
  <si>
    <t>WIS/STR Monk Ranged Flurry (Uses Monk level as full BAB)</t>
  </si>
  <si>
    <t>Ranged: WIS to hit (Guided Hand)</t>
  </si>
  <si>
    <t>Appraise (Int), Craft (any) (Int), Disable Device (Dex), Fly (Dex), Heal (Wis), Knowledge (arcana) (Int), Knowledge (nature) (Int), Perception (Wis), Profession (Wis), Sleight of Hand (Dex), Spellcraft (Int), Survival (Wis), Use Magic Device (Cha)</t>
  </si>
  <si>
    <t>WIS/WIS Monk Ranged Flurry (Uses Monk level as full BAB)</t>
  </si>
  <si>
    <t>Ranged: WIS to hit, STR to Damage (Guided Hand)</t>
  </si>
  <si>
    <t>Ranged: WIS to hit, WIS to Damage (Mythic Guided Hand)</t>
  </si>
  <si>
    <t>Bluff (Cha), Climb (Str), Craft (Int), Diplomacy (Cha), Handle Animal (Cha), Intimidate (Cha), Knowledge (nobility) (Int), Profession (Wis), Ride (Dex), Sense Motive (Wis), and Swim (Str).</t>
  </si>
  <si>
    <t>Appraise (Int), Craft (Int), Diplomacy (Cha), Heal (Wis), Knowledge (arcana) (Int), Knowledge (history) (Int), Knowledge (nobility) (Int), Knowledge (planes) (Int), Knowledge (religion) (Int), Linguistics (Int), Profession (Wis), Sense Motive (Wis), and Spellcraft (Int).</t>
  </si>
  <si>
    <t>Attack 1</t>
  </si>
  <si>
    <t>Main Sheet Attack #1</t>
  </si>
  <si>
    <t>Bluff (Cha), Craft (Int), Disguise (Cha), Handle Animal (Cha), Intimidate (Cha), Knowledge (nobility) (Int), Knowledge (religion) (Int), Profession (Wis), Ride (Dex), Sense Motive (Wis), Spellcraft (Int), and Stealth (Dex).</t>
  </si>
  <si>
    <t>Main Sheet Attack #2</t>
  </si>
  <si>
    <t>Main Sheet Attack #3</t>
  </si>
  <si>
    <t>Main Sheet Attack #4</t>
  </si>
  <si>
    <t>Main Sheet Attack #5</t>
  </si>
  <si>
    <t>Main Sheet Attack #6</t>
  </si>
  <si>
    <t>Attack 2</t>
  </si>
  <si>
    <t>Appraise (Int), Craft (Int), Disable Device (Dex), Fly (Dex), Knowledge (dungeoneering, engineering, and technology) (Int), Linguistics (Int), Perception (Wis), Profession (Wis), Repair (Int), Spellcraft (Int), and Use Magic Device (Cha).</t>
  </si>
  <si>
    <t xml:space="preserve">Where/From whom did you learn your skills? </t>
  </si>
  <si>
    <t>Semi-Permanent or Miscellaneous Effects:</t>
  </si>
  <si>
    <t>Acrobatics (Dex), Appraise (Int), Bluff (Cha), Climb (Str), Craft (Int), Diplomacy (Cha), Disguise (Cha), Escape Artist (Dex), Intimidate (Cha), Knowledge (local) (Int), Linguistics (Int), Perception (Wis), Perform (Cha), Profession (Wis), Sense Motive (Wis), Sleight of Hand (Dex), Stealth (Dex), Swim (Str), and Use Magic Device (Cha).</t>
  </si>
  <si>
    <t>Base Move Speeds</t>
  </si>
  <si>
    <t>Attack 3</t>
  </si>
  <si>
    <t>ACTIVE</t>
  </si>
  <si>
    <t>Climb (Str), Craft (Int), Fly (Dex), Knowledge (geography) (Int), Knowledge (nature) (Int), Knowledge (planes) (Int), Perception (Wis), Perform (Cha), Profession (Wis), Ride (Dex), Sense Motive (Wis), Spellcraft (Int), Stealth (Dex), Survival (Wis), and Swim (Str).</t>
  </si>
  <si>
    <t>Attack 4</t>
  </si>
  <si>
    <t>Attack 5</t>
  </si>
  <si>
    <t>Attack 6</t>
  </si>
  <si>
    <t>Acrobatics (Dex), Bluff (Cha), Climb (Str), Craft (Int), Handle Animal (Cha), Heal (Wis), Intimidate (Cha), Knowledge (engineering) (Int), Knowledge (technology) (Int), Perception (Wis), Profession (Wis), Repair (Int), Ride (Dex), Sleight of Hand (Dex), Survival (Wis), and Swim (Str).</t>
  </si>
  <si>
    <t>Prescient Dodger</t>
  </si>
  <si>
    <t>Dodge (stacks)</t>
  </si>
  <si>
    <t>Craft (Int), Diplomacy (Cha), Handle Animal (Cha), Heal (Wis), Knowledge (nobility) (Int), Knowledge (religion) (Int), Profession (Wis), Ride (Dex), Sense Motive (Wis), and Spellcraft (Int).</t>
  </si>
  <si>
    <t>Bluff (Cha), Craft (Int), Diplomacy (Cha), Disguise (Cha), Knowledge (arcana) (Int), Knowledge (local) (Int), Knowledge (planes) (Int), Linguistics (Int), Perception (Wis), Perform (Cha), Profession (Wis), Sense Motive (Wis), Sleight of Hands (Dex), and Spellcraft (Int).</t>
  </si>
  <si>
    <t>What are your personal life goals?  What challenges do you seek?</t>
  </si>
  <si>
    <t>Appraise (Int), Craft (any) (Int), Diplomacy (Cha), Heal (Wis), Knowledge (nature) (Int), Knowledge (technology) (Int), Linguistics (Int), Perception (Wis), Profession (Wis), Sense Motive (Wis), and Survival (Wis).</t>
  </si>
  <si>
    <t>Types of Bonuses</t>
  </si>
  <si>
    <t>Alchemical</t>
  </si>
  <si>
    <t>Circumstance (stacks)</t>
  </si>
  <si>
    <t>Competence</t>
  </si>
  <si>
    <t>Deflect/Enhance/Resist</t>
  </si>
  <si>
    <t>Insight</t>
  </si>
  <si>
    <t>Luck</t>
  </si>
  <si>
    <t>Morale</t>
  </si>
  <si>
    <t>Precision Damage</t>
  </si>
  <si>
    <t>Sacred / Profane</t>
  </si>
  <si>
    <t>Untyped (stacks)</t>
  </si>
  <si>
    <t>Bluff (Cha), Craft (Int), Diplomacy (Cha), Intimidate (Cha), Knowledge (all) (Int), Linguistics (Int), Perception (Wis), Profession (Wis), Spellcraft (Int), and Use Magic Device (Cha).</t>
  </si>
  <si>
    <t>Bonus AC (Stacks)</t>
  </si>
  <si>
    <t>Experience Chart</t>
  </si>
  <si>
    <t>XP Chart</t>
  </si>
  <si>
    <t>Slow</t>
  </si>
  <si>
    <t>List your three most important personal beliefs:</t>
  </si>
  <si>
    <t>Fast</t>
  </si>
  <si>
    <t>Craft (Int), Diplomacy (Cha), Fly (Dex), Knowledge (all) (Int), Linguistics (Int), Profession (Wis), Ride (Dex), Spellcraft (Int), and Use Magic Device (Cha).</t>
  </si>
  <si>
    <t>Size Modifiers</t>
  </si>
  <si>
    <t>Key Number</t>
  </si>
  <si>
    <t>Attack / AC</t>
  </si>
  <si>
    <t>CMB / CMD</t>
  </si>
  <si>
    <t>Fly Skill</t>
  </si>
  <si>
    <t>Stealth Skill</t>
  </si>
  <si>
    <t>Carrying Capacity</t>
  </si>
  <si>
    <t>F</t>
  </si>
  <si>
    <t>Fine</t>
  </si>
  <si>
    <t>D</t>
  </si>
  <si>
    <t>Diminutive</t>
  </si>
  <si>
    <t>What character flaw(s) is/are most likely to cause trouble for you?</t>
  </si>
  <si>
    <t>T</t>
  </si>
  <si>
    <t>Appraise (Int), Craft (Int), Fly (Dex), Knowledge (all) (Int), Linguistics (Int), Perception (Wis), Profession (Wis), and Spellcraft (Int).</t>
  </si>
  <si>
    <t>Tiny</t>
  </si>
  <si>
    <t>S</t>
  </si>
  <si>
    <t>Small</t>
  </si>
  <si>
    <t>M</t>
  </si>
  <si>
    <t>L</t>
  </si>
  <si>
    <t>Large</t>
  </si>
  <si>
    <t>H</t>
  </si>
  <si>
    <t>Huge</t>
  </si>
  <si>
    <t>G</t>
  </si>
  <si>
    <t>Gargantuan</t>
  </si>
  <si>
    <t>Colossal</t>
  </si>
  <si>
    <t>Armor Weight as #:</t>
  </si>
  <si>
    <t>&lt;-- Expand  for more!</t>
  </si>
  <si>
    <t>Acrobatics (Dex), Climb (Str), Craft (Int), Escape Artist (Dex), Handle Animal (Cha), Intimidate (Cha), Knowledge (dungeoneering) (Int), Knowledge (local) (Int), Perception (Wis), Profession (Wis), Ride (Dex), Sense Motive (Wis), and Swim (Str).</t>
  </si>
  <si>
    <t>What do you secretly fear, even in times of easygoing peace?</t>
  </si>
  <si>
    <t>Armor Table</t>
  </si>
  <si>
    <t>AC Bonus</t>
  </si>
  <si>
    <t>Spell Failure</t>
  </si>
  <si>
    <t>Category</t>
  </si>
  <si>
    <t>Special Materials</t>
  </si>
  <si>
    <t>Weight Category</t>
  </si>
  <si>
    <t>Main Sheet Armors 1 and 2</t>
  </si>
  <si>
    <t>~~Magic Armors~~</t>
  </si>
  <si>
    <t>Equipment URL:</t>
  </si>
  <si>
    <t>Mage Armor (Spell)</t>
  </si>
  <si>
    <t>Unarmored</t>
  </si>
  <si>
    <t>PC or Companion?</t>
  </si>
  <si>
    <t>PC</t>
  </si>
  <si>
    <t>Bracers of Armor (Wondrous Item)</t>
  </si>
  <si>
    <t>Climb (Str), Craft (Int), Fly (Dex), Handle Animal (Cha), Heal (Wis), Knowledge (geography) (Int), Knowledge (nature) (Int), Perception (Wis), Profession (Wis), Ride (Dex), Spellcraft (Int), Survival (Wis), and Swim (Str).</t>
  </si>
  <si>
    <t>Leather</t>
  </si>
  <si>
    <t>Clothing</t>
  </si>
  <si>
    <t>Standard</t>
  </si>
  <si>
    <t>Max Dex:</t>
  </si>
  <si>
    <t>Unarmored Training</t>
  </si>
  <si>
    <t>Acrobatics (Dex), Bluff (Cha), Climb (Str), Craft (Int), Diplomacy (Cha), Escape Artist (Dex), Intimidate (Cha), Knowledge (local) (Int), Knowledge (nobility) (Int), Perception (Wis), Perform (Cha), Profession (Wis), Ride (Dex), Sense Motive (Wis), Sleight of Hand (Dex), and Swim (Str).</t>
  </si>
  <si>
    <t>~~Light Armors~~</t>
  </si>
  <si>
    <t>Eastern</t>
  </si>
  <si>
    <t>Acrobatics (Dex), Climb (Str), Craft (Int), Diplomacy (Cha), Heal (Wis), Intimidate (Cha), Knowledge (nobility) (Int), Knowledge (technology) (Int), Perception (Wis), Profession (Wis), Repair (Int), Ride (Dex), Sense Motive (Wis), and Swim (Str).</t>
  </si>
  <si>
    <t>Encumbrance:</t>
  </si>
  <si>
    <t>Armored Kilt</t>
  </si>
  <si>
    <t>Plate/Chain</t>
  </si>
  <si>
    <t>Acrobatics (Dex), Appraise (Int), Bluff (Cha), Climb (Str), Craft (Int), Diplomacy (Cha), Disable Device (Dex), Disguise (Cha), Escape Artist (Dex), Intimidate (Cha), Knowledge (local) (Int), Knowledge (nobility) (Int), Linguistics (Int), Perception (Wis), Perform (Cha), Profession (Wis), Sense Motive (Wis), Sleight of Hand (Dex), Spellcraft (Int), Stealth (Dex), Swim (Str), and Use Magic Device (Cha).</t>
  </si>
  <si>
    <t>Haramaki</t>
  </si>
  <si>
    <t>Padded Cloth</t>
  </si>
  <si>
    <t>Quilted Cloth</t>
  </si>
  <si>
    <t>Silken Ceremonial Armor</t>
  </si>
  <si>
    <t>Lamellar Cuirass</t>
  </si>
  <si>
    <t>Acrobatics (Dex), Climb (Str), Craft (Int), Diplomacy (Cha), Handle Animal (Cha), Intimidate (Cha), Knowledge (History) (Int), Knowledge (Nobility) (Int), Perception (Wis), Profession (Wis), Ride (Dex), Sense Motive (Wis), and Swim (Str).</t>
  </si>
  <si>
    <t>Rosewood Armor</t>
  </si>
  <si>
    <t>Hide Shirt</t>
  </si>
  <si>
    <t>Leaf Armor</t>
  </si>
  <si>
    <t>Parade Armor</t>
  </si>
  <si>
    <t>Studded Leather</t>
  </si>
  <si>
    <t>Wooden</t>
  </si>
  <si>
    <t>Wood</t>
  </si>
  <si>
    <t>Chain Shirt</t>
  </si>
  <si>
    <t>Leather Lamellar</t>
  </si>
  <si>
    <t>~~Medium Armors~~</t>
  </si>
  <si>
    <t>Armored Coat</t>
  </si>
  <si>
    <t>Hide</t>
  </si>
  <si>
    <t>Do-Maru</t>
  </si>
  <si>
    <t>Horn Lamellar</t>
  </si>
  <si>
    <t>Kikko Armor</t>
  </si>
  <si>
    <t>Scale Mail</t>
  </si>
  <si>
    <t>Agile Breastplate</t>
  </si>
  <si>
    <t>Breastplate</t>
  </si>
  <si>
    <t>Chainmail</t>
  </si>
  <si>
    <t>Four-Mirror Armor</t>
  </si>
  <si>
    <t>Mountain Pattern Armor</t>
  </si>
  <si>
    <t>Combat Quick Toggle Effects:</t>
  </si>
  <si>
    <t>Steel Lamellar</t>
  </si>
  <si>
    <t>~~Heavy Armors~~</t>
  </si>
  <si>
    <t>Banded Mail</t>
  </si>
  <si>
    <t>Heavy</t>
  </si>
  <si>
    <t>Acrobatics (Dex), Climb (Str), Craft (Int), Diplomacy (Cha), Handle Animal (Cha), Heal (Wis), Intimidate (Cha), Knowledge (nobility) (Int), Knowledge (religion) (Int), Perception (Wis), Profession (Wis), Ride (Dex), and Sense Motive (Wis).</t>
  </si>
  <si>
    <t>Field Plate</t>
  </si>
  <si>
    <t>Iron Lamellar</t>
  </si>
  <si>
    <t>Kusari Gusoku</t>
  </si>
  <si>
    <t>Splint Mail</t>
  </si>
  <si>
    <t>Tatami-Do</t>
  </si>
  <si>
    <t>Specified Skills, Initiative</t>
  </si>
  <si>
    <t>Agile Half-Plate</t>
  </si>
  <si>
    <t>Half-Plate</t>
  </si>
  <si>
    <t>O-Yoroi</t>
  </si>
  <si>
    <t>Power Attack</t>
  </si>
  <si>
    <t>Stone Coat</t>
  </si>
  <si>
    <t>Full Plate</t>
  </si>
  <si>
    <t>Shield Table</t>
  </si>
  <si>
    <t>(no shield)</t>
  </si>
  <si>
    <t>Buckler</t>
  </si>
  <si>
    <t>Armor / Shield Special Material</t>
  </si>
  <si>
    <t>Klar</t>
  </si>
  <si>
    <t>Madu</t>
  </si>
  <si>
    <t>Acrobatics (Dex), Bluff (Cha), Climb (Str), Craft (Int), Disguise (Cha), Escape Artist (Dex), Intimidate (Cha), Knowledge (local) (Int), Knowledge (nobility) (Int), Perception (Wis), Perform (Cha), Profession (Wis), Ride (Dex), Sense Motive (Wis), Sleight of Hand (Dex), Stealth (Dex), Survival (Wis), Swim (Str), and Use Magic Device (Cha).</t>
  </si>
  <si>
    <t>Light Shield</t>
  </si>
  <si>
    <t>Heavy Shield</t>
  </si>
  <si>
    <t>(Spell) Shield</t>
  </si>
  <si>
    <t>Force</t>
  </si>
  <si>
    <t>Tower Shield</t>
  </si>
  <si>
    <t>Tower</t>
  </si>
  <si>
    <t>Armor Materials</t>
  </si>
  <si>
    <t>Special Notes</t>
  </si>
  <si>
    <t>Adamantine</t>
  </si>
  <si>
    <t>Angelskin</t>
  </si>
  <si>
    <t>Masks Evil alignment</t>
  </si>
  <si>
    <t>Bone</t>
  </si>
  <si>
    <t>Fragile</t>
  </si>
  <si>
    <t>Bronze</t>
  </si>
  <si>
    <t>Darkleaf Cloth</t>
  </si>
  <si>
    <t>Darkwood</t>
  </si>
  <si>
    <t>Non-metallic</t>
  </si>
  <si>
    <t>Dragonhide</t>
  </si>
  <si>
    <t>Impervious to Element</t>
  </si>
  <si>
    <t>Eel Hide</t>
  </si>
  <si>
    <t>Electricity Resist 2</t>
  </si>
  <si>
    <t>Elysian Bronze</t>
  </si>
  <si>
    <t>Fire-forged steel</t>
  </si>
  <si>
    <t>Fire Resist 2</t>
  </si>
  <si>
    <t>Frost-forged steel</t>
  </si>
  <si>
    <t>Cold Resist 2</t>
  </si>
  <si>
    <t>Greenwood</t>
  </si>
  <si>
    <t>Self-Repairs in Sunlight</t>
  </si>
  <si>
    <t>Griffon mane</t>
  </si>
  <si>
    <t>+2 Fly</t>
  </si>
  <si>
    <t>Horacalcum</t>
  </si>
  <si>
    <t>Leather / Hide</t>
  </si>
  <si>
    <t>Living steel</t>
  </si>
  <si>
    <t>Mithral</t>
  </si>
  <si>
    <t>Counts as Silver</t>
  </si>
  <si>
    <t>Mithral + Armored Kilt</t>
  </si>
  <si>
    <t>Steel</t>
  </si>
  <si>
    <t>Conditions (for Buff Table)</t>
  </si>
  <si>
    <t>CON</t>
  </si>
  <si>
    <t>Fort Save</t>
  </si>
  <si>
    <t>Ref Save</t>
  </si>
  <si>
    <t>Will Save</t>
  </si>
  <si>
    <t>Melee Damage</t>
  </si>
  <si>
    <t>Ranged Damage</t>
  </si>
  <si>
    <t>Move Speed Multiplier</t>
  </si>
  <si>
    <t>Charge Speed Multiplier</t>
  </si>
  <si>
    <t>Run Speed Multiplier</t>
  </si>
  <si>
    <t>Bleed</t>
  </si>
  <si>
    <t>Acrobatics, Climb, Disable Device, Escape Artist, Fly, Ride, Stealth, Swim, Sleight of Hand -4</t>
  </si>
  <si>
    <t>Combat Expertise</t>
  </si>
  <si>
    <t>Confused</t>
  </si>
  <si>
    <t>Cowering</t>
  </si>
  <si>
    <t>Dazed</t>
  </si>
  <si>
    <t>Perception -1</t>
  </si>
  <si>
    <t>Deafened</t>
  </si>
  <si>
    <t xml:space="preserve">Initiative, Perception -4 </t>
  </si>
  <si>
    <t>x0.5</t>
  </si>
  <si>
    <t>Exhausted</t>
  </si>
  <si>
    <t>Fascinated</t>
  </si>
  <si>
    <t>Fatigued</t>
  </si>
  <si>
    <t>Frightened</t>
  </si>
  <si>
    <t>Grappled</t>
  </si>
  <si>
    <t>Invisible</t>
  </si>
  <si>
    <t>Nauseated</t>
  </si>
  <si>
    <t>Panicked</t>
  </si>
  <si>
    <t>Paralyzed</t>
  </si>
  <si>
    <t>Pinned</t>
  </si>
  <si>
    <t>Prone</t>
  </si>
  <si>
    <t>Shaken</t>
  </si>
  <si>
    <t>Sickened</t>
  </si>
  <si>
    <t>Staggered</t>
  </si>
  <si>
    <t>Stunned</t>
  </si>
  <si>
    <t>Light Encumbrance</t>
  </si>
  <si>
    <t>Medium Encumbrance</t>
  </si>
  <si>
    <t>Heavy Encumbrance</t>
  </si>
  <si>
    <t>Overencumbered</t>
  </si>
  <si>
    <t>Unchained Wound System</t>
  </si>
  <si>
    <t>Deadly Aim</t>
  </si>
  <si>
    <t>Unchained Alt Skill Systems</t>
  </si>
  <si>
    <t>Standard Skills</t>
  </si>
  <si>
    <t>Consolidated Skills</t>
  </si>
  <si>
    <t>Ultimate Psionics (Autohypnosis + Kn. Psionics)</t>
  </si>
  <si>
    <t>Ultimate Psionics + Background Skills</t>
  </si>
  <si>
    <t>Heroism</t>
  </si>
  <si>
    <t>Initiative +2</t>
  </si>
  <si>
    <t>Haste</t>
  </si>
  <si>
    <t xml:space="preserve">Acrobatics, Appraise, Bluff, Climb, Diplomacy, Disable Device, Disguise, Escape Artist, Fly, Handle Animal, Heal, Intimidate, Kn. Arcana, Kn. Dungeoneering, Kn. Engineering, Kn. Geography, Kn. History, Kn. Local, Kn. Nature, Kn. Nobility, Kn. Planes, Kn. Religion, Linguistics, Perception, Ride, Sense Motive, Sleight of Hand, Spellcraft, Stealth, Survival, Swim, Use Magic Device, Artistry:, Craft:, Lore:, Perform:, Prof:, </t>
  </si>
  <si>
    <t>Rapid Shot</t>
  </si>
  <si>
    <t>(Custom Effect 7)</t>
  </si>
  <si>
    <t>(Custom Effect 8)</t>
  </si>
  <si>
    <t>(Custom Effect 9)</t>
  </si>
  <si>
    <t>(Custom Effect 10)</t>
  </si>
  <si>
    <t>Conditions (see Combat Effect Quick Toggles):</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</si>
</sst>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quot;d&quot;#"/>
    <numFmt numFmtId="165" formatCode="+0"/>
    <numFmt numFmtId="166" formatCode="#"/>
    <numFmt numFmtId="167" formatCode="&quot;/ x&quot;#"/>
    <numFmt numFmtId="168" formatCode="d mmm yyyy"/>
    <numFmt numFmtId="169" formatCode="mmmm yyyy"/>
    <numFmt numFmtId="170" formatCode="mmm yyyy"/>
  </numFmts>
  <fonts count="98">
    <font>
      <sz val="10.0"/>
      <color rgb="FF000000"/>
      <name val="Arial"/>
    </font>
    <font/>
    <font>
      <name val="Calibri"/>
    </font>
    <font>
      <b/>
      <sz val="42.0"/>
    </font>
    <font>
      <b/>
      <sz val="14.0"/>
    </font>
    <font>
      <b/>
    </font>
    <font>
      <b/>
      <sz val="24.0"/>
    </font>
    <font>
      <sz val="8.0"/>
      <name val="Calibri"/>
    </font>
    <font>
      <sz val="6.0"/>
      <name val="Calibri"/>
    </font>
    <font>
      <b/>
      <name val="Calibri"/>
    </font>
    <font>
      <u/>
      <color rgb="FF0000FF"/>
    </font>
    <font>
      <b/>
      <sz val="8.0"/>
      <name val="Calibri"/>
    </font>
    <font>
      <sz val="8.0"/>
      <name val="Arial"/>
    </font>
    <font>
      <b/>
      <sz val="9.0"/>
      <name val="Calibri"/>
    </font>
    <font>
      <b/>
      <u/>
      <sz val="18.0"/>
      <color rgb="FF0000FF"/>
    </font>
    <font>
      <color rgb="FF666666"/>
      <name val="Calibri"/>
    </font>
    <font>
      <sz val="10.0"/>
      <color rgb="FF666666"/>
      <name val="Calibri"/>
    </font>
    <font>
      <b/>
      <sz val="10.0"/>
      <name val="Calibri"/>
    </font>
    <font>
      <sz val="8.0"/>
    </font>
    <font>
      <b/>
      <color rgb="FFFFFFFF"/>
      <name val="Calibri"/>
    </font>
    <font>
      <b/>
      <sz val="18.0"/>
      <color rgb="FFFFFFFF"/>
      <name val="Georgia"/>
    </font>
    <font>
      <b/>
      <color rgb="FFFFFFFF"/>
    </font>
    <font>
      <b/>
      <sz val="8.0"/>
      <color rgb="FFFFFFFF"/>
    </font>
    <font>
      <b/>
      <sz val="10.0"/>
      <color rgb="FFFFFFFF"/>
    </font>
    <font>
      <name val="Arial"/>
    </font>
    <font>
      <b/>
      <sz val="8.0"/>
    </font>
    <font>
      <sz val="10.0"/>
    </font>
    <font>
      <b/>
      <u/>
      <color rgb="FF0000FF"/>
    </font>
    <font>
      <i/>
    </font>
    <font>
      <name val="Ubuntu Condensed"/>
    </font>
    <font>
      <b/>
      <u/>
      <color rgb="FF0000FF"/>
    </font>
    <font>
      <sz val="9.0"/>
      <name val="Calibri"/>
    </font>
    <font>
      <b/>
      <i/>
    </font>
    <font>
      <sz val="7.0"/>
    </font>
    <font>
      <b/>
      <sz val="18.0"/>
      <name val="Calibri"/>
    </font>
    <font>
      <sz val="6.0"/>
    </font>
    <font>
      <b/>
      <u/>
      <color rgb="FF0000FF"/>
    </font>
    <font>
      <b/>
      <sz val="10.0"/>
    </font>
    <font>
      <b/>
      <sz val="8.0"/>
      <color rgb="FF000000"/>
    </font>
    <font>
      <sz val="6.0"/>
      <color rgb="FF000000"/>
      <name val="Calibri"/>
    </font>
    <font>
      <sz val="7.0"/>
      <name val="Calibri"/>
    </font>
    <font>
      <b/>
      <sz val="9.0"/>
      <color rgb="FF000000"/>
      <name val="Calibri"/>
    </font>
    <font>
      <sz val="10.0"/>
      <name val="Calibri"/>
    </font>
    <font>
      <b/>
      <sz val="18.0"/>
    </font>
    <font>
      <b/>
      <sz val="24.0"/>
      <name val="Calibri"/>
    </font>
    <font>
      <b/>
      <sz val="12.0"/>
      <name val="Calibri"/>
    </font>
    <font>
      <i/>
      <sz val="6.0"/>
    </font>
    <font>
      <b/>
      <u/>
      <sz val="9.0"/>
      <color rgb="FF0000FF"/>
    </font>
    <font>
      <color rgb="FF000000"/>
      <name val="Calibri"/>
    </font>
    <font>
      <b/>
      <sz val="9.0"/>
      <color rgb="FFFFFFFF"/>
      <name val="Georgia"/>
    </font>
    <font>
      <b/>
      <sz val="10.0"/>
      <color rgb="FFFFFFFF"/>
      <name val="Georgia"/>
    </font>
    <font>
      <b/>
      <sz val="17.0"/>
    </font>
    <font>
      <b/>
      <u/>
      <sz val="10.0"/>
      <color rgb="FFFFFFFF"/>
      <name val="Georgia"/>
    </font>
    <font>
      <b/>
      <sz val="7.0"/>
      <name val="Calibri"/>
    </font>
    <font>
      <sz val="14.0"/>
      <name val="Calibri"/>
    </font>
    <font>
      <b/>
      <sz val="9.0"/>
      <color rgb="FFFFFFFF"/>
      <name val="Calibri"/>
    </font>
    <font>
      <sz val="8.0"/>
      <color rgb="FFFFFFFF"/>
      <name val="Cambria"/>
    </font>
    <font>
      <sz val="10.0"/>
      <color rgb="FFFF0000"/>
    </font>
    <font>
      <color rgb="FF000000"/>
      <name val="Roboto"/>
    </font>
    <font>
      <b/>
      <sz val="6.0"/>
      <name val="Calibri"/>
    </font>
    <font>
      <u/>
      <sz val="10.0"/>
      <color rgb="FF0000FF"/>
    </font>
    <font>
      <color rgb="FFCC4125"/>
      <name val="Calibri"/>
    </font>
    <font>
      <u/>
      <sz val="10.0"/>
      <color rgb="FF0000FF"/>
    </font>
    <font>
      <b/>
      <sz val="8.0"/>
      <name val="Arial"/>
    </font>
    <font>
      <color rgb="FFEFEFEF"/>
      <name val="Calibri"/>
    </font>
    <font>
      <sz val="12.0"/>
    </font>
    <font>
      <sz val="10.0"/>
      <color rgb="FF999999"/>
      <name val="Calibri"/>
    </font>
    <font>
      <sz val="10.0"/>
      <color rgb="FF000000"/>
      <name val="Calibri"/>
    </font>
    <font>
      <b/>
      <sz val="8.0"/>
      <color rgb="FF000000"/>
      <name val="Calibri"/>
    </font>
    <font>
      <sz val="8.0"/>
      <color rgb="FF000000"/>
      <name val="Calibri"/>
    </font>
    <font>
      <sz val="8.0"/>
      <color rgb="FFFFF2CC"/>
      <name val="Calibri"/>
    </font>
    <font>
      <color rgb="FFFFFCEB"/>
      <name val="Calibri"/>
    </font>
    <font>
      <b/>
      <sz val="12.0"/>
    </font>
    <font>
      <b/>
      <sz val="10.0"/>
      <color rgb="FF999999"/>
      <name val="Calibri"/>
    </font>
    <font>
      <b/>
      <sz val="10.0"/>
      <color rgb="FF000000"/>
      <name val="Calibri"/>
    </font>
    <font>
      <sz val="10.0"/>
      <color rgb="FFFFFFFF"/>
    </font>
    <font>
      <color rgb="FFFFFFFF"/>
    </font>
    <font>
      <b/>
      <sz val="10.0"/>
      <color rgb="FFFFFFFF"/>
      <name val="Calibri"/>
    </font>
    <font>
      <i/>
      <sz val="8.0"/>
      <name val="Calibri"/>
    </font>
    <font>
      <b/>
      <i/>
      <sz val="8.0"/>
      <name val="Calibri"/>
    </font>
    <font>
      <b/>
      <sz val="6.0"/>
      <color rgb="FF000000"/>
      <name val="Calibri"/>
    </font>
    <font>
      <sz val="8.0"/>
      <name val="Ubuntu Condensed"/>
    </font>
    <font>
      <b/>
      <sz val="12.0"/>
      <name val="Arial"/>
    </font>
    <font>
      <u/>
      <color rgb="FF1155CC"/>
      <name val="Arial"/>
    </font>
    <font>
      <sz val="6.0"/>
      <color rgb="FFFFFCEB"/>
      <name val="Calibri"/>
    </font>
    <font>
      <b/>
      <u/>
      <color rgb="FF0000FF"/>
      <name val="Calibri"/>
    </font>
    <font>
      <u/>
      <color rgb="FF0000FF"/>
      <name val="Arial"/>
    </font>
    <font>
      <sz val="10.0"/>
      <name val="Arial"/>
    </font>
    <font>
      <b/>
      <sz val="8.0"/>
      <color rgb="FF000000"/>
      <name val="Ubuntu Condensed"/>
    </font>
    <font>
      <sz val="8.0"/>
      <color rgb="FF000000"/>
      <name val="Ubuntu Condensed"/>
    </font>
    <font>
      <color rgb="FFFFFFFF"/>
      <name val="Calibri"/>
    </font>
    <font>
      <color rgb="FF000000"/>
    </font>
    <font>
      <i/>
      <name val="Ubuntu Condensed"/>
    </font>
    <font>
      <sz val="7.0"/>
      <name val="Ubuntu Condensed"/>
    </font>
    <font>
      <u/>
      <color rgb="FF0000FF"/>
    </font>
    <font>
      <b/>
      <sz val="10.0"/>
      <color rgb="FFFF0000"/>
    </font>
    <font>
      <u/>
      <color rgb="FF0000FF"/>
      <name val="Calibri"/>
    </font>
    <font>
      <b/>
      <sz val="10.0"/>
      <name val="Arial"/>
    </font>
  </fonts>
  <fills count="27">
    <fill>
      <patternFill patternType="none"/>
    </fill>
    <fill>
      <patternFill patternType="lightGray"/>
    </fill>
    <fill>
      <patternFill patternType="solid">
        <fgColor rgb="FFFFFCEB"/>
        <bgColor rgb="FFFFFCEB"/>
      </patternFill>
    </fill>
    <fill>
      <patternFill patternType="solid">
        <fgColor rgb="FFD9D9D9"/>
        <bgColor rgb="FFD9D9D9"/>
      </patternFill>
    </fill>
    <fill>
      <patternFill patternType="solid">
        <fgColor rgb="FFCCCCCC"/>
        <bgColor rgb="FFCCCCCC"/>
      </patternFill>
    </fill>
    <fill>
      <patternFill patternType="solid">
        <fgColor rgb="FFFFF2CC"/>
        <bgColor rgb="FFFFF2CC"/>
      </patternFill>
    </fill>
    <fill>
      <patternFill patternType="solid">
        <fgColor rgb="FFBF9000"/>
        <bgColor rgb="FFBF9000"/>
      </patternFill>
    </fill>
    <fill>
      <patternFill patternType="solid">
        <fgColor rgb="FFD9EAD3"/>
        <bgColor rgb="FFD9EAD3"/>
      </patternFill>
    </fill>
    <fill>
      <patternFill patternType="solid">
        <fgColor rgb="FFF4CCCC"/>
        <bgColor rgb="FFF4CCCC"/>
      </patternFill>
    </fill>
    <fill>
      <patternFill patternType="solid">
        <fgColor rgb="FF000000"/>
        <bgColor rgb="FF000000"/>
      </patternFill>
    </fill>
    <fill>
      <patternFill patternType="solid">
        <fgColor rgb="FFFFFFFF"/>
        <bgColor rgb="FFFFFFFF"/>
      </patternFill>
    </fill>
    <fill>
      <patternFill patternType="solid">
        <fgColor rgb="FFEA9999"/>
        <bgColor rgb="FFEA9999"/>
      </patternFill>
    </fill>
    <fill>
      <patternFill patternType="solid">
        <fgColor rgb="FFDDDDDD"/>
        <bgColor rgb="FFDDDDDD"/>
      </patternFill>
    </fill>
    <fill>
      <patternFill patternType="solid">
        <fgColor rgb="FFFCE5CD"/>
        <bgColor rgb="FFFCE5CD"/>
      </patternFill>
    </fill>
    <fill>
      <patternFill patternType="solid">
        <fgColor rgb="FFF6B26B"/>
        <bgColor rgb="FFF6B26B"/>
      </patternFill>
    </fill>
    <fill>
      <patternFill patternType="solid">
        <fgColor rgb="FFE69138"/>
        <bgColor rgb="FFE69138"/>
      </patternFill>
    </fill>
    <fill>
      <patternFill patternType="solid">
        <fgColor rgb="FFEFEFEF"/>
        <bgColor rgb="FFEFEFEF"/>
      </patternFill>
    </fill>
    <fill>
      <patternFill patternType="solid">
        <fgColor rgb="FFF9CB9C"/>
        <bgColor rgb="FFF9CB9C"/>
      </patternFill>
    </fill>
    <fill>
      <patternFill patternType="solid">
        <fgColor rgb="FFE6B8AF"/>
        <bgColor rgb="FFE6B8AF"/>
      </patternFill>
    </fill>
    <fill>
      <patternFill patternType="solid">
        <fgColor rgb="FFB7B7B7"/>
        <bgColor rgb="FFB7B7B7"/>
      </patternFill>
    </fill>
    <fill>
      <patternFill patternType="solid">
        <fgColor rgb="FFCC4125"/>
        <bgColor rgb="FFCC4125"/>
      </patternFill>
    </fill>
    <fill>
      <patternFill patternType="solid">
        <fgColor rgb="FFCFE2F3"/>
        <bgColor rgb="FFCFE2F3"/>
      </patternFill>
    </fill>
    <fill>
      <patternFill patternType="solid">
        <fgColor rgb="FFF3F3F3"/>
        <bgColor rgb="FFF3F3F3"/>
      </patternFill>
    </fill>
    <fill>
      <patternFill patternType="solid">
        <fgColor rgb="FFFFE599"/>
        <bgColor rgb="FFFFE599"/>
      </patternFill>
    </fill>
    <fill>
      <patternFill patternType="solid">
        <fgColor rgb="FFFFD966"/>
        <bgColor rgb="FFFFD966"/>
      </patternFill>
    </fill>
    <fill>
      <patternFill patternType="solid">
        <fgColor rgb="FF434343"/>
        <bgColor rgb="FF434343"/>
      </patternFill>
    </fill>
    <fill>
      <patternFill patternType="solid">
        <fgColor rgb="FF666666"/>
        <bgColor rgb="FF666666"/>
      </patternFill>
    </fill>
  </fills>
  <borders count="148">
    <border/>
    <border>
      <left style="thin">
        <color rgb="FF000000"/>
      </left>
      <top style="thin">
        <color rgb="FF000000"/>
      </top>
    </border>
    <border>
      <left style="thin">
        <color rgb="FF000000"/>
      </left>
      <top style="thin">
        <color rgb="FF000000"/>
      </top>
      <bottom style="thin">
        <color rgb="FF000000"/>
      </bottom>
    </border>
    <border>
      <right style="thin">
        <color rgb="FF000000"/>
      </right>
      <top style="thin">
        <color rgb="FF000000"/>
      </top>
    </border>
    <border>
      <top style="thin">
        <color rgb="FF000000"/>
      </top>
      <bottom style="thin">
        <color rgb="FF000000"/>
      </bottom>
    </border>
    <border>
      <right style="thin">
        <color rgb="FF000000"/>
      </right>
      <top style="thin">
        <color rgb="FF000000"/>
      </top>
      <bottom style="thin">
        <color rgb="FF000000"/>
      </bottom>
    </border>
    <border>
      <top style="thin">
        <color rgb="FF666666"/>
      </top>
      <bottom style="thin">
        <color rgb="FF666666"/>
      </bottom>
    </border>
    <border>
      <right style="thin">
        <color rgb="FF666666"/>
      </right>
      <top style="thin">
        <color rgb="FF666666"/>
      </top>
      <bottom style="thin">
        <color rgb="FF666666"/>
      </bottom>
    </border>
    <border>
      <left style="medium">
        <color rgb="FF000000"/>
      </left>
      <top style="medium">
        <color rgb="FF000000"/>
      </top>
      <bottom style="thin">
        <color rgb="FF000000"/>
      </bottom>
    </border>
    <border>
      <top style="medium">
        <color rgb="FF000000"/>
      </top>
      <bottom style="thin">
        <color rgb="FF000000"/>
      </bottom>
    </border>
    <border>
      <left style="thick">
        <color rgb="FF1155CC"/>
      </left>
      <top style="thick">
        <color rgb="FF1155CC"/>
      </top>
    </border>
    <border>
      <right style="thick">
        <color rgb="FF1155CC"/>
      </right>
      <top style="thick">
        <color rgb="FF1155CC"/>
      </top>
    </border>
    <border>
      <left style="thin">
        <color rgb="FF000000"/>
      </left>
    </border>
    <border>
      <right style="thin">
        <color rgb="FF000000"/>
      </right>
    </border>
    <border>
      <left style="thick">
        <color rgb="FF1155CC"/>
      </left>
    </border>
    <border>
      <right style="thick">
        <color rgb="FF1155CC"/>
      </right>
    </border>
    <border>
      <left style="thin">
        <color rgb="FF000000"/>
      </left>
      <right style="thin">
        <color rgb="FF000000"/>
      </right>
      <top style="thin">
        <color rgb="FF000000"/>
      </top>
      <bottom style="thin">
        <color rgb="FF000000"/>
      </bottom>
    </border>
    <border>
      <left style="thin">
        <color rgb="FFFFFCEB"/>
      </left>
      <right style="thin">
        <color rgb="FFFFFCEB"/>
      </right>
      <top style="thin">
        <color rgb="FFFFFCEB"/>
      </top>
      <bottom style="thin">
        <color rgb="FFFFFCEB"/>
      </bottom>
    </border>
    <border>
      <left style="thin">
        <color rgb="FFFFFCEB"/>
      </left>
      <right style="thin">
        <color rgb="FFFFFCEB"/>
      </right>
      <top style="thin">
        <color rgb="FFFFFCEB"/>
      </top>
    </border>
    <border>
      <left style="medium">
        <color rgb="FF000000"/>
      </left>
      <right style="medium">
        <color rgb="FF000000"/>
      </right>
      <top style="medium">
        <color rgb="FF000000"/>
      </top>
      <bottom style="thin">
        <color rgb="FF000000"/>
      </bottom>
    </border>
    <border>
      <left style="thin">
        <color rgb="FFFFFCEB"/>
      </left>
      <right style="thin">
        <color rgb="FFFFFCEB"/>
      </right>
    </border>
    <border>
      <left style="medium">
        <color rgb="FF000000"/>
      </left>
      <top style="thick">
        <color rgb="FF000000"/>
      </top>
      <bottom style="medium">
        <color rgb="FF000000"/>
      </bottom>
    </border>
    <border>
      <left style="thin">
        <color rgb="FFFFFCEB"/>
      </left>
      <right style="thin">
        <color rgb="FFFFFCEB"/>
      </right>
      <bottom style="thin">
        <color rgb="FFFFFCEB"/>
      </bottom>
    </border>
    <border>
      <top style="thick">
        <color rgb="FF000000"/>
      </top>
      <bottom style="medium">
        <color rgb="FF000000"/>
      </bottom>
    </border>
    <border>
      <left style="thin">
        <color rgb="FF000000"/>
      </left>
      <bottom style="thin">
        <color rgb="FF000000"/>
      </bottom>
    </border>
    <border>
      <right style="medium">
        <color rgb="FF000000"/>
      </right>
      <top style="thick">
        <color rgb="FF000000"/>
      </top>
      <bottom style="medium">
        <color rgb="FF000000"/>
      </bottom>
    </border>
    <border>
      <left style="thin">
        <color rgb="FFFFFCEB"/>
      </left>
      <top style="thin">
        <color rgb="FFFFFCEB"/>
      </top>
      <bottom style="thin">
        <color rgb="FFFFFCEB"/>
      </bottom>
    </border>
    <border>
      <left style="medium">
        <color rgb="FF000000"/>
      </left>
      <top style="thin">
        <color rgb="FF000000"/>
      </top>
      <bottom style="thin">
        <color rgb="FF000000"/>
      </bottom>
    </border>
    <border>
      <top style="thin">
        <color rgb="FF000000"/>
      </top>
    </border>
    <border>
      <right style="thin">
        <color rgb="FF000000"/>
      </right>
      <bottom style="thin">
        <color rgb="FF000000"/>
      </bottom>
    </border>
    <border>
      <right style="thin">
        <color rgb="FFFFFCEB"/>
      </right>
      <top style="thick">
        <color rgb="FF000000"/>
      </top>
      <bottom style="thin">
        <color rgb="FFFFFCEB"/>
      </bottom>
    </border>
    <border>
      <left style="thin">
        <color rgb="FFFFFCEB"/>
      </left>
      <right style="thin">
        <color rgb="FFFFFCEB"/>
      </right>
      <top style="thick">
        <color rgb="FF000000"/>
      </top>
    </border>
    <border>
      <top style="thin">
        <color rgb="FFFFFCEB"/>
      </top>
      <bottom style="thin">
        <color rgb="FFFFFCEB"/>
      </bottom>
    </border>
    <border>
      <left style="thick">
        <color rgb="FF1155CC"/>
      </left>
      <bottom style="thick">
        <color rgb="FF1155CC"/>
      </bottom>
    </border>
    <border>
      <right style="thick">
        <color rgb="FF1155CC"/>
      </right>
      <bottom style="thick">
        <color rgb="FF1155CC"/>
      </bottom>
    </border>
    <border>
      <left style="thin">
        <color rgb="FFFFFCEB"/>
      </left>
      <top style="thick">
        <color rgb="FF000000"/>
      </top>
    </border>
    <border>
      <bottom style="thin">
        <color rgb="FFFFFCEB"/>
      </bottom>
    </border>
    <border>
      <left style="medium">
        <color rgb="FF000000"/>
      </left>
      <right style="medium">
        <color rgb="FF000000"/>
      </right>
      <top style="thin">
        <color rgb="FF000000"/>
      </top>
      <bottom style="thin">
        <color rgb="FF000000"/>
      </bottom>
    </border>
    <border>
      <left style="thin">
        <color rgb="FFFFFCEB"/>
      </left>
      <bottom style="thin">
        <color rgb="FFFFFCEB"/>
      </bottom>
    </border>
    <border>
      <bottom style="thin">
        <color rgb="FF000000"/>
      </bottom>
    </border>
    <border>
      <right style="thin">
        <color rgb="FFFFFCEB"/>
      </right>
    </border>
    <border>
      <right style="thin">
        <color rgb="FFFFFCEB"/>
      </right>
      <bottom style="thin">
        <color rgb="FFFFFCEB"/>
      </bottom>
    </border>
    <border>
      <left style="medium">
        <color rgb="FF000000"/>
      </left>
      <right style="medium">
        <color rgb="FF000000"/>
      </right>
      <top style="thin">
        <color rgb="FF000000"/>
      </top>
      <bottom style="medium">
        <color rgb="FF000000"/>
      </bottom>
    </border>
    <border>
      <left style="medium">
        <color rgb="FF000000"/>
      </left>
      <top style="thin">
        <color rgb="FF000000"/>
      </top>
    </border>
    <border>
      <left style="thin">
        <color rgb="FFCCCCCC"/>
      </left>
      <top style="thin">
        <color rgb="FF000000"/>
      </top>
      <bottom style="thin">
        <color rgb="FF000000"/>
      </bottom>
    </border>
    <border>
      <left style="thin">
        <color rgb="FFFFFCEB"/>
      </left>
      <top style="thin">
        <color rgb="FFFFFCEB"/>
      </top>
    </border>
    <border>
      <left style="thin">
        <color rgb="FF666666"/>
      </left>
      <right style="thin">
        <color rgb="FF666666"/>
      </right>
      <top style="thin">
        <color rgb="FF666666"/>
      </top>
      <bottom style="thin">
        <color rgb="FF666666"/>
      </bottom>
    </border>
    <border>
      <left style="thin">
        <color rgb="FF666666"/>
      </left>
      <top style="thin">
        <color rgb="FF666666"/>
      </top>
      <bottom style="thin">
        <color rgb="FF666666"/>
      </bottom>
    </border>
    <border>
      <left style="medium">
        <color rgb="FF000000"/>
      </left>
      <right style="medium">
        <color rgb="FF000000"/>
      </right>
      <top style="thin">
        <color rgb="FF000000"/>
      </top>
    </border>
    <border>
      <left style="thin">
        <color rgb="FF000000"/>
      </left>
      <top style="thin">
        <color rgb="FF666666"/>
      </top>
      <bottom style="thin">
        <color rgb="FF666666"/>
      </bottom>
    </border>
    <border>
      <left style="medium">
        <color rgb="FF000000"/>
      </left>
      <top style="medium">
        <color rgb="FF000000"/>
      </top>
      <bottom style="medium">
        <color rgb="FF000000"/>
      </bottom>
    </border>
    <border>
      <top style="medium">
        <color rgb="FF000000"/>
      </top>
      <bottom style="medium">
        <color rgb="FF000000"/>
      </bottom>
    </border>
    <border>
      <left style="thin">
        <color rgb="FF000000"/>
      </left>
      <top style="thin">
        <color rgb="FF000000"/>
      </top>
      <bottom style="thin">
        <color rgb="FFFFFFFF"/>
      </bottom>
    </border>
    <border>
      <top style="thin">
        <color rgb="FF000000"/>
      </top>
      <bottom style="thin">
        <color rgb="FFFFFFFF"/>
      </bottom>
    </border>
    <border>
      <left style="thin">
        <color rgb="FF000000"/>
      </left>
      <right style="thin">
        <color rgb="FF000000"/>
      </right>
      <top style="medium">
        <color rgb="FF000000"/>
      </top>
      <bottom style="medium">
        <color rgb="FF000000"/>
      </bottom>
    </border>
    <border>
      <right style="thin">
        <color rgb="FF000000"/>
      </right>
      <top style="thin">
        <color rgb="FF000000"/>
      </top>
      <bottom style="thin">
        <color rgb="FFFFFFFF"/>
      </bottom>
    </border>
    <border>
      <left style="thin">
        <color rgb="FF000000"/>
      </left>
      <top style="medium">
        <color rgb="FF000000"/>
      </top>
      <bottom style="medium">
        <color rgb="FF000000"/>
      </bottom>
    </border>
    <border>
      <left style="thin">
        <color rgb="FF000000"/>
      </left>
      <top style="thin">
        <color rgb="FF000000"/>
      </top>
      <bottom style="thin">
        <color rgb="FFB7B7B7"/>
      </bottom>
    </border>
    <border>
      <top style="thin">
        <color rgb="FF000000"/>
      </top>
      <bottom style="thin">
        <color rgb="FFB7B7B7"/>
      </bottom>
    </border>
    <border>
      <left style="thin">
        <color rgb="FF000000"/>
      </left>
      <top style="thin">
        <color rgb="FFFFFFFF"/>
      </top>
      <bottom style="thin">
        <color rgb="FFFFFFFF"/>
      </bottom>
    </border>
    <border>
      <top style="thin">
        <color rgb="FFFFFFFF"/>
      </top>
      <bottom style="thin">
        <color rgb="FFFFFFFF"/>
      </bottom>
    </border>
    <border>
      <left style="medium">
        <color rgb="FF000000"/>
      </left>
      <right style="medium">
        <color rgb="FF000000"/>
      </right>
      <top style="medium">
        <color rgb="FF000000"/>
      </top>
      <bottom style="medium">
        <color rgb="FF000000"/>
      </bottom>
    </border>
    <border>
      <right style="thin">
        <color rgb="FF000000"/>
      </right>
      <top style="thin">
        <color rgb="FFFFFFFF"/>
      </top>
      <bottom style="thin">
        <color rgb="FFFFFFFF"/>
      </bottom>
    </border>
    <border>
      <left style="thin">
        <color rgb="FF000000"/>
      </left>
      <bottom style="thin">
        <color rgb="FFB7B7B7"/>
      </bottom>
    </border>
    <border>
      <bottom style="thin">
        <color rgb="FFB7B7B7"/>
      </bottom>
    </border>
    <border>
      <right style="medium">
        <color rgb="FF000000"/>
      </right>
      <top style="medium">
        <color rgb="FF000000"/>
      </top>
      <bottom style="medium">
        <color rgb="FF000000"/>
      </bottom>
    </border>
    <border>
      <top style="thick">
        <color rgb="FF000000"/>
      </top>
    </border>
    <border>
      <right style="thin">
        <color rgb="FF000000"/>
      </right>
      <top style="thin">
        <color rgb="FF000000"/>
      </top>
      <bottom style="thin">
        <color rgb="FFB7B7B7"/>
      </bottom>
    </border>
    <border>
      <top style="thin">
        <color rgb="FFFFFCEB"/>
      </top>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right style="thin">
        <color rgb="FFD9D9D9"/>
      </right>
      <top style="thin">
        <color rgb="FF000000"/>
      </top>
      <bottom style="thin">
        <color rgb="FF000000"/>
      </bottom>
    </border>
    <border>
      <left style="thin">
        <color rgb="FF000000"/>
      </left>
      <right style="thin">
        <color rgb="FFB7B7B7"/>
      </right>
      <top style="thin">
        <color rgb="FF000000"/>
      </top>
      <bottom style="thin">
        <color rgb="FF000000"/>
      </bottom>
    </border>
    <border>
      <left style="thin">
        <color rgb="FFB7B7B7"/>
      </left>
      <right style="thin">
        <color rgb="FFB7B7B7"/>
      </right>
      <top style="thin">
        <color rgb="FF000000"/>
      </top>
      <bottom style="thin">
        <color rgb="FF000000"/>
      </bottom>
    </border>
    <border>
      <left style="thin">
        <color rgb="FF000000"/>
      </left>
      <top style="thin">
        <color rgb="FFB7B7B7"/>
      </top>
      <bottom style="thin">
        <color rgb="FFB7B7B7"/>
      </bottom>
    </border>
    <border>
      <top style="thin">
        <color rgb="FFB7B7B7"/>
      </top>
      <bottom style="thin">
        <color rgb="FFB7B7B7"/>
      </bottom>
    </border>
    <border>
      <left style="thin">
        <color rgb="FFB7B7B7"/>
      </left>
      <right style="thin">
        <color rgb="FF000000"/>
      </right>
      <top style="thin">
        <color rgb="FF000000"/>
      </top>
      <bottom style="thin">
        <color rgb="FF000000"/>
      </bottom>
    </border>
    <border>
      <left style="thin">
        <color rgb="FF000000"/>
      </left>
      <top style="thin">
        <color rgb="FFB7B7B7"/>
      </top>
      <bottom style="thin">
        <color rgb="FF000000"/>
      </bottom>
    </border>
    <border>
      <top style="thin">
        <color rgb="FFB7B7B7"/>
      </top>
      <bottom style="thin">
        <color rgb="FF000000"/>
      </bottom>
    </border>
    <border>
      <right style="thin">
        <color rgb="FF000000"/>
      </right>
      <top style="thin">
        <color rgb="FFB7B7B7"/>
      </top>
      <bottom style="thin">
        <color rgb="FF000000"/>
      </bottom>
    </border>
    <border>
      <right style="thin">
        <color rgb="FFFFFCEB"/>
      </right>
      <top style="thin">
        <color rgb="FF000000"/>
      </top>
      <bottom style="thin">
        <color rgb="FF000000"/>
      </bottom>
    </border>
    <border>
      <left style="thin">
        <color rgb="FF000000"/>
      </left>
      <right style="thin">
        <color rgb="FF000000"/>
      </right>
      <bottom style="thin">
        <color rgb="FF000000"/>
      </bottom>
    </border>
    <border>
      <top style="thick">
        <color rgb="FF1155CC"/>
      </top>
    </border>
    <border>
      <right style="thin">
        <color rgb="FFFFFCEB"/>
      </right>
      <top style="thin">
        <color rgb="FFFFFCEB"/>
      </top>
      <bottom style="thin">
        <color rgb="FFFFFCEB"/>
      </bottom>
    </border>
    <border>
      <left style="thin">
        <color rgb="FF000000"/>
      </left>
      <right style="thin">
        <color rgb="FF000000"/>
      </right>
      <top style="thin">
        <color rgb="FF000000"/>
      </top>
    </border>
    <border>
      <left style="thin">
        <color rgb="FF000000"/>
      </left>
      <right style="thin">
        <color rgb="FF000000"/>
      </right>
    </border>
    <border>
      <right style="thin">
        <color rgb="FF000000"/>
      </right>
      <top style="thin">
        <color rgb="FFB7B7B7"/>
      </top>
      <bottom style="thin">
        <color rgb="FFB7B7B7"/>
      </bottom>
    </border>
    <border>
      <bottom style="thick">
        <color rgb="FF1155CC"/>
      </bottom>
    </border>
    <border>
      <left style="thin">
        <color rgb="FF000000"/>
      </left>
      <right style="thin">
        <color rgb="FF000000"/>
      </right>
      <bottom style="thin">
        <color rgb="FFCCCCCC"/>
      </bottom>
    </border>
    <border>
      <left style="thin">
        <color rgb="FFFFFCEB"/>
      </left>
      <right style="thin">
        <color rgb="FFFFFCEB"/>
      </right>
      <bottom style="thin">
        <color rgb="FF000000"/>
      </bottom>
    </border>
    <border>
      <left style="thin">
        <color rgb="FFFFFCEB"/>
      </left>
      <right style="thin">
        <color rgb="FF000000"/>
      </right>
      <top style="thin">
        <color rgb="FFFFFCEB"/>
      </top>
      <bottom style="thin">
        <color rgb="FFFFFCEB"/>
      </bottom>
    </border>
    <border>
      <left style="thin">
        <color rgb="FFFFFCEB"/>
      </left>
    </border>
    <border>
      <right style="thin">
        <color rgb="FF000000"/>
      </right>
      <bottom style="thin">
        <color rgb="FFB7B7B7"/>
      </bottom>
    </border>
    <border>
      <left style="thin">
        <color rgb="FF000000"/>
      </left>
      <top style="thin">
        <color rgb="FFFFFFFF"/>
      </top>
      <bottom style="thin">
        <color rgb="FF000000"/>
      </bottom>
    </border>
    <border>
      <top style="thin">
        <color rgb="FFFFFFFF"/>
      </top>
      <bottom style="thin">
        <color rgb="FF000000"/>
      </bottom>
    </border>
    <border>
      <right style="thin">
        <color rgb="FF000000"/>
      </right>
      <top style="thin">
        <color rgb="FFFFFFFF"/>
      </top>
      <bottom style="thin">
        <color rgb="FF000000"/>
      </bottom>
    </border>
    <border>
      <right style="thin">
        <color rgb="FFFFFCEB"/>
      </right>
      <top style="thin">
        <color rgb="FFFFFCEB"/>
      </top>
    </border>
    <border>
      <left style="thin">
        <color rgb="FFFFFCEB"/>
      </left>
      <right style="thin">
        <color rgb="FFFFFCEB"/>
      </right>
      <top style="thick">
        <color rgb="FF000000"/>
      </top>
      <bottom style="thin">
        <color rgb="FFFFFCEB"/>
      </bottom>
    </border>
    <border>
      <left style="thin">
        <color rgb="FFFFFCEB"/>
      </left>
      <top style="thick">
        <color rgb="FF000000"/>
      </top>
      <bottom style="thin">
        <color rgb="FFFFFCEB"/>
      </bottom>
    </border>
    <border>
      <left style="thin">
        <color rgb="FF000000"/>
      </left>
      <right style="thin">
        <color rgb="FF000000"/>
      </right>
      <top style="thin">
        <color rgb="FFB7B7B7"/>
      </top>
      <bottom style="thin">
        <color rgb="FFB7B7B7"/>
      </bottom>
    </border>
    <border>
      <left style="thin">
        <color rgb="FFFFFCEB"/>
      </left>
      <right style="thin">
        <color rgb="FFB7B7B7"/>
      </right>
    </border>
    <border>
      <left style="thin">
        <color rgb="FFB7B7B7"/>
      </left>
      <right style="thin">
        <color rgb="FFB7B7B7"/>
      </right>
    </border>
    <border>
      <right style="thin">
        <color rgb="FFFFFCEB"/>
      </right>
      <bottom style="medium">
        <color rgb="FF000000"/>
      </bottom>
    </border>
    <border>
      <right style="thin">
        <color rgb="FFFFFCEB"/>
      </right>
      <bottom style="thin">
        <color rgb="FF000000"/>
      </bottom>
    </border>
    <border>
      <left style="medium">
        <color rgb="FF000000"/>
      </left>
      <right style="medium">
        <color rgb="FF000000"/>
      </right>
      <bottom style="medium">
        <color rgb="FF000000"/>
      </bottom>
    </border>
    <border>
      <right style="thin">
        <color rgb="FF000000"/>
      </right>
      <bottom style="thin">
        <color rgb="FFFFFCEB"/>
      </bottom>
    </border>
    <border>
      <left style="thin">
        <color rgb="FF000000"/>
      </left>
      <right style="thin">
        <color rgb="FF000000"/>
      </right>
      <top style="thin">
        <color rgb="FFB7B7B7"/>
      </top>
      <bottom style="thin">
        <color rgb="FF000000"/>
      </bottom>
    </border>
    <border>
      <left style="medium">
        <color rgb="FF000000"/>
      </left>
      <top style="medium">
        <color rgb="FF000000"/>
      </top>
    </border>
    <border>
      <top style="medium">
        <color rgb="FF000000"/>
      </top>
    </border>
    <border>
      <left style="thin">
        <color rgb="FF000000"/>
      </left>
      <bottom style="thin">
        <color rgb="FFFFFFFF"/>
      </bottom>
    </border>
    <border>
      <bottom style="thin">
        <color rgb="FFFFFFFF"/>
      </bottom>
    </border>
    <border>
      <right style="thin">
        <color rgb="FF000000"/>
      </right>
      <bottom style="thin">
        <color rgb="FFFFFFFF"/>
      </bottom>
    </border>
    <border>
      <left style="thin">
        <color rgb="FFB7B7B7"/>
      </left>
      <top style="thin">
        <color rgb="FF000000"/>
      </top>
      <bottom style="thin">
        <color rgb="FF000000"/>
      </bottom>
    </border>
    <border>
      <right style="thin">
        <color rgb="FFB7B7B7"/>
      </right>
      <top style="thin">
        <color rgb="FF000000"/>
      </top>
      <bottom style="thin">
        <color rgb="FF000000"/>
      </bottom>
    </border>
    <border>
      <left style="thin">
        <color rgb="FFFFFCEB"/>
      </left>
      <right style="thin">
        <color rgb="FFFFFCEB"/>
      </right>
      <top style="thin">
        <color rgb="FF666666"/>
      </top>
      <bottom style="thick">
        <color rgb="FF000000"/>
      </bottom>
    </border>
    <border>
      <right style="thin">
        <color rgb="FFFFFCEB"/>
      </right>
      <top style="thin">
        <color rgb="FF666666"/>
      </top>
      <bottom style="thick">
        <color rgb="FF000000"/>
      </bottom>
    </border>
    <border>
      <right style="thin">
        <color rgb="FFFFFCEB"/>
      </right>
      <top style="thin">
        <color rgb="FFFFFCEB"/>
      </top>
      <bottom style="thick">
        <color rgb="FF000000"/>
      </bottom>
    </border>
    <border>
      <left style="thin">
        <color rgb="FF000000"/>
      </left>
      <top style="thin">
        <color rgb="FF000000"/>
      </top>
      <bottom style="thin">
        <color rgb="FF666666"/>
      </bottom>
    </border>
    <border>
      <top style="thin">
        <color rgb="FF000000"/>
      </top>
      <bottom style="thin">
        <color rgb="FF666666"/>
      </bottom>
    </border>
    <border>
      <right style="thin">
        <color rgb="FF666666"/>
      </right>
      <top style="thin">
        <color rgb="FF000000"/>
      </top>
      <bottom style="thin">
        <color rgb="FF666666"/>
      </bottom>
    </border>
    <border>
      <right style="thin">
        <color rgb="FF000000"/>
      </right>
      <top style="thin">
        <color rgb="FF000000"/>
      </top>
      <bottom style="thin">
        <color rgb="FF666666"/>
      </bottom>
    </border>
    <border>
      <left style="thin">
        <color rgb="FFB7B7B7"/>
      </left>
      <bottom style="thin">
        <color rgb="FFB7B7B7"/>
      </bottom>
    </border>
    <border>
      <right style="thin">
        <color rgb="FFB7B7B7"/>
      </right>
      <bottom style="thin">
        <color rgb="FFB7B7B7"/>
      </bottom>
    </border>
    <border>
      <right style="thin">
        <color rgb="FF000000"/>
      </right>
      <top style="thin">
        <color rgb="FF666666"/>
      </top>
      <bottom style="thin">
        <color rgb="FF666666"/>
      </bottom>
    </border>
    <border>
      <left style="thin">
        <color rgb="FFB7B7B7"/>
      </left>
      <top style="thin">
        <color rgb="FFB7B7B7"/>
      </top>
      <bottom style="thin">
        <color rgb="FFB7B7B7"/>
      </bottom>
    </border>
    <border>
      <right style="thin">
        <color rgb="FFB7B7B7"/>
      </right>
      <top style="thin">
        <color rgb="FFB7B7B7"/>
      </top>
      <bottom style="thin">
        <color rgb="FFB7B7B7"/>
      </bottom>
    </border>
    <border>
      <left style="thin">
        <color rgb="FF000000"/>
      </left>
      <top style="thin">
        <color rgb="FF666666"/>
      </top>
    </border>
    <border>
      <top style="thin">
        <color rgb="FF666666"/>
      </top>
    </border>
    <border>
      <right style="thin">
        <color rgb="FF666666"/>
      </right>
      <top style="thin">
        <color rgb="FF666666"/>
      </top>
    </border>
    <border>
      <right style="thin">
        <color rgb="FF000000"/>
      </right>
      <top style="thin">
        <color rgb="FF666666"/>
      </top>
    </border>
    <border>
      <left style="thin">
        <color rgb="FF000000"/>
      </left>
      <top style="thin">
        <color rgb="FFB7B7B7"/>
      </top>
    </border>
    <border>
      <right style="thin">
        <color rgb="FF000000"/>
      </right>
      <top style="thin">
        <color rgb="FFB7B7B7"/>
      </top>
    </border>
    <border>
      <left style="thin">
        <color rgb="FFFFFCEB"/>
      </left>
      <top style="thin">
        <color rgb="FF000000"/>
      </top>
      <bottom style="thin">
        <color rgb="FFFFFCEB"/>
      </bottom>
    </border>
    <border>
      <left style="thin">
        <color rgb="FF000000"/>
      </left>
      <top style="thin">
        <color rgb="FF666666"/>
      </top>
      <bottom style="thin">
        <color rgb="FF000000"/>
      </bottom>
    </border>
    <border>
      <top style="thin">
        <color rgb="FF666666"/>
      </top>
      <bottom style="thin">
        <color rgb="FF000000"/>
      </bottom>
    </border>
    <border>
      <right style="thin">
        <color rgb="FF000000"/>
      </right>
      <top style="thin">
        <color rgb="FF666666"/>
      </top>
      <bottom style="thin">
        <color rgb="FF000000"/>
      </bottom>
    </border>
    <border>
      <left style="medium">
        <color rgb="FF000000"/>
      </left>
      <top style="thick">
        <color rgb="FF000000"/>
      </top>
    </border>
    <border>
      <right style="thin">
        <color rgb="FF000000"/>
      </right>
      <top style="thick">
        <color rgb="FF000000"/>
      </top>
      <bottom style="medium">
        <color rgb="FF000000"/>
      </bottom>
    </border>
    <border>
      <bottom style="thick">
        <color rgb="FF000000"/>
      </bottom>
    </border>
    <border>
      <right style="thin">
        <color rgb="FFB7B7B7"/>
      </right>
      <top style="thin">
        <color rgb="FFB7B7B7"/>
      </top>
    </border>
    <border>
      <top style="thin">
        <color rgb="FFB7B7B7"/>
      </top>
    </border>
    <border>
      <left style="thin">
        <color rgb="FF666666"/>
      </left>
      <top style="thin">
        <color rgb="FF666666"/>
      </top>
    </border>
    <border>
      <left style="thin">
        <color rgb="FF666666"/>
      </left>
      <bottom style="thin">
        <color rgb="FF666666"/>
      </bottom>
    </border>
    <border>
      <bottom style="thin">
        <color rgb="FF666666"/>
      </bottom>
    </border>
    <border>
      <right style="thin">
        <color rgb="FF666666"/>
      </right>
      <bottom style="thin">
        <color rgb="FF666666"/>
      </bottom>
    </border>
    <border>
      <left style="medium">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s>
  <cellStyleXfs count="1">
    <xf borderId="0" fillId="0" fontId="0" numFmtId="0" applyAlignment="1" applyFont="1"/>
  </cellStyleXfs>
  <cellXfs count="1112">
    <xf borderId="0" fillId="0" fontId="0" numFmtId="0" xfId="0" applyAlignment="1" applyFont="1">
      <alignment readingOrder="0" shrinkToFit="0" vertical="bottom" wrapText="0"/>
    </xf>
    <xf borderId="0" fillId="2" fontId="1" numFmtId="0" xfId="0" applyFill="1" applyFont="1"/>
    <xf borderId="0" fillId="2" fontId="1" numFmtId="0" xfId="0" applyAlignment="1" applyFill="1" applyFont="1">
      <alignment readingOrder="0" shrinkToFit="0" vertical="top" wrapText="1"/>
    </xf>
    <xf borderId="0" fillId="2" fontId="2" numFmtId="10" xfId="0" applyAlignment="1" applyFill="1" applyFont="1" applyNumberFormat="1">
      <alignment horizontal="right" readingOrder="0" shrinkToFit="0" vertical="center" wrapText="0"/>
    </xf>
    <xf borderId="0" fillId="2" fontId="3" numFmtId="0" xfId="0" applyAlignment="1" applyFill="1" applyFont="1">
      <alignment readingOrder="0"/>
    </xf>
    <xf borderId="0" fillId="2" fontId="2" numFmtId="0" xfId="0" applyAlignment="1" applyFill="1" applyFont="1">
      <alignment horizontal="left" readingOrder="0" shrinkToFit="0" vertical="center" wrapText="0"/>
    </xf>
    <xf borderId="0" fillId="2" fontId="4" numFmtId="0" xfId="0" applyAlignment="1" applyFill="1" applyFont="1">
      <alignment readingOrder="0"/>
    </xf>
    <xf borderId="0" fillId="2" fontId="5" numFmtId="0" xfId="0" applyAlignment="1" applyFill="1" applyFont="1">
      <alignment horizontal="right" readingOrder="0" shrinkToFit="0" vertical="top" wrapText="1"/>
    </xf>
    <xf borderId="0" fillId="2" fontId="1" numFmtId="0" xfId="0" applyAlignment="1" applyFill="1" applyFont="1">
      <alignment readingOrder="0" shrinkToFit="0" vertical="top" wrapText="0"/>
    </xf>
    <xf borderId="0" fillId="2" fontId="6" numFmtId="0" xfId="0" applyAlignment="1" applyFill="1" applyFont="1">
      <alignment horizontal="center" readingOrder="0" shrinkToFit="0" vertical="center" wrapText="1"/>
    </xf>
    <xf borderId="0" fillId="2" fontId="7" numFmtId="0" xfId="0" applyAlignment="1" applyFill="1" applyFont="1">
      <alignment horizontal="center" shrinkToFit="0" vertical="bottom" wrapText="0"/>
    </xf>
    <xf borderId="0" fillId="2" fontId="8" numFmtId="0" xfId="0" applyAlignment="1" applyFill="1" applyFont="1">
      <alignment horizontal="left" readingOrder="0" shrinkToFit="0" vertical="center" wrapText="0"/>
    </xf>
    <xf borderId="0" fillId="2" fontId="8" numFmtId="0" xfId="0" applyAlignment="1" applyFill="1" applyFont="1">
      <alignment horizontal="center" shrinkToFit="0" vertical="center" wrapText="0"/>
    </xf>
    <xf borderId="0" fillId="2" fontId="8" numFmtId="0" xfId="0" applyAlignment="1" applyFill="1" applyFont="1">
      <alignment horizontal="center" readingOrder="0" shrinkToFit="0" vertical="center" wrapText="0"/>
    </xf>
    <xf borderId="0" fillId="2" fontId="8" numFmtId="0" xfId="0" applyAlignment="1" applyFill="1" applyFont="1">
      <alignment horizontal="center" readingOrder="0" shrinkToFit="0" vertical="center" wrapText="0"/>
    </xf>
    <xf borderId="0" fillId="2" fontId="2" numFmtId="0" xfId="0" applyAlignment="1" applyFill="1" applyFont="1">
      <alignment horizontal="center" shrinkToFit="0" vertical="center" wrapText="0"/>
    </xf>
    <xf borderId="0" fillId="3" fontId="9" numFmtId="0" xfId="0" applyAlignment="1" applyFill="1" applyFont="1">
      <alignment horizontal="center" readingOrder="0" shrinkToFit="0" vertical="bottom" wrapText="0"/>
    </xf>
    <xf borderId="0" fillId="2" fontId="10" numFmtId="0" xfId="0" applyAlignment="1" applyFill="1" applyFont="1">
      <alignment readingOrder="0" shrinkToFit="0" vertical="top" wrapText="0"/>
    </xf>
    <xf borderId="0" fillId="2" fontId="2" numFmtId="0" xfId="0" applyAlignment="1" applyFill="1" applyFont="1">
      <alignment horizontal="right" shrinkToFit="0" vertical="center" wrapText="0"/>
    </xf>
    <xf borderId="0" fillId="2" fontId="2" numFmtId="0" xfId="0" applyAlignment="1" applyFill="1" applyFont="1">
      <alignment horizontal="left" shrinkToFit="0" vertical="center" wrapText="0"/>
    </xf>
    <xf borderId="1" fillId="4" fontId="1" numFmtId="0" xfId="0" applyAlignment="1" applyBorder="1" applyFill="1" applyFont="1">
      <alignment horizontal="right" readingOrder="0" shrinkToFit="0" wrapText="1"/>
    </xf>
    <xf borderId="2" fillId="5" fontId="11" numFmtId="0" xfId="0" applyAlignment="1" applyBorder="1" applyFill="1" applyFont="1">
      <alignment horizontal="center" readingOrder="0" shrinkToFit="0" vertical="center" wrapText="0"/>
    </xf>
    <xf borderId="3" fillId="4" fontId="4" numFmtId="0" xfId="0" applyAlignment="1" applyBorder="1" applyFill="1" applyFont="1">
      <alignment readingOrder="0"/>
    </xf>
    <xf borderId="4" fillId="0" fontId="1" numFmtId="0" xfId="0" applyBorder="1" applyFont="1"/>
    <xf borderId="5" fillId="0" fontId="1" numFmtId="0" xfId="0" applyBorder="1" applyFont="1"/>
    <xf borderId="0" fillId="2" fontId="7" numFmtId="0" xfId="0" applyAlignment="1" applyFill="1" applyFont="1">
      <alignment horizontal="center" shrinkToFit="0" vertical="center" wrapText="0"/>
    </xf>
    <xf borderId="6" fillId="0" fontId="12" numFmtId="0" xfId="0" applyAlignment="1" applyBorder="1" applyFont="1">
      <alignment readingOrder="0" shrinkToFit="0" vertical="center" wrapText="0"/>
    </xf>
    <xf borderId="2" fillId="5" fontId="7" numFmtId="0" xfId="0" applyAlignment="1" applyBorder="1" applyFill="1" applyFont="1">
      <alignment horizontal="center" readingOrder="0" shrinkToFit="0" vertical="center" wrapText="0"/>
    </xf>
    <xf borderId="6" fillId="0" fontId="1" numFmtId="0" xfId="0" applyBorder="1" applyFont="1"/>
    <xf borderId="7" fillId="0" fontId="1" numFmtId="0" xfId="0" applyBorder="1" applyFont="1"/>
    <xf borderId="0" fillId="2" fontId="9" numFmtId="0" xfId="0" applyAlignment="1" applyFill="1" applyFont="1">
      <alignment horizontal="center" readingOrder="0" shrinkToFit="0" vertical="center" wrapText="0"/>
    </xf>
    <xf borderId="8" fillId="6" fontId="2" numFmtId="0" xfId="0" applyAlignment="1" applyBorder="1" applyFill="1" applyFont="1">
      <alignment readingOrder="0" shrinkToFit="0" vertical="center" wrapText="0"/>
    </xf>
    <xf borderId="9" fillId="5" fontId="13" numFmtId="0" xfId="0" applyAlignment="1" applyBorder="1" applyFill="1" applyFont="1">
      <alignment horizontal="center" readingOrder="0" shrinkToFit="0" vertical="center" wrapText="0"/>
    </xf>
    <xf borderId="9" fillId="0" fontId="1" numFmtId="0" xfId="0" applyBorder="1" applyFont="1"/>
    <xf borderId="10" fillId="2" fontId="14" numFmtId="0" xfId="0" applyAlignment="1" applyBorder="1" applyFill="1" applyFont="1">
      <alignment horizontal="center" readingOrder="0" shrinkToFit="0" vertical="center" wrapText="1"/>
    </xf>
    <xf borderId="11" fillId="0" fontId="1" numFmtId="0" xfId="0" applyBorder="1" applyFont="1"/>
    <xf borderId="10" fillId="2" fontId="6" numFmtId="0" xfId="0" applyAlignment="1" applyBorder="1" applyFill="1" applyFont="1">
      <alignment horizontal="center" readingOrder="0" shrinkToFit="0" vertical="center" wrapText="1"/>
    </xf>
    <xf borderId="9" fillId="3" fontId="15" numFmtId="164" xfId="0" applyAlignment="1" applyBorder="1" applyFill="1" applyFont="1" applyNumberFormat="1">
      <alignment horizontal="center" shrinkToFit="0" vertical="center" wrapText="0"/>
    </xf>
    <xf borderId="12" fillId="0" fontId="1" numFmtId="0" xfId="0" applyBorder="1" applyFont="1"/>
    <xf borderId="13" fillId="4" fontId="1" numFmtId="0" xfId="0" applyBorder="1" applyFill="1" applyFont="1"/>
    <xf borderId="6" fillId="5" fontId="12" numFmtId="0" xfId="0" applyAlignment="1" applyBorder="1" applyFill="1" applyFont="1">
      <alignment readingOrder="0" shrinkToFit="0" vertical="center" wrapText="0"/>
    </xf>
    <xf borderId="9" fillId="3" fontId="16" numFmtId="49" xfId="0" applyAlignment="1" applyBorder="1" applyFill="1" applyFont="1" applyNumberFormat="1">
      <alignment horizontal="center" shrinkToFit="0" vertical="center" wrapText="0"/>
    </xf>
    <xf borderId="14" fillId="0" fontId="1" numFmtId="0" xfId="0" applyBorder="1" applyFont="1"/>
    <xf borderId="15" fillId="0" fontId="1" numFmtId="0" xfId="0" applyBorder="1" applyFont="1"/>
    <xf borderId="9" fillId="3" fontId="15" numFmtId="165" xfId="0" applyAlignment="1" applyBorder="1" applyFill="1" applyFont="1" applyNumberFormat="1">
      <alignment horizontal="center" shrinkToFit="0" vertical="center" wrapText="0"/>
    </xf>
    <xf borderId="2" fillId="4" fontId="7" numFmtId="0" xfId="0" applyAlignment="1" applyBorder="1" applyFill="1" applyFont="1">
      <alignment horizontal="left" readingOrder="0" shrinkToFit="0" vertical="center" wrapText="0"/>
    </xf>
    <xf borderId="16" fillId="7" fontId="7" numFmtId="0" xfId="0" applyAlignment="1" applyBorder="1" applyFill="1" applyFont="1">
      <alignment horizontal="left" readingOrder="0" shrinkToFit="0" vertical="center" wrapText="0"/>
    </xf>
    <xf borderId="17" fillId="2" fontId="1" numFmtId="0" xfId="0" applyAlignment="1" applyBorder="1" applyFill="1" applyFont="1">
      <alignment horizontal="center" vertical="bottom"/>
    </xf>
    <xf borderId="9" fillId="3" fontId="16" numFmtId="165" xfId="0" applyAlignment="1" applyBorder="1" applyFill="1" applyFont="1" applyNumberFormat="1">
      <alignment horizontal="center" shrinkToFit="0" vertical="center" wrapText="0"/>
    </xf>
    <xf borderId="12" fillId="4" fontId="1" numFmtId="0" xfId="0" applyAlignment="1" applyBorder="1" applyFill="1" applyFont="1">
      <alignment horizontal="right" readingOrder="0"/>
    </xf>
    <xf borderId="18" fillId="2" fontId="1" numFmtId="0" xfId="0" applyAlignment="1" applyBorder="1" applyFill="1" applyFont="1">
      <alignment horizontal="center" vertical="bottom"/>
    </xf>
    <xf borderId="13" fillId="4" fontId="1" numFmtId="0" xfId="0" applyAlignment="1" applyBorder="1" applyFill="1" applyFont="1">
      <alignment readingOrder="0"/>
    </xf>
    <xf borderId="17" fillId="2" fontId="2" numFmtId="0" xfId="0" applyAlignment="1" applyBorder="1" applyFill="1" applyFont="1">
      <alignment horizontal="left" shrinkToFit="0" vertical="center" wrapText="0"/>
    </xf>
    <xf borderId="19" fillId="5" fontId="17" numFmtId="0" xfId="0" applyAlignment="1" applyBorder="1" applyFill="1" applyFont="1">
      <alignment horizontal="center" readingOrder="0" shrinkToFit="0" vertical="center" wrapText="0"/>
    </xf>
    <xf borderId="6" fillId="8" fontId="12" numFmtId="0" xfId="0" applyAlignment="1" applyBorder="1" applyFill="1" applyFont="1">
      <alignment readingOrder="0" shrinkToFit="0" vertical="center" wrapText="0"/>
    </xf>
    <xf borderId="20" fillId="2" fontId="18" numFmtId="0" xfId="0" applyAlignment="1" applyBorder="1" applyFill="1" applyFont="1">
      <alignment horizontal="center" vertical="bottom"/>
    </xf>
    <xf borderId="21" fillId="9" fontId="19" numFmtId="0" xfId="0" applyAlignment="1" applyBorder="1" applyFill="1" applyFont="1">
      <alignment horizontal="center" readingOrder="0" shrinkToFit="0" vertical="center" wrapText="0"/>
    </xf>
    <xf borderId="16" fillId="10" fontId="7" numFmtId="0" xfId="0" applyAlignment="1" applyBorder="1" applyFill="1" applyFont="1">
      <alignment horizontal="left" readingOrder="0" shrinkToFit="0" vertical="center" wrapText="0"/>
    </xf>
    <xf borderId="2" fillId="6" fontId="7" numFmtId="0" xfId="0" applyAlignment="1" applyBorder="1" applyFill="1" applyFont="1">
      <alignment horizontal="center" readingOrder="0" shrinkToFit="0" vertical="center" wrapText="0"/>
    </xf>
    <xf borderId="22" fillId="2" fontId="18" numFmtId="0" xfId="0" applyAlignment="1" applyBorder="1" applyFill="1" applyFont="1">
      <alignment horizontal="center" vertical="bottom"/>
    </xf>
    <xf borderId="23" fillId="0" fontId="1" numFmtId="0" xfId="0" applyBorder="1" applyFont="1"/>
    <xf borderId="19" fillId="5" fontId="2" numFmtId="0" xfId="0" applyAlignment="1" applyBorder="1" applyFill="1" applyFont="1">
      <alignment horizontal="center" shrinkToFit="0" vertical="center" wrapText="0"/>
    </xf>
    <xf borderId="24" fillId="4" fontId="5" numFmtId="0" xfId="0" applyAlignment="1" applyBorder="1" applyFill="1" applyFont="1">
      <alignment horizontal="center"/>
    </xf>
    <xf borderId="25" fillId="0" fontId="1" numFmtId="0" xfId="0" applyBorder="1" applyFont="1"/>
    <xf borderId="26" fillId="2" fontId="1" numFmtId="0" xfId="0" applyAlignment="1" applyBorder="1" applyFill="1" applyFont="1">
      <alignment horizontal="center" vertical="bottom"/>
    </xf>
    <xf borderId="27" fillId="6" fontId="2" numFmtId="0" xfId="0" applyAlignment="1" applyBorder="1" applyFill="1" applyFont="1">
      <alignment readingOrder="0" shrinkToFit="0" vertical="center" wrapText="0"/>
    </xf>
    <xf borderId="1" fillId="9" fontId="20" numFmtId="0" xfId="0" applyAlignment="1" applyBorder="1" applyFill="1" applyFont="1">
      <alignment horizontal="center" readingOrder="0" vertical="center"/>
    </xf>
    <xf borderId="28" fillId="0" fontId="1" numFmtId="0" xfId="0" applyBorder="1" applyFont="1"/>
    <xf borderId="29" fillId="0" fontId="1" numFmtId="0" xfId="0" applyBorder="1" applyFont="1"/>
    <xf borderId="3" fillId="0" fontId="1" numFmtId="0" xfId="0" applyBorder="1" applyFont="1"/>
    <xf borderId="30" fillId="2" fontId="2" numFmtId="0" xfId="0" applyAlignment="1" applyBorder="1" applyFill="1" applyFont="1">
      <alignment horizontal="left" readingOrder="0" shrinkToFit="0" vertical="center" wrapText="0"/>
    </xf>
    <xf borderId="4" fillId="5" fontId="13" numFmtId="0" xfId="0" applyAlignment="1" applyBorder="1" applyFill="1" applyFont="1">
      <alignment horizontal="center" readingOrder="0" shrinkToFit="0" vertical="center" wrapText="0"/>
    </xf>
    <xf borderId="31" fillId="2" fontId="2" numFmtId="0" xfId="0" applyAlignment="1" applyBorder="1" applyFill="1" applyFont="1">
      <alignment horizontal="left" shrinkToFit="0" vertical="center" wrapText="0"/>
    </xf>
    <xf borderId="32" fillId="2" fontId="1" numFmtId="0" xfId="0" applyAlignment="1" applyBorder="1" applyFill="1" applyFont="1">
      <alignment horizontal="center" vertical="bottom"/>
    </xf>
    <xf borderId="4" fillId="3" fontId="15" numFmtId="164" xfId="0" applyAlignment="1" applyBorder="1" applyFill="1" applyFont="1" applyNumberFormat="1">
      <alignment horizontal="center" shrinkToFit="0" vertical="center" wrapText="0"/>
    </xf>
    <xf borderId="6" fillId="3" fontId="12" numFmtId="0" xfId="0" applyAlignment="1" applyBorder="1" applyFill="1" applyFont="1">
      <alignment readingOrder="0" shrinkToFit="0" vertical="center" wrapText="0"/>
    </xf>
    <xf borderId="31" fillId="2" fontId="2" numFmtId="0" xfId="0" applyAlignment="1" applyBorder="1" applyFill="1" applyFont="1">
      <alignment horizontal="left" readingOrder="0" shrinkToFit="0" vertical="center" wrapText="0"/>
    </xf>
    <xf borderId="33" fillId="0" fontId="1" numFmtId="0" xfId="0" applyBorder="1" applyFont="1"/>
    <xf borderId="2" fillId="9" fontId="21" numFmtId="0" xfId="0" applyAlignment="1" applyBorder="1" applyFill="1" applyFont="1">
      <alignment horizontal="left" readingOrder="0"/>
    </xf>
    <xf borderId="4" fillId="3" fontId="16" numFmtId="49" xfId="0" applyAlignment="1" applyBorder="1" applyFill="1" applyFont="1" applyNumberFormat="1">
      <alignment horizontal="center" shrinkToFit="0" vertical="center" wrapText="0"/>
    </xf>
    <xf borderId="4" fillId="9" fontId="21" numFmtId="0" xfId="0" applyAlignment="1" applyBorder="1" applyFill="1" applyFont="1">
      <alignment horizontal="center" readingOrder="0"/>
    </xf>
    <xf borderId="4" fillId="3" fontId="15" numFmtId="165" xfId="0" applyAlignment="1" applyBorder="1" applyFill="1" applyFont="1" applyNumberFormat="1">
      <alignment horizontal="center" shrinkToFit="0" vertical="center" wrapText="0"/>
    </xf>
    <xf borderId="34" fillId="0" fontId="1" numFmtId="0" xfId="0" applyBorder="1" applyFont="1"/>
    <xf borderId="35" fillId="2" fontId="2" numFmtId="0" xfId="0" applyAlignment="1" applyBorder="1" applyFill="1" applyFont="1">
      <alignment horizontal="left" shrinkToFit="0" vertical="center" wrapText="0"/>
    </xf>
    <xf borderId="5" fillId="9" fontId="22" numFmtId="0" xfId="0" applyAlignment="1" applyBorder="1" applyFill="1" applyFont="1">
      <alignment horizontal="right" readingOrder="0"/>
    </xf>
    <xf borderId="4" fillId="3" fontId="16" numFmtId="165" xfId="0" applyAlignment="1" applyBorder="1" applyFill="1" applyFont="1" applyNumberFormat="1">
      <alignment horizontal="center" shrinkToFit="0" vertical="center" wrapText="0"/>
    </xf>
    <xf borderId="20" fillId="2" fontId="2" numFmtId="0" xfId="0" applyAlignment="1" applyBorder="1" applyFill="1" applyFont="1">
      <alignment horizontal="left" shrinkToFit="0" vertical="center" wrapText="0"/>
    </xf>
    <xf borderId="36" fillId="2" fontId="18" numFmtId="0" xfId="0" applyAlignment="1" applyBorder="1" applyFill="1" applyFont="1">
      <alignment horizontal="center" vertical="bottom"/>
    </xf>
    <xf borderId="0" fillId="2" fontId="5" numFmtId="0" xfId="0" applyAlignment="1" applyFill="1" applyFont="1">
      <alignment readingOrder="0"/>
    </xf>
    <xf borderId="2" fillId="9" fontId="23" numFmtId="0" xfId="0" applyAlignment="1" applyBorder="1" applyFill="1" applyFont="1">
      <alignment horizontal="left" readingOrder="0" vertical="bottom"/>
    </xf>
    <xf borderId="2" fillId="9" fontId="23" numFmtId="0" xfId="0" applyAlignment="1" applyBorder="1" applyFill="1" applyFont="1">
      <alignment horizontal="center" readingOrder="0" vertical="bottom"/>
    </xf>
    <xf borderId="4" fillId="9" fontId="23" numFmtId="0" xfId="0" applyAlignment="1" applyBorder="1" applyFill="1" applyFont="1">
      <alignment horizontal="center" readingOrder="0" vertical="bottom"/>
    </xf>
    <xf borderId="37" fillId="5" fontId="17" numFmtId="0" xfId="0" applyAlignment="1" applyBorder="1" applyFill="1" applyFont="1">
      <alignment horizontal="center" readingOrder="0" shrinkToFit="0" vertical="center" wrapText="0"/>
    </xf>
    <xf borderId="38" fillId="2" fontId="18" numFmtId="0" xfId="0" applyAlignment="1" applyBorder="1" applyFill="1" applyFont="1">
      <alignment horizontal="center" vertical="bottom"/>
    </xf>
    <xf borderId="2" fillId="9" fontId="21" numFmtId="0" xfId="0" applyAlignment="1" applyBorder="1" applyFill="1" applyFont="1">
      <alignment horizontal="right" readingOrder="0" vertical="bottom"/>
    </xf>
    <xf borderId="18" fillId="2" fontId="9" numFmtId="0" xfId="0" applyAlignment="1" applyBorder="1" applyFill="1" applyFont="1">
      <alignment shrinkToFit="0" wrapText="0"/>
    </xf>
    <xf borderId="18" fillId="2" fontId="24" numFmtId="0" xfId="0" applyBorder="1" applyFill="1" applyFont="1"/>
    <xf borderId="0" fillId="2" fontId="25" numFmtId="0" xfId="0" applyAlignment="1" applyFill="1" applyFont="1">
      <alignment horizontal="left" readingOrder="0" shrinkToFit="0" vertical="center" wrapText="0"/>
    </xf>
    <xf borderId="2" fillId="9" fontId="21" numFmtId="0" xfId="0" applyAlignment="1" applyBorder="1" applyFill="1" applyFont="1">
      <alignment horizontal="center" readingOrder="0" vertical="bottom"/>
    </xf>
    <xf borderId="37" fillId="5" fontId="2" numFmtId="0" xfId="0" applyAlignment="1" applyBorder="1" applyFill="1" applyFont="1">
      <alignment horizontal="center" readingOrder="0" shrinkToFit="0" vertical="center" wrapText="0"/>
    </xf>
    <xf borderId="39" fillId="2" fontId="4" numFmtId="0" xfId="0" applyAlignment="1" applyBorder="1" applyFill="1" applyFont="1">
      <alignment readingOrder="0"/>
    </xf>
    <xf borderId="39" fillId="2" fontId="26" numFmtId="0" xfId="0" applyAlignment="1" applyBorder="1" applyFill="1" applyFont="1">
      <alignment horizontal="right" readingOrder="0"/>
    </xf>
    <xf borderId="0" fillId="11" fontId="1" numFmtId="0" xfId="0" applyAlignment="1" applyFill="1" applyFont="1">
      <alignment readingOrder="0" shrinkToFit="0" vertical="top" wrapText="1"/>
    </xf>
    <xf borderId="18" fillId="2" fontId="2" numFmtId="0" xfId="0" applyAlignment="1" applyBorder="1" applyFill="1" applyFont="1">
      <alignment horizontal="right"/>
    </xf>
    <xf borderId="1" fillId="9" fontId="21" numFmtId="0" xfId="0" applyAlignment="1" applyBorder="1" applyFill="1" applyFont="1">
      <alignment horizontal="center" readingOrder="0" vertical="bottom"/>
    </xf>
    <xf borderId="17" fillId="2" fontId="24" numFmtId="0" xfId="0" applyBorder="1" applyFill="1" applyFont="1"/>
    <xf borderId="40" fillId="2" fontId="18" numFmtId="0" xfId="0" applyAlignment="1" applyBorder="1" applyFill="1" applyFont="1">
      <alignment horizontal="center" vertical="bottom"/>
    </xf>
    <xf borderId="0" fillId="2" fontId="18" numFmtId="0" xfId="0" applyAlignment="1" applyFill="1" applyFont="1">
      <alignment horizontal="left" readingOrder="0" shrinkToFit="0" vertical="center" wrapText="1"/>
    </xf>
    <xf borderId="2" fillId="6" fontId="1" numFmtId="0" xfId="0" applyAlignment="1" applyBorder="1" applyFill="1" applyFont="1">
      <alignment horizontal="center" readingOrder="0" vertical="bottom"/>
    </xf>
    <xf borderId="0" fillId="2" fontId="1" numFmtId="0" xfId="0" applyAlignment="1" applyFill="1" applyFont="1">
      <alignment readingOrder="0" shrinkToFit="0" vertical="center" wrapText="1"/>
    </xf>
    <xf borderId="41" fillId="2" fontId="18" numFmtId="0" xfId="0" applyAlignment="1" applyBorder="1" applyFill="1" applyFont="1">
      <alignment horizontal="center" vertical="bottom"/>
    </xf>
    <xf borderId="24" fillId="0" fontId="1" numFmtId="0" xfId="0" applyBorder="1" applyFont="1"/>
    <xf borderId="0" fillId="2" fontId="27" numFmtId="0" xfId="0" applyAlignment="1" applyFill="1" applyFont="1">
      <alignment readingOrder="0"/>
    </xf>
    <xf borderId="18" fillId="2" fontId="2" numFmtId="0" xfId="0" applyAlignment="1" applyBorder="1" applyFill="1" applyFont="1">
      <alignment horizontal="right" shrinkToFit="0" wrapText="0"/>
    </xf>
    <xf borderId="39" fillId="0" fontId="1" numFmtId="0" xfId="0" applyBorder="1" applyFont="1"/>
    <xf borderId="0" fillId="2" fontId="28" numFmtId="0" xfId="0" applyAlignment="1" applyFill="1" applyFont="1">
      <alignment readingOrder="0" shrinkToFit="0" wrapText="1"/>
    </xf>
    <xf borderId="0" fillId="2" fontId="5" numFmtId="0" xfId="0" applyFill="1" applyFont="1"/>
    <xf borderId="0" fillId="2" fontId="5" numFmtId="0" xfId="0" applyAlignment="1" applyFill="1" applyFont="1">
      <alignment readingOrder="0" shrinkToFit="0" vertical="center" wrapText="1"/>
    </xf>
    <xf borderId="2" fillId="6" fontId="29" numFmtId="0" xfId="0" applyAlignment="1" applyBorder="1" applyFill="1" applyFont="1">
      <alignment horizontal="left" readingOrder="0" vertical="bottom"/>
    </xf>
    <xf borderId="0" fillId="2" fontId="18" numFmtId="0" xfId="0" applyAlignment="1" applyFill="1" applyFont="1">
      <alignment readingOrder="0" shrinkToFit="0" vertical="center" wrapText="1"/>
    </xf>
    <xf borderId="16" fillId="6" fontId="7" numFmtId="0" xfId="0" applyAlignment="1" applyBorder="1" applyFill="1" applyFont="1">
      <alignment horizontal="center" readingOrder="0" shrinkToFit="0" vertical="center" wrapText="0"/>
    </xf>
    <xf borderId="2" fillId="5" fontId="1" numFmtId="0" xfId="0" applyAlignment="1" applyBorder="1" applyFill="1" applyFont="1">
      <alignment horizontal="left" readingOrder="0" vertical="bottom"/>
    </xf>
    <xf borderId="16" fillId="5" fontId="7" numFmtId="0" xfId="0" applyAlignment="1" applyBorder="1" applyFill="1" applyFont="1">
      <alignment horizontal="center" readingOrder="0" shrinkToFit="0" vertical="center" wrapText="0"/>
    </xf>
    <xf borderId="2" fillId="3" fontId="18" numFmtId="0" xfId="0" applyAlignment="1" applyBorder="1" applyFill="1" applyFont="1">
      <alignment horizontal="right" readingOrder="0" vertical="bottom"/>
    </xf>
    <xf borderId="42" fillId="5" fontId="2" numFmtId="0" xfId="0" applyAlignment="1" applyBorder="1" applyFill="1" applyFont="1">
      <alignment horizontal="center" shrinkToFit="0" vertical="center" wrapText="0"/>
    </xf>
    <xf borderId="0" fillId="2" fontId="30" numFmtId="0" xfId="0" applyAlignment="1" applyFill="1" applyFont="1">
      <alignment readingOrder="0" shrinkToFit="0" vertical="center" wrapText="1"/>
    </xf>
    <xf borderId="18" fillId="2" fontId="9" numFmtId="0" xfId="0" applyAlignment="1" applyBorder="1" applyFill="1" applyFont="1">
      <alignment horizontal="left" readingOrder="0" shrinkToFit="0" vertical="center" wrapText="0"/>
    </xf>
    <xf borderId="43" fillId="5" fontId="31" numFmtId="0" xfId="0" applyAlignment="1" applyBorder="1" applyFill="1" applyFont="1">
      <alignment horizontal="center" readingOrder="0" shrinkToFit="0" vertical="bottom" wrapText="0"/>
    </xf>
    <xf borderId="18" fillId="2" fontId="2" numFmtId="0" xfId="0" applyAlignment="1" applyBorder="1" applyFill="1" applyFont="1">
      <alignment horizontal="left" shrinkToFit="0" vertical="center" wrapText="0"/>
    </xf>
    <xf borderId="28" fillId="5" fontId="15" numFmtId="164" xfId="0" applyAlignment="1" applyBorder="1" applyFill="1" applyFont="1" applyNumberFormat="1">
      <alignment shrinkToFit="0" vertical="center" wrapText="0"/>
    </xf>
    <xf borderId="18" fillId="2" fontId="9" numFmtId="0" xfId="0" applyAlignment="1" applyBorder="1" applyFill="1" applyFont="1">
      <alignment horizontal="center" readingOrder="0" shrinkToFit="0" vertical="center" wrapText="0"/>
    </xf>
    <xf borderId="18" fillId="2" fontId="2" numFmtId="0" xfId="0" applyAlignment="1" applyBorder="1" applyFill="1" applyFont="1">
      <alignment horizontal="center" shrinkToFit="0" vertical="center" wrapText="0"/>
    </xf>
    <xf borderId="28" fillId="5" fontId="16" numFmtId="0" xfId="0" applyAlignment="1" applyBorder="1" applyFill="1" applyFont="1">
      <alignment horizontal="center" shrinkToFit="0" vertical="center" wrapText="0"/>
    </xf>
    <xf borderId="0" fillId="2" fontId="32" numFmtId="0" xfId="0" applyAlignment="1" applyFill="1" applyFont="1">
      <alignment readingOrder="0"/>
    </xf>
    <xf borderId="44" fillId="3" fontId="18" numFmtId="0" xfId="0" applyAlignment="1" applyBorder="1" applyFill="1" applyFont="1">
      <alignment horizontal="left" vertical="bottom"/>
    </xf>
    <xf borderId="45" fillId="2" fontId="2" numFmtId="0" xfId="0" applyAlignment="1" applyBorder="1" applyFill="1" applyFont="1">
      <alignment horizontal="center" shrinkToFit="0" vertical="center" wrapText="0"/>
    </xf>
    <xf borderId="2" fillId="3" fontId="33" numFmtId="0" xfId="0" applyAlignment="1" applyBorder="1" applyFill="1" applyFont="1">
      <alignment horizontal="center" readingOrder="0" vertical="bottom"/>
    </xf>
    <xf borderId="28" fillId="5" fontId="15" numFmtId="165" xfId="0" applyAlignment="1" applyBorder="1" applyFill="1" applyFont="1" applyNumberFormat="1">
      <alignment shrinkToFit="0" vertical="center" wrapText="0"/>
    </xf>
    <xf borderId="1" fillId="5" fontId="34" numFmtId="0" xfId="0" applyAlignment="1" applyBorder="1" applyFill="1" applyFont="1">
      <alignment horizontal="center" readingOrder="0" shrinkToFit="0" vertical="center" wrapText="0"/>
    </xf>
    <xf borderId="2" fillId="3" fontId="33" numFmtId="0" xfId="0" applyAlignment="1" applyBorder="1" applyFill="1" applyFont="1">
      <alignment horizontal="center" readingOrder="0" shrinkToFit="0" vertical="bottom" wrapText="0"/>
    </xf>
    <xf borderId="0" fillId="2" fontId="1" numFmtId="0" xfId="0" applyAlignment="1" applyFill="1" applyFont="1">
      <alignment readingOrder="0"/>
    </xf>
    <xf borderId="28" fillId="5" fontId="15" numFmtId="165" xfId="0" applyAlignment="1" applyBorder="1" applyFill="1" applyFont="1" applyNumberFormat="1">
      <alignment horizontal="center" shrinkToFit="0" vertical="center" wrapText="0"/>
    </xf>
    <xf borderId="32" fillId="2" fontId="2" numFmtId="0" xfId="0" applyAlignment="1" applyBorder="1" applyFill="1" applyFont="1">
      <alignment horizontal="left" shrinkToFit="0" vertical="center" wrapText="0"/>
    </xf>
    <xf borderId="46" fillId="0" fontId="2" numFmtId="0" xfId="0" applyAlignment="1" applyBorder="1" applyFont="1">
      <alignment horizontal="center" shrinkToFit="0" vertical="center" wrapText="0"/>
    </xf>
    <xf borderId="2" fillId="3" fontId="35" numFmtId="0" xfId="0" applyAlignment="1" applyBorder="1" applyFill="1" applyFont="1">
      <alignment horizontal="center" readingOrder="0" shrinkToFit="0" vertical="bottom" wrapText="1"/>
    </xf>
    <xf borderId="0" fillId="2" fontId="5" numFmtId="0" xfId="0" applyAlignment="1" applyFill="1" applyFont="1">
      <alignment horizontal="left" readingOrder="0" shrinkToFit="0" vertical="center" wrapText="1"/>
    </xf>
    <xf borderId="2" fillId="3" fontId="18" numFmtId="0" xfId="0" applyAlignment="1" applyBorder="1" applyFill="1" applyFont="1">
      <alignment horizontal="center" readingOrder="0" vertical="bottom"/>
    </xf>
    <xf borderId="28" fillId="5" fontId="15" numFmtId="165" xfId="0" applyAlignment="1" applyBorder="1" applyFill="1" applyFont="1" applyNumberFormat="1">
      <alignment horizontal="center" readingOrder="0" shrinkToFit="0" vertical="center" wrapText="0"/>
    </xf>
    <xf borderId="47" fillId="0" fontId="2" numFmtId="0" xfId="0" applyAlignment="1" applyBorder="1" applyFont="1">
      <alignment horizontal="left" readingOrder="0" shrinkToFit="0" vertical="center" wrapText="0"/>
    </xf>
    <xf borderId="0" fillId="2" fontId="36" numFmtId="0" xfId="0" applyFill="1" applyFont="1"/>
    <xf borderId="48" fillId="5" fontId="17" numFmtId="0" xfId="0" applyAlignment="1" applyBorder="1" applyFill="1" applyFont="1">
      <alignment horizontal="center" readingOrder="0" shrinkToFit="0" vertical="center" wrapText="0"/>
    </xf>
    <xf borderId="2" fillId="3" fontId="33" numFmtId="0" xfId="0" applyAlignment="1" applyBorder="1" applyFill="1" applyFont="1">
      <alignment horizontal="center" shrinkToFit="0" vertical="bottom" wrapText="0"/>
    </xf>
    <xf borderId="2" fillId="3" fontId="35" numFmtId="0" xfId="0" applyAlignment="1" applyBorder="1" applyFill="1" applyFont="1">
      <alignment horizontal="center" vertical="bottom"/>
    </xf>
    <xf borderId="2" fillId="3" fontId="18" numFmtId="0" xfId="0" applyAlignment="1" applyBorder="1" applyFill="1" applyFont="1">
      <alignment horizontal="center" vertical="bottom"/>
    </xf>
    <xf borderId="49" fillId="5" fontId="2" numFmtId="0" xfId="0" applyAlignment="1" applyBorder="1" applyFill="1" applyFont="1">
      <alignment horizontal="center" readingOrder="0" shrinkToFit="0" vertical="center" wrapText="0"/>
    </xf>
    <xf borderId="50" fillId="2" fontId="9" numFmtId="0" xfId="0" applyAlignment="1" applyBorder="1" applyFill="1" applyFont="1">
      <alignment horizontal="center"/>
    </xf>
    <xf borderId="51" fillId="0" fontId="1" numFmtId="0" xfId="0" applyBorder="1" applyFont="1"/>
    <xf borderId="47" fillId="3" fontId="9" numFmtId="0" xfId="0" applyAlignment="1" applyBorder="1" applyFill="1" applyFont="1">
      <alignment horizontal="center" readingOrder="0" shrinkToFit="0" vertical="center" wrapText="0"/>
    </xf>
    <xf borderId="52" fillId="0" fontId="2" numFmtId="0" xfId="0" applyAlignment="1" applyBorder="1" applyFont="1">
      <alignment horizontal="left" readingOrder="0" shrinkToFit="0" vertical="center" wrapText="0"/>
    </xf>
    <xf borderId="53" fillId="0" fontId="1" numFmtId="0" xfId="0" applyBorder="1" applyFont="1"/>
    <xf borderId="54" fillId="3" fontId="9" numFmtId="49" xfId="0" applyAlignment="1" applyBorder="1" applyFill="1" applyFont="1" applyNumberFormat="1">
      <alignment horizontal="center"/>
    </xf>
    <xf borderId="55" fillId="0" fontId="1" numFmtId="0" xfId="0" applyBorder="1" applyFont="1"/>
    <xf borderId="46" fillId="0" fontId="2" numFmtId="0" xfId="0" applyAlignment="1" applyBorder="1" applyFont="1">
      <alignment horizontal="left" shrinkToFit="0" vertical="center" wrapText="0"/>
    </xf>
    <xf borderId="56" fillId="3" fontId="9" numFmtId="0" xfId="0" applyAlignment="1" applyBorder="1" applyFill="1" applyFont="1">
      <alignment horizontal="center"/>
    </xf>
    <xf borderId="54" fillId="3" fontId="9" numFmtId="165" xfId="0" applyAlignment="1" applyBorder="1" applyFill="1" applyFont="1" applyNumberFormat="1">
      <alignment horizontal="center"/>
    </xf>
    <xf borderId="57" fillId="3" fontId="1" numFmtId="0" xfId="0" applyAlignment="1" applyBorder="1" applyFill="1" applyFont="1">
      <alignment horizontal="left" readingOrder="0" vertical="bottom"/>
    </xf>
    <xf borderId="58" fillId="0" fontId="1" numFmtId="0" xfId="0" applyBorder="1" applyFont="1"/>
    <xf borderId="0" fillId="2" fontId="37" numFmtId="0" xfId="0" applyAlignment="1" applyFill="1" applyFont="1">
      <alignment readingOrder="0"/>
    </xf>
    <xf borderId="57" fillId="3" fontId="1" numFmtId="0" xfId="0" applyAlignment="1" applyBorder="1" applyFill="1" applyFont="1">
      <alignment horizontal="center" readingOrder="0" vertical="bottom"/>
    </xf>
    <xf borderId="59" fillId="0" fontId="2" numFmtId="0" xfId="0" applyAlignment="1" applyBorder="1" applyFont="1">
      <alignment horizontal="left" shrinkToFit="0" vertical="center" wrapText="0"/>
    </xf>
    <xf borderId="60" fillId="0" fontId="1" numFmtId="0" xfId="0" applyBorder="1" applyFont="1"/>
    <xf borderId="61" fillId="9" fontId="19" numFmtId="0" xfId="0" applyAlignment="1" applyBorder="1" applyFill="1" applyFont="1">
      <alignment horizontal="center" shrinkToFit="0" vertical="center" wrapText="0"/>
    </xf>
    <xf borderId="62" fillId="0" fontId="1" numFmtId="0" xfId="0" applyBorder="1" applyFont="1"/>
    <xf borderId="2" fillId="6" fontId="2" numFmtId="0" xfId="0" applyAlignment="1" applyBorder="1" applyFill="1" applyFont="1">
      <alignment horizontal="left" readingOrder="0" shrinkToFit="0" vertical="center" wrapText="0"/>
    </xf>
    <xf borderId="63" fillId="3" fontId="1" numFmtId="0" xfId="0" applyAlignment="1" applyBorder="1" applyFill="1" applyFont="1">
      <alignment horizontal="center" readingOrder="0" vertical="bottom"/>
    </xf>
    <xf borderId="64" fillId="0" fontId="1" numFmtId="0" xfId="0" applyBorder="1" applyFont="1"/>
    <xf borderId="0" fillId="2" fontId="8" numFmtId="0" xfId="0" applyAlignment="1" applyFill="1" applyFont="1">
      <alignment horizontal="center" readingOrder="0" shrinkToFit="0" vertical="top" wrapText="0"/>
    </xf>
    <xf borderId="0" fillId="2" fontId="8" numFmtId="0" xfId="0" applyAlignment="1" applyFill="1" applyFont="1">
      <alignment horizontal="center" readingOrder="0" shrinkToFit="0" vertical="top" wrapText="0"/>
    </xf>
    <xf borderId="16" fillId="6" fontId="9" numFmtId="0" xfId="0" applyAlignment="1" applyBorder="1" applyFill="1" applyFont="1">
      <alignment horizontal="center" shrinkToFit="0" vertical="center" wrapText="0"/>
    </xf>
    <xf borderId="50" fillId="9" fontId="19" numFmtId="0" xfId="0" applyAlignment="1" applyBorder="1" applyFill="1" applyFont="1">
      <alignment horizontal="center" readingOrder="0" shrinkToFit="0" vertical="center" wrapText="0"/>
    </xf>
    <xf borderId="65" fillId="0" fontId="1" numFmtId="0" xfId="0" applyBorder="1" applyFont="1"/>
    <xf borderId="66" fillId="2" fontId="8" numFmtId="0" xfId="0" applyAlignment="1" applyBorder="1" applyFill="1" applyFont="1">
      <alignment horizontal="center" readingOrder="0" shrinkToFit="0" vertical="bottom" wrapText="0"/>
    </xf>
    <xf borderId="66" fillId="2" fontId="8" numFmtId="0" xfId="0" applyAlignment="1" applyBorder="1" applyFill="1" applyFont="1">
      <alignment horizontal="center" shrinkToFit="0" vertical="bottom" wrapText="0"/>
    </xf>
    <xf borderId="67" fillId="0" fontId="1" numFmtId="0" xfId="0" applyBorder="1" applyFont="1"/>
    <xf borderId="66" fillId="2" fontId="8" numFmtId="0" xfId="0" applyAlignment="1" applyBorder="1" applyFill="1" applyFont="1">
      <alignment horizontal="center" readingOrder="0" shrinkToFit="0" vertical="bottom" wrapText="0"/>
    </xf>
    <xf borderId="16" fillId="6" fontId="1" numFmtId="0" xfId="0" applyAlignment="1" applyBorder="1" applyFill="1" applyFont="1">
      <alignment horizontal="center" readingOrder="0" vertical="bottom"/>
    </xf>
    <xf borderId="59" fillId="0" fontId="2" numFmtId="0" xfId="0" applyAlignment="1" applyBorder="1" applyFont="1">
      <alignment horizontal="left" readingOrder="0" shrinkToFit="0" vertical="center" wrapText="0"/>
    </xf>
    <xf borderId="0" fillId="2" fontId="38" numFmtId="0" xfId="0" applyAlignment="1" applyFill="1" applyFont="1">
      <alignment horizontal="center" readingOrder="0" vertical="bottom"/>
    </xf>
    <xf borderId="66" fillId="2" fontId="8" numFmtId="0" xfId="0" applyAlignment="1" applyBorder="1" applyFill="1" applyFont="1">
      <alignment horizontal="right" readingOrder="0" shrinkToFit="0" vertical="center" wrapText="0"/>
    </xf>
    <xf borderId="68" fillId="2" fontId="1" numFmtId="0" xfId="0" applyAlignment="1" applyBorder="1" applyFill="1" applyFont="1">
      <alignment horizontal="center" vertical="bottom"/>
    </xf>
    <xf borderId="66" fillId="2" fontId="39" numFmtId="0" xfId="0" applyAlignment="1" applyBorder="1" applyFill="1" applyFont="1">
      <alignment horizontal="center" readingOrder="0" shrinkToFit="0" vertical="center" wrapText="0"/>
    </xf>
    <xf borderId="66" fillId="0" fontId="1" numFmtId="0" xfId="0" applyBorder="1" applyFont="1"/>
    <xf borderId="45" fillId="2" fontId="25" numFmtId="0" xfId="0" applyAlignment="1" applyBorder="1" applyFill="1" applyFont="1">
      <alignment horizontal="center" readingOrder="0" vertical="bottom"/>
    </xf>
    <xf borderId="2" fillId="3" fontId="9" numFmtId="0" xfId="0" applyAlignment="1" applyBorder="1" applyFill="1" applyFont="1">
      <alignment horizontal="center"/>
    </xf>
    <xf borderId="0" fillId="2" fontId="2" numFmtId="0" xfId="0" applyAlignment="1" applyFill="1" applyFont="1">
      <alignment shrinkToFit="0" vertical="center" wrapText="0"/>
    </xf>
    <xf borderId="68" fillId="0" fontId="1" numFmtId="0" xfId="0" applyBorder="1" applyFont="1"/>
    <xf borderId="69" fillId="9" fontId="19" numFmtId="0" xfId="0" applyAlignment="1" applyBorder="1" applyFill="1" applyFont="1">
      <alignment horizontal="center" readingOrder="0" shrinkToFit="0" vertical="center" wrapText="0"/>
    </xf>
    <xf borderId="70" fillId="0" fontId="1" numFmtId="0" xfId="0" applyBorder="1" applyFont="1"/>
    <xf borderId="68" fillId="2" fontId="18" numFmtId="0" xfId="0" applyAlignment="1" applyBorder="1" applyFill="1" applyFont="1">
      <alignment horizontal="center" vertical="bottom"/>
    </xf>
    <xf borderId="71" fillId="0" fontId="1" numFmtId="0" xfId="0" applyBorder="1" applyFont="1"/>
    <xf borderId="66" fillId="2" fontId="17" numFmtId="0" xfId="0" applyAlignment="1" applyBorder="1" applyFill="1" applyFont="1">
      <alignment horizontal="center" readingOrder="0" shrinkToFit="0" vertical="bottom" wrapText="0"/>
    </xf>
    <xf borderId="68" fillId="2" fontId="18" numFmtId="0" xfId="0" applyAlignment="1" applyBorder="1" applyFill="1" applyFont="1">
      <alignment horizontal="center" readingOrder="0" vertical="bottom"/>
    </xf>
    <xf borderId="2" fillId="3" fontId="37" numFmtId="0" xfId="0" applyAlignment="1" applyBorder="1" applyFill="1" applyFont="1">
      <alignment horizontal="center" readingOrder="0" vertical="bottom"/>
    </xf>
    <xf borderId="66" fillId="2" fontId="40" numFmtId="0" xfId="0" applyAlignment="1" applyBorder="1" applyFill="1" applyFont="1">
      <alignment horizontal="center" readingOrder="0" shrinkToFit="0" vertical="bottom" wrapText="0"/>
    </xf>
    <xf borderId="66" fillId="2" fontId="40" numFmtId="0" xfId="0" applyAlignment="1" applyBorder="1" applyFill="1" applyFont="1">
      <alignment horizontal="center" shrinkToFit="0" vertical="bottom" wrapText="0"/>
    </xf>
    <xf borderId="2" fillId="3" fontId="1" numFmtId="3" xfId="0" applyAlignment="1" applyBorder="1" applyFill="1" applyFont="1" applyNumberFormat="1">
      <alignment horizontal="center" vertical="bottom"/>
    </xf>
    <xf borderId="72" fillId="0" fontId="1" numFmtId="0" xfId="0" applyBorder="1" applyFont="1"/>
    <xf borderId="2" fillId="3" fontId="1" numFmtId="0" xfId="0" applyAlignment="1" applyBorder="1" applyFill="1" applyFont="1">
      <alignment horizontal="center" readingOrder="0" shrinkToFit="0" vertical="bottom" wrapText="0"/>
    </xf>
    <xf borderId="0" fillId="2" fontId="41" numFmtId="0" xfId="0" applyAlignment="1" applyFill="1" applyFont="1">
      <alignment horizontal="right" readingOrder="0" shrinkToFit="0" vertical="center" wrapText="0"/>
    </xf>
    <xf borderId="12" fillId="3" fontId="1" numFmtId="0" xfId="0" applyBorder="1" applyFill="1" applyFont="1"/>
    <xf borderId="2" fillId="3" fontId="35" numFmtId="0" xfId="0" applyAlignment="1" applyBorder="1" applyFill="1" applyFont="1">
      <alignment horizontal="center" readingOrder="0" vertical="bottom"/>
    </xf>
    <xf borderId="2" fillId="3" fontId="37" numFmtId="0" xfId="0" applyAlignment="1" applyBorder="1" applyFill="1" applyFont="1">
      <alignment horizontal="center" vertical="bottom"/>
    </xf>
    <xf borderId="16" fillId="3" fontId="2" numFmtId="0" xfId="0" applyAlignment="1" applyBorder="1" applyFill="1" applyFont="1">
      <alignment horizontal="center" shrinkToFit="0" vertical="center" wrapText="0"/>
    </xf>
    <xf borderId="61" fillId="3" fontId="9" numFmtId="0" xfId="0" applyAlignment="1" applyBorder="1" applyFill="1" applyFont="1">
      <alignment horizontal="center" shrinkToFit="0" vertical="center" wrapText="0"/>
    </xf>
    <xf borderId="2" fillId="3" fontId="1" numFmtId="0" xfId="0" applyAlignment="1" applyBorder="1" applyFill="1" applyFont="1">
      <alignment vertical="center"/>
    </xf>
    <xf quotePrefix="1" borderId="0" fillId="2" fontId="42" numFmtId="0" xfId="0" applyAlignment="1" applyFill="1" applyFont="1">
      <alignment horizontal="center" readingOrder="0" shrinkToFit="0" vertical="center" wrapText="0"/>
    </xf>
    <xf borderId="26" fillId="2" fontId="2" numFmtId="0" xfId="0" applyAlignment="1" applyBorder="1" applyFill="1" applyFont="1">
      <alignment horizontal="left" shrinkToFit="0" vertical="center" wrapText="0"/>
    </xf>
    <xf borderId="2" fillId="3" fontId="35" numFmtId="0" xfId="0" applyAlignment="1" applyBorder="1" applyFill="1" applyFont="1">
      <alignment horizontal="center" readingOrder="0" vertical="center"/>
    </xf>
    <xf borderId="73" fillId="5" fontId="15" numFmtId="0" xfId="0" applyAlignment="1" applyBorder="1" applyFill="1" applyFont="1">
      <alignment horizontal="center" readingOrder="0" shrinkToFit="0" vertical="center" wrapText="0"/>
    </xf>
    <xf borderId="2" fillId="3" fontId="1" numFmtId="0" xfId="0" applyBorder="1" applyFill="1" applyFont="1"/>
    <xf borderId="74" fillId="5" fontId="15" numFmtId="0" xfId="0" applyAlignment="1" applyBorder="1" applyFill="1" applyFont="1">
      <alignment horizontal="center" readingOrder="0" shrinkToFit="0" vertical="center" wrapText="0"/>
    </xf>
    <xf borderId="75" fillId="3" fontId="1" numFmtId="0" xfId="0" applyAlignment="1" applyBorder="1" applyFill="1" applyFont="1">
      <alignment horizontal="left" readingOrder="0" vertical="bottom"/>
    </xf>
    <xf borderId="76" fillId="0" fontId="1" numFmtId="0" xfId="0" applyBorder="1" applyFont="1"/>
    <xf borderId="75" fillId="7" fontId="1" numFmtId="0" xfId="0" applyAlignment="1" applyBorder="1" applyFill="1" applyFont="1">
      <alignment horizontal="center" readingOrder="0" vertical="bottom"/>
    </xf>
    <xf borderId="74" fillId="12" fontId="15" numFmtId="0" xfId="0" applyAlignment="1" applyBorder="1" applyFill="1" applyFont="1">
      <alignment horizontal="center" readingOrder="0" shrinkToFit="0" vertical="center" wrapText="0"/>
    </xf>
    <xf borderId="77" fillId="11" fontId="15" numFmtId="0" xfId="0" applyAlignment="1" applyBorder="1" applyFill="1" applyFont="1">
      <alignment horizontal="center" readingOrder="0" shrinkToFit="0" vertical="center" wrapText="0"/>
    </xf>
    <xf borderId="75" fillId="3" fontId="1" numFmtId="0" xfId="0" applyAlignment="1" applyBorder="1" applyFill="1" applyFont="1">
      <alignment horizontal="center" readingOrder="0" vertical="bottom"/>
    </xf>
    <xf borderId="0" fillId="2" fontId="11" numFmtId="0" xfId="0" applyAlignment="1" applyFill="1" applyFont="1">
      <alignment horizontal="center" readingOrder="0" shrinkToFit="0" vertical="bottom" wrapText="0"/>
    </xf>
    <xf borderId="0" fillId="0" fontId="26" numFmtId="0" xfId="0" applyAlignment="1" applyFont="1">
      <alignment vertical="center"/>
    </xf>
    <xf borderId="24" fillId="3" fontId="9" numFmtId="0" xfId="0" applyAlignment="1" applyBorder="1" applyFill="1" applyFont="1">
      <alignment horizontal="center" readingOrder="0" shrinkToFit="0" vertical="center" wrapText="0"/>
    </xf>
    <xf borderId="0" fillId="0" fontId="43" numFmtId="0" xfId="0" applyAlignment="1" applyFont="1">
      <alignment horizontal="left" readingOrder="0" shrinkToFit="0" vertical="center" wrapText="0"/>
    </xf>
    <xf borderId="1" fillId="13" fontId="44" numFmtId="0" xfId="0" applyAlignment="1" applyBorder="1" applyFill="1" applyFont="1">
      <alignment horizontal="center" shrinkToFit="0" vertical="center" wrapText="0"/>
    </xf>
    <xf borderId="78" fillId="3" fontId="1" numFmtId="0" xfId="0" applyAlignment="1" applyBorder="1" applyFill="1" applyFont="1">
      <alignment horizontal="center" readingOrder="0" vertical="bottom"/>
    </xf>
    <xf borderId="0" fillId="0" fontId="26" numFmtId="0" xfId="0" applyAlignment="1" applyFont="1">
      <alignment vertical="center"/>
    </xf>
    <xf borderId="79" fillId="0" fontId="1" numFmtId="0" xfId="0" applyBorder="1" applyFont="1"/>
    <xf borderId="1" fillId="14" fontId="45" numFmtId="0" xfId="0" applyAlignment="1" applyBorder="1" applyFill="1" applyFont="1">
      <alignment horizontal="center" readingOrder="0" shrinkToFit="0" vertical="center" wrapText="0"/>
    </xf>
    <xf borderId="80" fillId="0" fontId="1" numFmtId="0" xfId="0" applyBorder="1" applyFont="1"/>
    <xf borderId="13" fillId="0" fontId="26" numFmtId="0" xfId="0" applyAlignment="1" applyBorder="1" applyFont="1">
      <alignment vertical="center"/>
    </xf>
    <xf borderId="16" fillId="5" fontId="1" numFmtId="0" xfId="0" applyAlignment="1" applyBorder="1" applyFill="1" applyFont="1">
      <alignment horizontal="center" readingOrder="0" vertical="bottom"/>
    </xf>
    <xf borderId="2" fillId="15" fontId="5" numFmtId="0" xfId="0" applyAlignment="1" applyBorder="1" applyFill="1" applyFont="1">
      <alignment horizontal="left" readingOrder="0" shrinkToFit="0" vertical="center" wrapText="1"/>
    </xf>
    <xf borderId="81" fillId="0" fontId="1" numFmtId="0" xfId="0" applyBorder="1" applyFont="1"/>
    <xf borderId="0" fillId="0" fontId="1" numFmtId="0" xfId="0" applyAlignment="1" applyFont="1">
      <alignment vertical="center"/>
    </xf>
    <xf borderId="2" fillId="5" fontId="1" numFmtId="3" xfId="0" applyAlignment="1" applyBorder="1" applyFill="1" applyFont="1" applyNumberFormat="1">
      <alignment horizontal="center" readingOrder="0" vertical="bottom"/>
    </xf>
    <xf borderId="0" fillId="0" fontId="1" numFmtId="0" xfId="0" applyAlignment="1" applyFont="1">
      <alignment horizontal="center" vertical="center"/>
    </xf>
    <xf borderId="82" fillId="3" fontId="2" numFmtId="0" xfId="0" applyAlignment="1" applyBorder="1" applyFill="1" applyFont="1">
      <alignment horizontal="center" shrinkToFit="0" vertical="center" wrapText="0"/>
    </xf>
    <xf borderId="0" fillId="16" fontId="26" numFmtId="0" xfId="0" applyAlignment="1" applyFill="1" applyFont="1">
      <alignment vertical="center"/>
    </xf>
    <xf borderId="0" fillId="16" fontId="46" numFmtId="0" xfId="0" applyAlignment="1" applyFill="1" applyFont="1">
      <alignment horizontal="center" shrinkToFit="0" vertical="center" wrapText="0"/>
    </xf>
    <xf borderId="5" fillId="5" fontId="1" numFmtId="0" xfId="0" applyAlignment="1" applyBorder="1" applyFill="1" applyFont="1">
      <alignment horizontal="center" readingOrder="0" vertical="bottom"/>
    </xf>
    <xf borderId="32" fillId="2" fontId="1" numFmtId="0" xfId="0" applyAlignment="1" applyBorder="1" applyFill="1" applyFont="1">
      <alignment horizontal="left" vertical="bottom"/>
    </xf>
    <xf borderId="0" fillId="2" fontId="17" numFmtId="0" xfId="0" applyAlignment="1" applyFill="1" applyFont="1">
      <alignment horizontal="left" readingOrder="0" shrinkToFit="0" vertical="center" wrapText="0"/>
    </xf>
    <xf borderId="0" fillId="0" fontId="26" numFmtId="0" xfId="0" applyAlignment="1" applyFont="1">
      <alignment horizontal="center" vertical="center"/>
    </xf>
    <xf borderId="0" fillId="2" fontId="9" numFmtId="0" xfId="0" applyAlignment="1" applyFill="1" applyFont="1">
      <alignment shrinkToFit="0" wrapText="0"/>
    </xf>
    <xf borderId="0" fillId="0" fontId="26" numFmtId="0" xfId="0" applyAlignment="1" applyFont="1">
      <alignment horizontal="center" shrinkToFit="0" vertical="center" wrapText="0"/>
    </xf>
    <xf borderId="10" fillId="2" fontId="47" numFmtId="0" xfId="0" applyAlignment="1" applyBorder="1" applyFill="1" applyFont="1">
      <alignment horizontal="center" readingOrder="0" shrinkToFit="0" vertical="center" wrapText="0"/>
    </xf>
    <xf borderId="0" fillId="2" fontId="2" numFmtId="0" xfId="0" applyAlignment="1" applyFill="1" applyFont="1">
      <alignment shrinkToFit="0" wrapText="0"/>
    </xf>
    <xf borderId="0" fillId="0" fontId="26" numFmtId="0" xfId="0" applyAlignment="1" applyFont="1">
      <alignment horizontal="center" vertical="center"/>
    </xf>
    <xf borderId="83" fillId="0" fontId="1" numFmtId="0" xfId="0" applyBorder="1" applyFont="1"/>
    <xf borderId="0" fillId="2" fontId="8" numFmtId="0" xfId="0" applyAlignment="1" applyFill="1" applyFont="1">
      <alignment horizontal="right" shrinkToFit="0" vertical="center" wrapText="0"/>
    </xf>
    <xf borderId="0" fillId="0" fontId="26" numFmtId="0" xfId="0" applyAlignment="1" applyFont="1">
      <alignment horizontal="center" shrinkToFit="0" vertical="center" wrapText="0"/>
    </xf>
    <xf borderId="1" fillId="17" fontId="1" numFmtId="0" xfId="0" applyAlignment="1" applyBorder="1" applyFill="1" applyFont="1">
      <alignment horizontal="left" readingOrder="0" shrinkToFit="0" vertical="center" wrapText="1"/>
    </xf>
    <xf borderId="61" fillId="12" fontId="17" numFmtId="0" xfId="0" applyAlignment="1" applyBorder="1" applyFill="1" applyFont="1">
      <alignment horizontal="center" shrinkToFit="0" vertical="center" wrapText="0"/>
    </xf>
    <xf borderId="2" fillId="6" fontId="1" numFmtId="0" xfId="0" applyAlignment="1" applyBorder="1" applyFill="1" applyFont="1">
      <alignment horizontal="left" vertical="bottom"/>
    </xf>
    <xf borderId="0" fillId="0" fontId="26" numFmtId="0" xfId="0" applyAlignment="1" applyFont="1">
      <alignment horizontal="left" vertical="center"/>
    </xf>
    <xf borderId="0" fillId="2" fontId="2" numFmtId="0" xfId="0" applyAlignment="1" applyFill="1" applyFont="1">
      <alignment horizontal="center" readingOrder="0" shrinkToFit="0" vertical="center" wrapText="0"/>
    </xf>
    <xf borderId="0" fillId="7" fontId="37" numFmtId="0" xfId="0" applyAlignment="1" applyFill="1" applyFont="1">
      <alignment horizontal="center" vertical="center"/>
    </xf>
    <xf borderId="0" fillId="18" fontId="37" numFmtId="0" xfId="0" applyAlignment="1" applyFill="1" applyFont="1">
      <alignment horizontal="center" vertical="center"/>
    </xf>
    <xf borderId="73" fillId="5" fontId="48" numFmtId="0" xfId="0" applyAlignment="1" applyBorder="1" applyFill="1" applyFont="1">
      <alignment horizontal="center" readingOrder="0" shrinkToFit="0" vertical="center" wrapText="0"/>
    </xf>
    <xf borderId="2" fillId="3" fontId="1" numFmtId="0" xfId="0" applyAlignment="1" applyBorder="1" applyFill="1" applyFont="1">
      <alignment horizontal="center" readingOrder="0" vertical="bottom"/>
    </xf>
    <xf quotePrefix="1" borderId="32" fillId="2" fontId="1" numFmtId="0" xfId="0" applyAlignment="1" applyBorder="1" applyFill="1" applyFont="1">
      <alignment horizontal="center" readingOrder="0" vertical="bottom"/>
    </xf>
    <xf borderId="13" fillId="0" fontId="1" numFmtId="0" xfId="0" applyBorder="1" applyFont="1"/>
    <xf borderId="74" fillId="12" fontId="15" numFmtId="0" xfId="0" applyAlignment="1" applyBorder="1" applyFill="1" applyFont="1">
      <alignment horizontal="center" shrinkToFit="0" vertical="center" wrapText="0"/>
    </xf>
    <xf borderId="16" fillId="3" fontId="1" numFmtId="0" xfId="0" applyAlignment="1" applyBorder="1" applyFill="1" applyFont="1">
      <alignment horizontal="center" vertical="bottom"/>
    </xf>
    <xf borderId="84" fillId="2" fontId="2" numFmtId="0" xfId="0" applyAlignment="1" applyBorder="1" applyFill="1" applyFont="1">
      <alignment horizontal="left" shrinkToFit="0" vertical="center" wrapText="0"/>
    </xf>
    <xf borderId="0" fillId="0" fontId="26" numFmtId="0" xfId="0" applyAlignment="1" applyFont="1">
      <alignment horizontal="left" shrinkToFit="0" vertical="center" wrapText="0"/>
    </xf>
    <xf borderId="22" fillId="2" fontId="2" numFmtId="0" xfId="0" applyAlignment="1" applyBorder="1" applyFill="1" applyFont="1">
      <alignment horizontal="left" shrinkToFit="0" vertical="center" wrapText="0"/>
    </xf>
    <xf borderId="32" fillId="2" fontId="1" numFmtId="0" xfId="0" applyAlignment="1" applyBorder="1" applyFill="1" applyFont="1">
      <alignment horizontal="center" readingOrder="0" vertical="bottom"/>
    </xf>
    <xf borderId="74" fillId="12" fontId="15" numFmtId="166" xfId="0" applyAlignment="1" applyBorder="1" applyFill="1" applyFont="1" applyNumberFormat="1">
      <alignment horizontal="center" shrinkToFit="0" vertical="center" wrapText="0"/>
    </xf>
    <xf quotePrefix="1" borderId="2" fillId="3" fontId="1" numFmtId="0" xfId="0" applyAlignment="1" applyBorder="1" applyFill="1" applyFont="1">
      <alignment horizontal="center" readingOrder="0" shrinkToFit="0" vertical="bottom" wrapText="0"/>
    </xf>
    <xf borderId="16" fillId="4" fontId="1" numFmtId="0" xfId="0" applyAlignment="1" applyBorder="1" applyFill="1" applyFont="1">
      <alignment horizontal="center" readingOrder="0" vertical="center"/>
    </xf>
    <xf borderId="2" fillId="19" fontId="1" numFmtId="0" xfId="0" applyAlignment="1" applyBorder="1" applyFill="1" applyFont="1">
      <alignment horizontal="center" readingOrder="0" vertical="center"/>
    </xf>
    <xf borderId="2" fillId="4" fontId="1" numFmtId="0" xfId="0" applyAlignment="1" applyBorder="1" applyFill="1" applyFont="1">
      <alignment horizontal="center" readingOrder="0" vertical="center"/>
    </xf>
    <xf borderId="85" fillId="16" fontId="1" numFmtId="0" xfId="0" applyAlignment="1" applyBorder="1" applyFill="1" applyFont="1">
      <alignment horizontal="left" readingOrder="0" vertical="center"/>
    </xf>
    <xf quotePrefix="1" borderId="2" fillId="3" fontId="26" numFmtId="0" xfId="0" applyAlignment="1" applyBorder="1" applyFill="1" applyFont="1">
      <alignment horizontal="center" shrinkToFit="0" wrapText="0"/>
    </xf>
    <xf borderId="16" fillId="4" fontId="1" numFmtId="0" xfId="0" applyAlignment="1" applyBorder="1" applyFill="1" applyFont="1">
      <alignment readingOrder="0" vertical="center"/>
    </xf>
    <xf borderId="2" fillId="3" fontId="26" numFmtId="0" xfId="0" applyAlignment="1" applyBorder="1" applyFill="1" applyFont="1">
      <alignment horizontal="center" shrinkToFit="0" wrapText="0"/>
    </xf>
    <xf borderId="2" fillId="3" fontId="35" numFmtId="0" xfId="0" applyAlignment="1" applyBorder="1" applyFill="1" applyFont="1">
      <alignment horizontal="center"/>
    </xf>
    <xf borderId="86" fillId="16" fontId="1" numFmtId="0" xfId="0" applyAlignment="1" applyBorder="1" applyFill="1" applyFont="1">
      <alignment horizontal="left" readingOrder="0" vertical="center"/>
    </xf>
    <xf borderId="75" fillId="7" fontId="1" numFmtId="0" xfId="0" applyAlignment="1" applyBorder="1" applyFill="1" applyFont="1">
      <alignment horizontal="left" readingOrder="0" shrinkToFit="0" vertical="bottom" wrapText="0"/>
    </xf>
    <xf borderId="77" fillId="12" fontId="15" numFmtId="166" xfId="0" applyAlignment="1" applyBorder="1" applyFill="1" applyFont="1" applyNumberFormat="1">
      <alignment horizontal="center" shrinkToFit="0" vertical="center" wrapText="0"/>
    </xf>
    <xf borderId="86" fillId="16" fontId="26" numFmtId="0" xfId="0" applyAlignment="1" applyBorder="1" applyFill="1" applyFont="1">
      <alignment horizontal="left" vertical="center"/>
    </xf>
    <xf borderId="1" fillId="16" fontId="1" numFmtId="0" xfId="0" applyAlignment="1" applyBorder="1" applyFill="1" applyFont="1">
      <alignment readingOrder="0" vertical="center"/>
    </xf>
    <xf borderId="87" fillId="0" fontId="1" numFmtId="0" xfId="0" applyBorder="1" applyFont="1"/>
    <xf borderId="18" fillId="2" fontId="9" numFmtId="0" xfId="0" applyAlignment="1" applyBorder="1" applyFill="1" applyFont="1">
      <alignment horizontal="left" shrinkToFit="0" vertical="center" wrapText="0"/>
    </xf>
    <xf borderId="85" fillId="16" fontId="1" numFmtId="0" xfId="0" applyAlignment="1" applyBorder="1" applyFill="1" applyFont="1">
      <alignment horizontal="center" readingOrder="0" vertical="center"/>
    </xf>
    <xf borderId="85" fillId="16" fontId="1" numFmtId="0" xfId="0" applyAlignment="1" applyBorder="1" applyFill="1" applyFont="1">
      <alignment readingOrder="0" vertical="center"/>
    </xf>
    <xf borderId="86" fillId="16" fontId="1" numFmtId="0" xfId="0" applyAlignment="1" applyBorder="1" applyFill="1" applyFont="1">
      <alignment horizontal="left" vertical="center"/>
    </xf>
    <xf borderId="12" fillId="16" fontId="1" numFmtId="0" xfId="0" applyAlignment="1" applyBorder="1" applyFill="1" applyFont="1">
      <alignment readingOrder="0" vertical="center"/>
    </xf>
    <xf borderId="86" fillId="16" fontId="1" numFmtId="0" xfId="0" applyAlignment="1" applyBorder="1" applyFill="1" applyFont="1">
      <alignment horizontal="center" readingOrder="0" vertical="center"/>
    </xf>
    <xf borderId="77" fillId="11" fontId="15" numFmtId="0" xfId="0" applyAlignment="1" applyBorder="1" applyFill="1" applyFont="1">
      <alignment readingOrder="0" shrinkToFit="0" vertical="center" wrapText="0"/>
    </xf>
    <xf borderId="86" fillId="16" fontId="26" numFmtId="0" xfId="0" applyAlignment="1" applyBorder="1" applyFill="1" applyFont="1">
      <alignment horizontal="left" vertical="center"/>
    </xf>
    <xf borderId="1" fillId="0" fontId="7" numFmtId="0" xfId="0" applyAlignment="1" applyBorder="1" applyFont="1">
      <alignment horizontal="center" readingOrder="0" shrinkToFit="0" vertical="center" wrapText="0"/>
    </xf>
    <xf borderId="24" fillId="16" fontId="1" numFmtId="0" xfId="0" applyAlignment="1" applyBorder="1" applyFill="1" applyFont="1">
      <alignment readingOrder="0" vertical="center"/>
    </xf>
    <xf borderId="2" fillId="3" fontId="1" numFmtId="4" xfId="0" applyAlignment="1" applyBorder="1" applyFill="1" applyFont="1" applyNumberFormat="1">
      <alignment horizontal="right" vertical="bottom"/>
    </xf>
    <xf borderId="82" fillId="16" fontId="1" numFmtId="0" xfId="0" applyAlignment="1" applyBorder="1" applyFill="1" applyFont="1">
      <alignment horizontal="center" readingOrder="0" vertical="center"/>
    </xf>
    <xf borderId="5" fillId="3" fontId="1" numFmtId="0" xfId="0" applyAlignment="1" applyBorder="1" applyFill="1" applyFont="1">
      <alignment horizontal="center" readingOrder="0" vertical="bottom"/>
    </xf>
    <xf borderId="0" fillId="2" fontId="17" numFmtId="0" xfId="0" applyAlignment="1" applyFill="1" applyFont="1">
      <alignment horizontal="left" readingOrder="0" shrinkToFit="0" vertical="center" wrapText="0"/>
    </xf>
    <xf borderId="86" fillId="16" fontId="1" numFmtId="0" xfId="0" applyAlignment="1" applyBorder="1" applyFill="1" applyFont="1">
      <alignment horizontal="center" readingOrder="0" shrinkToFit="0" vertical="center" wrapText="0"/>
    </xf>
    <xf borderId="88" fillId="0" fontId="1" numFmtId="0" xfId="0" applyBorder="1" applyFont="1"/>
    <xf borderId="16" fillId="5" fontId="1" numFmtId="0" xfId="0" applyAlignment="1" applyBorder="1" applyFill="1" applyFont="1">
      <alignment horizontal="center" vertical="bottom"/>
    </xf>
    <xf borderId="86" fillId="16" fontId="26" numFmtId="0" xfId="0" applyAlignment="1" applyBorder="1" applyFill="1" applyFont="1">
      <alignment horizontal="left" readingOrder="0" vertical="center"/>
    </xf>
    <xf borderId="0" fillId="0" fontId="1" numFmtId="0" xfId="0" applyAlignment="1" applyFont="1">
      <alignment horizontal="center" readingOrder="0" shrinkToFit="0" vertical="center" wrapText="0"/>
    </xf>
    <xf borderId="86" fillId="16" fontId="1" numFmtId="0" xfId="0" applyAlignment="1" applyBorder="1" applyFill="1" applyFont="1">
      <alignment horizontal="left" readingOrder="0"/>
    </xf>
    <xf borderId="0" fillId="0" fontId="1" numFmtId="0" xfId="0" applyAlignment="1" applyFont="1">
      <alignment horizontal="center" shrinkToFit="0" vertical="center" wrapText="0"/>
    </xf>
    <xf borderId="0" fillId="0" fontId="26" numFmtId="0" xfId="0" applyAlignment="1" applyFont="1">
      <alignment horizontal="center" readingOrder="0" vertical="center"/>
    </xf>
    <xf borderId="0" fillId="0" fontId="26" numFmtId="0" xfId="0" applyAlignment="1" applyFont="1">
      <alignment horizontal="left" readingOrder="0" shrinkToFit="0" vertical="center" wrapText="0"/>
    </xf>
    <xf borderId="0" fillId="0" fontId="26" numFmtId="0" xfId="0" applyAlignment="1" applyFont="1">
      <alignment horizontal="center" readingOrder="0" shrinkToFit="0" vertical="center" wrapText="0"/>
    </xf>
    <xf borderId="0" fillId="18" fontId="37" numFmtId="0" xfId="0" applyAlignment="1" applyFill="1" applyFont="1">
      <alignment horizontal="center" readingOrder="0" vertical="center"/>
    </xf>
    <xf borderId="0" fillId="7" fontId="37" numFmtId="0" xfId="0" applyAlignment="1" applyFill="1" applyFont="1">
      <alignment horizontal="center" readingOrder="0" vertical="center"/>
    </xf>
    <xf borderId="89" fillId="16" fontId="1" numFmtId="0" xfId="0" applyAlignment="1" applyBorder="1" applyFill="1" applyFont="1">
      <alignment horizontal="left" readingOrder="0" vertical="center"/>
    </xf>
    <xf borderId="0" fillId="0" fontId="26" numFmtId="0" xfId="0" applyAlignment="1" applyFont="1">
      <alignment horizontal="left" readingOrder="0" vertical="center"/>
    </xf>
    <xf borderId="82" fillId="16" fontId="1" numFmtId="0" xfId="0" applyAlignment="1" applyBorder="1" applyFill="1" applyFont="1">
      <alignment horizontal="left" readingOrder="0" vertical="center"/>
    </xf>
    <xf borderId="0" fillId="0" fontId="26" numFmtId="0" xfId="0" applyAlignment="1" applyFont="1">
      <alignment horizontal="left" shrinkToFit="0" vertical="center" wrapText="0"/>
    </xf>
    <xf borderId="78" fillId="7" fontId="1" numFmtId="0" xfId="0" applyAlignment="1" applyBorder="1" applyFill="1" applyFont="1">
      <alignment horizontal="left" readingOrder="0" vertical="bottom"/>
    </xf>
    <xf borderId="78" fillId="7" fontId="1" numFmtId="0" xfId="0" applyAlignment="1" applyBorder="1" applyFill="1" applyFont="1">
      <alignment horizontal="center" readingOrder="0" vertical="bottom"/>
    </xf>
    <xf borderId="0" fillId="0" fontId="26" numFmtId="0" xfId="0" applyAlignment="1" applyFont="1">
      <alignment horizontal="left" vertical="center"/>
    </xf>
    <xf borderId="36" fillId="0" fontId="1" numFmtId="0" xfId="0" applyBorder="1" applyFont="1"/>
    <xf borderId="0" fillId="10" fontId="1" numFmtId="0" xfId="0" applyAlignment="1" applyFill="1" applyFont="1">
      <alignment horizontal="center" shrinkToFit="0" vertical="center" wrapText="0"/>
    </xf>
    <xf borderId="86" fillId="16" fontId="1" numFmtId="0" xfId="0" applyAlignment="1" applyBorder="1" applyFill="1" applyFont="1">
      <alignment horizontal="left" shrinkToFit="0" vertical="center" wrapText="0"/>
    </xf>
    <xf borderId="20" fillId="2" fontId="18" numFmtId="0" xfId="0" applyAlignment="1" applyBorder="1" applyFill="1" applyFont="1">
      <alignment horizontal="left" readingOrder="0" vertical="bottom"/>
    </xf>
    <xf borderId="0" fillId="0" fontId="43" numFmtId="0" xfId="0" applyAlignment="1" applyFont="1">
      <alignment vertical="center"/>
    </xf>
    <xf borderId="20" fillId="2" fontId="18" numFmtId="0" xfId="0" applyAlignment="1" applyBorder="1" applyFill="1" applyFont="1">
      <alignment horizontal="left" readingOrder="0" vertical="center"/>
    </xf>
    <xf borderId="22" fillId="2" fontId="1" numFmtId="0" xfId="0" applyAlignment="1" applyBorder="1" applyFill="1" applyFont="1">
      <alignment horizontal="center" vertical="center"/>
    </xf>
    <xf borderId="90" fillId="2" fontId="18" numFmtId="0" xfId="0" applyAlignment="1" applyBorder="1" applyFill="1" applyFont="1">
      <alignment horizontal="left" readingOrder="0" vertical="center"/>
    </xf>
    <xf borderId="0" fillId="0" fontId="26" numFmtId="4" xfId="0" applyAlignment="1" applyFont="1" applyNumberFormat="1">
      <alignment horizontal="center" vertical="center"/>
    </xf>
    <xf borderId="22" fillId="2" fontId="18" numFmtId="0" xfId="0" applyAlignment="1" applyBorder="1" applyFill="1" applyFont="1">
      <alignment horizontal="left" readingOrder="0" vertical="bottom"/>
    </xf>
    <xf borderId="91" fillId="2" fontId="1" numFmtId="0" xfId="0" applyAlignment="1" applyBorder="1" applyFill="1" applyFont="1">
      <alignment horizontal="center" vertical="bottom"/>
    </xf>
    <xf borderId="2" fillId="9" fontId="49" numFmtId="0" xfId="0" applyAlignment="1" applyBorder="1" applyFill="1" applyFont="1">
      <alignment horizontal="center" readingOrder="0" vertical="bottom"/>
    </xf>
    <xf borderId="32" fillId="2" fontId="50" numFmtId="0" xfId="0" applyAlignment="1" applyBorder="1" applyFill="1" applyFont="1">
      <alignment horizontal="center" readingOrder="0" vertical="bottom"/>
    </xf>
    <xf borderId="2" fillId="9" fontId="50" numFmtId="0" xfId="0" applyAlignment="1" applyBorder="1" applyFill="1" applyFont="1">
      <alignment horizontal="center" readingOrder="0" vertical="bottom"/>
    </xf>
    <xf borderId="0" fillId="16" fontId="46" numFmtId="0" xfId="0" applyAlignment="1" applyFill="1" applyFont="1">
      <alignment horizontal="center" vertical="center"/>
    </xf>
    <xf borderId="0" fillId="0" fontId="51" numFmtId="0" xfId="0" applyAlignment="1" applyFont="1">
      <alignment vertical="center"/>
    </xf>
    <xf borderId="2" fillId="9" fontId="52" numFmtId="0" xfId="0" applyAlignment="1" applyBorder="1" applyFill="1" applyFont="1">
      <alignment horizontal="center" readingOrder="0" vertical="bottom"/>
    </xf>
    <xf borderId="0" fillId="18" fontId="37" numFmtId="0" xfId="0" applyAlignment="1" applyFill="1" applyFont="1">
      <alignment horizontal="center" vertical="center"/>
    </xf>
    <xf borderId="17" fillId="2" fontId="1" numFmtId="0" xfId="0" applyBorder="1" applyFill="1" applyFont="1"/>
    <xf borderId="0" fillId="7" fontId="37" numFmtId="0" xfId="0" applyAlignment="1" applyFill="1" applyFont="1">
      <alignment horizontal="center" vertical="center"/>
    </xf>
    <xf borderId="16" fillId="9" fontId="1" numFmtId="0" xfId="0" applyAlignment="1" applyBorder="1" applyFill="1" applyFont="1">
      <alignment horizontal="center" vertical="bottom"/>
    </xf>
    <xf borderId="1" fillId="4" fontId="33" numFmtId="0" xfId="0" applyAlignment="1" applyBorder="1" applyFill="1" applyFont="1">
      <alignment horizontal="center" readingOrder="0" vertical="bottom"/>
    </xf>
    <xf borderId="1" fillId="4" fontId="18" numFmtId="0" xfId="0" applyAlignment="1" applyBorder="1" applyFill="1" applyFont="1">
      <alignment horizontal="center" readingOrder="0" vertical="bottom"/>
    </xf>
    <xf borderId="26" fillId="2" fontId="1" numFmtId="0" xfId="0" applyAlignment="1" applyBorder="1" applyFill="1" applyFont="1">
      <alignment readingOrder="0"/>
    </xf>
    <xf borderId="0" fillId="2" fontId="2" numFmtId="0" xfId="0" applyAlignment="1" applyFill="1" applyFont="1">
      <alignment horizontal="right" readingOrder="0" shrinkToFit="0" vertical="bottom" wrapText="0"/>
    </xf>
    <xf borderId="1" fillId="4" fontId="18" numFmtId="0" xfId="0" applyAlignment="1" applyBorder="1" applyFill="1" applyFont="1">
      <alignment horizontal="center" readingOrder="0"/>
    </xf>
    <xf borderId="20" fillId="2" fontId="8" numFmtId="0" xfId="0" applyAlignment="1" applyBorder="1" applyFill="1" applyFont="1">
      <alignment horizontal="center" readingOrder="0" shrinkToFit="0" vertical="bottom" wrapText="0"/>
    </xf>
    <xf borderId="22" fillId="2" fontId="53" numFmtId="0" xfId="0" applyAlignment="1" applyBorder="1" applyFill="1" applyFont="1">
      <alignment horizontal="center" readingOrder="0" shrinkToFit="0" vertical="center" wrapText="0"/>
    </xf>
    <xf borderId="2" fillId="4" fontId="18" numFmtId="0" xfId="0" applyAlignment="1" applyBorder="1" applyFill="1" applyFont="1">
      <alignment horizontal="center" readingOrder="0" vertical="bottom"/>
    </xf>
    <xf borderId="0" fillId="2" fontId="9" numFmtId="0" xfId="0" applyAlignment="1" applyFill="1" applyFont="1">
      <alignment horizontal="center" shrinkToFit="0" vertical="center" wrapText="0"/>
    </xf>
    <xf borderId="92" fillId="2" fontId="8" numFmtId="0" xfId="0" applyAlignment="1" applyBorder="1" applyFill="1" applyFont="1">
      <alignment horizontal="center" readingOrder="0" shrinkToFit="0" vertical="bottom" wrapText="0"/>
    </xf>
    <xf borderId="0" fillId="0" fontId="43" numFmtId="0" xfId="0" applyAlignment="1" applyFont="1">
      <alignment horizontal="left" vertical="center"/>
    </xf>
    <xf borderId="2" fillId="4" fontId="33" numFmtId="0" xfId="0" applyAlignment="1" applyBorder="1" applyFill="1" applyFont="1">
      <alignment horizontal="center" readingOrder="0" vertical="bottom"/>
    </xf>
    <xf borderId="2" fillId="4" fontId="18" numFmtId="0" xfId="0" applyAlignment="1" applyBorder="1" applyFill="1" applyFont="1">
      <alignment horizontal="center" readingOrder="0" shrinkToFit="0" vertical="bottom" wrapText="0"/>
    </xf>
    <xf borderId="0" fillId="18" fontId="37" numFmtId="0" xfId="0" applyAlignment="1" applyFill="1" applyFont="1">
      <alignment horizontal="center" shrinkToFit="0" vertical="center" wrapText="0"/>
    </xf>
    <xf borderId="2" fillId="4" fontId="1" numFmtId="0" xfId="0" applyAlignment="1" applyBorder="1" applyFill="1" applyFont="1">
      <alignment readingOrder="0"/>
    </xf>
    <xf borderId="16" fillId="4" fontId="18" numFmtId="0" xfId="0" applyAlignment="1" applyBorder="1" applyFill="1" applyFont="1">
      <alignment horizontal="center" readingOrder="0" vertical="bottom"/>
    </xf>
    <xf borderId="0" fillId="7" fontId="37" numFmtId="0" xfId="0" applyAlignment="1" applyFill="1" applyFont="1">
      <alignment horizontal="center" shrinkToFit="0" vertical="center" wrapText="0"/>
    </xf>
    <xf borderId="1" fillId="4" fontId="33" numFmtId="0" xfId="0" applyAlignment="1" applyBorder="1" applyFill="1" applyFont="1">
      <alignment horizontal="center" readingOrder="0" vertical="bottom"/>
    </xf>
    <xf borderId="0" fillId="0" fontId="26" numFmtId="4" xfId="0" applyAlignment="1" applyFont="1" applyNumberFormat="1">
      <alignment horizontal="center" shrinkToFit="0" vertical="center" wrapText="0"/>
    </xf>
    <xf borderId="1" fillId="4" fontId="18" numFmtId="0" xfId="0" applyAlignment="1" applyBorder="1" applyFill="1" applyFont="1">
      <alignment horizontal="center" readingOrder="0" vertical="bottom"/>
    </xf>
    <xf borderId="61" fillId="3" fontId="9" numFmtId="49" xfId="0" applyAlignment="1" applyBorder="1" applyFill="1" applyFont="1" applyNumberFormat="1">
      <alignment horizontal="center" readingOrder="0" shrinkToFit="0" vertical="center" wrapText="0"/>
    </xf>
    <xf borderId="0" fillId="18" fontId="37" numFmtId="0" xfId="0" applyAlignment="1" applyFill="1" applyFont="1">
      <alignment horizontal="center" shrinkToFit="0" vertical="center" wrapText="0"/>
    </xf>
    <xf borderId="0" fillId="7" fontId="37" numFmtId="0" xfId="0" applyAlignment="1" applyFill="1" applyFont="1">
      <alignment horizontal="center" shrinkToFit="0" vertical="center" wrapText="0"/>
    </xf>
    <xf quotePrefix="1" borderId="32" fillId="2" fontId="42" numFmtId="0" xfId="0" applyAlignment="1" applyBorder="1" applyFill="1" applyFont="1">
      <alignment horizontal="center" readingOrder="0" shrinkToFit="0" vertical="center" wrapText="0"/>
    </xf>
    <xf borderId="57" fillId="10" fontId="1" numFmtId="0" xfId="0" applyAlignment="1" applyBorder="1" applyFill="1" applyFont="1">
      <alignment horizontal="center" readingOrder="0" vertical="bottom"/>
    </xf>
    <xf borderId="57" fillId="10" fontId="18" numFmtId="0" xfId="0" applyAlignment="1" applyBorder="1" applyFill="1" applyFont="1">
      <alignment horizontal="center" readingOrder="0" vertical="bottom"/>
    </xf>
    <xf borderId="16" fillId="12" fontId="15" numFmtId="0" xfId="0" applyAlignment="1" applyBorder="1" applyFill="1" applyFont="1">
      <alignment horizontal="center" shrinkToFit="0" vertical="center" wrapText="0"/>
    </xf>
    <xf borderId="58" fillId="10" fontId="1" numFmtId="0" xfId="0" applyAlignment="1" applyBorder="1" applyFill="1" applyFont="1">
      <alignment horizontal="center" readingOrder="0" vertical="bottom"/>
    </xf>
    <xf borderId="16" fillId="7" fontId="2" numFmtId="0" xfId="0" applyAlignment="1" applyBorder="1" applyFill="1" applyFont="1">
      <alignment horizontal="center" readingOrder="0" shrinkToFit="0" vertical="center" wrapText="0"/>
    </xf>
    <xf borderId="0" fillId="0" fontId="26" numFmtId="0" xfId="0" applyAlignment="1" applyFont="1">
      <alignment horizontal="right" shrinkToFit="0" vertical="center" wrapText="0"/>
    </xf>
    <xf borderId="26" fillId="2" fontId="18" numFmtId="0" xfId="0" applyAlignment="1" applyBorder="1" applyFill="1" applyFont="1">
      <alignment readingOrder="0"/>
    </xf>
    <xf borderId="57" fillId="3" fontId="33" numFmtId="0" xfId="0" applyAlignment="1" applyBorder="1" applyFill="1" applyFont="1">
      <alignment horizontal="center" readingOrder="0"/>
    </xf>
    <xf borderId="57" fillId="3" fontId="24" numFmtId="0" xfId="0" applyAlignment="1" applyBorder="1" applyFill="1" applyFont="1">
      <alignment horizontal="center" vertical="bottom"/>
    </xf>
    <xf borderId="64" fillId="10" fontId="18" numFmtId="3" xfId="0" applyAlignment="1" applyBorder="1" applyFill="1" applyFont="1" applyNumberFormat="1">
      <alignment horizontal="center" readingOrder="0" vertical="bottom"/>
    </xf>
    <xf borderId="93" fillId="0" fontId="1" numFmtId="0" xfId="0" applyBorder="1" applyFont="1"/>
    <xf borderId="68" fillId="2" fontId="2" numFmtId="0" xfId="0" applyAlignment="1" applyBorder="1" applyFill="1" applyFont="1">
      <alignment horizontal="right" readingOrder="0" shrinkToFit="0" vertical="bottom" wrapText="0"/>
    </xf>
    <xf borderId="63" fillId="0" fontId="26" numFmtId="0" xfId="0" applyAlignment="1" applyBorder="1" applyFont="1">
      <alignment vertical="top"/>
    </xf>
    <xf borderId="17" fillId="2" fontId="53" numFmtId="0" xfId="0" applyAlignment="1" applyBorder="1" applyFill="1" applyFont="1">
      <alignment horizontal="center" readingOrder="0" shrinkToFit="0" vertical="center" wrapText="0"/>
    </xf>
    <xf borderId="64" fillId="0" fontId="18" numFmtId="0" xfId="0" applyAlignment="1" applyBorder="1" applyFont="1">
      <alignment vertical="bottom"/>
    </xf>
    <xf borderId="0" fillId="0" fontId="26" numFmtId="0" xfId="0" applyAlignment="1" applyFont="1">
      <alignment readingOrder="0" vertical="center"/>
    </xf>
    <xf borderId="93" fillId="10" fontId="18" numFmtId="0" xfId="0" applyAlignment="1" applyBorder="1" applyFill="1" applyFont="1">
      <alignment horizontal="center" vertical="bottom"/>
    </xf>
    <xf borderId="0" fillId="10" fontId="26" numFmtId="0" xfId="0" applyAlignment="1" applyFill="1" applyFont="1">
      <alignment horizontal="left" readingOrder="0" vertical="center"/>
    </xf>
    <xf borderId="64" fillId="10" fontId="18" numFmtId="0" xfId="0" applyAlignment="1" applyBorder="1" applyFill="1" applyFont="1">
      <alignment horizontal="center" vertical="bottom"/>
    </xf>
    <xf borderId="1" fillId="18" fontId="54" numFmtId="0" xfId="0" applyAlignment="1" applyBorder="1" applyFill="1" applyFont="1">
      <alignment horizontal="center" readingOrder="0" shrinkToFit="0" vertical="center" wrapText="0"/>
    </xf>
    <xf borderId="0" fillId="7" fontId="25" numFmtId="0" xfId="0" applyAlignment="1" applyFill="1" applyFont="1">
      <alignment horizontal="center" readingOrder="0" vertical="center"/>
    </xf>
    <xf borderId="1" fillId="20" fontId="55" numFmtId="0" xfId="0" applyAlignment="1" applyBorder="1" applyFill="1" applyFont="1">
      <alignment horizontal="center" readingOrder="0" shrinkToFit="0" vertical="center" wrapText="0"/>
    </xf>
    <xf borderId="84" fillId="2" fontId="1" numFmtId="0" xfId="0" applyBorder="1" applyFill="1" applyFont="1"/>
    <xf borderId="0" fillId="18" fontId="25" numFmtId="0" xfId="0" applyAlignment="1" applyFill="1" applyFont="1">
      <alignment horizontal="center" readingOrder="0" vertical="center"/>
    </xf>
    <xf borderId="85" fillId="20" fontId="56" numFmtId="0" xfId="0" applyAlignment="1" applyBorder="1" applyFill="1" applyFont="1">
      <alignment horizontal="center" readingOrder="0" shrinkToFit="0" textRotation="180" vertical="center" wrapText="0"/>
    </xf>
    <xf borderId="16" fillId="12" fontId="15" numFmtId="49" xfId="0" applyAlignment="1" applyBorder="1" applyFill="1" applyFont="1" applyNumberFormat="1">
      <alignment horizontal="center" shrinkToFit="0" vertical="center" wrapText="0"/>
    </xf>
    <xf borderId="16" fillId="7" fontId="2" numFmtId="0" xfId="0" applyAlignment="1" applyBorder="1" applyFill="1" applyFont="1">
      <alignment horizontal="center" shrinkToFit="0" vertical="center" wrapText="0"/>
    </xf>
    <xf borderId="58" fillId="10" fontId="18" numFmtId="0" xfId="0" applyAlignment="1" applyBorder="1" applyFill="1" applyFont="1">
      <alignment horizontal="center" readingOrder="0" vertical="bottom"/>
    </xf>
    <xf borderId="57" fillId="10" fontId="26" numFmtId="0" xfId="0" applyAlignment="1" applyBorder="1" applyFill="1" applyFont="1">
      <alignment horizontal="left" readingOrder="0" vertical="bottom"/>
    </xf>
    <xf borderId="57" fillId="0" fontId="18" numFmtId="0" xfId="0" applyAlignment="1" applyBorder="1" applyFont="1">
      <alignment horizontal="left" readingOrder="0" vertical="bottom"/>
    </xf>
    <xf borderId="94" fillId="0" fontId="2" numFmtId="0" xfId="0" applyAlignment="1" applyBorder="1" applyFont="1">
      <alignment horizontal="left" shrinkToFit="0" vertical="center" wrapText="0"/>
    </xf>
    <xf borderId="95" fillId="0" fontId="1" numFmtId="0" xfId="0" applyBorder="1" applyFont="1"/>
    <xf borderId="16" fillId="5" fontId="26" numFmtId="0" xfId="0" applyAlignment="1" applyBorder="1" applyFill="1" applyFont="1">
      <alignment horizontal="center" readingOrder="0" shrinkToFit="0" vertical="bottom" wrapText="1"/>
    </xf>
    <xf borderId="96" fillId="0" fontId="1" numFmtId="0" xfId="0" applyBorder="1" applyFont="1"/>
    <xf borderId="97" fillId="2" fontId="2" numFmtId="0" xfId="0" applyAlignment="1" applyBorder="1" applyFill="1" applyFont="1">
      <alignment horizontal="left" shrinkToFit="0" vertical="center" wrapText="0"/>
    </xf>
    <xf borderId="75" fillId="10" fontId="1" numFmtId="0" xfId="0" applyAlignment="1" applyBorder="1" applyFill="1" applyFont="1">
      <alignment horizontal="center" readingOrder="0" vertical="bottom"/>
    </xf>
    <xf borderId="75" fillId="10" fontId="18" numFmtId="0" xfId="0" applyAlignment="1" applyBorder="1" applyFill="1" applyFont="1">
      <alignment horizontal="center" readingOrder="0" vertical="bottom"/>
    </xf>
    <xf borderId="76" fillId="10" fontId="1" numFmtId="0" xfId="0" applyAlignment="1" applyBorder="1" applyFill="1" applyFont="1">
      <alignment horizontal="center" readingOrder="0" vertical="bottom"/>
    </xf>
    <xf borderId="75" fillId="10" fontId="1" numFmtId="0" xfId="0" applyAlignment="1" applyBorder="1" applyFill="1" applyFont="1">
      <alignment horizontal="center" vertical="bottom"/>
    </xf>
    <xf borderId="75" fillId="3" fontId="33" numFmtId="0" xfId="0" applyAlignment="1" applyBorder="1" applyFill="1" applyFont="1">
      <alignment horizontal="center" readingOrder="0"/>
    </xf>
    <xf borderId="0" fillId="0" fontId="57" numFmtId="0" xfId="0" applyAlignment="1" applyFont="1">
      <alignment horizontal="center" readingOrder="0" vertical="center"/>
    </xf>
    <xf borderId="75" fillId="3" fontId="24" numFmtId="0" xfId="0" applyAlignment="1" applyBorder="1" applyFill="1" applyFont="1">
      <alignment horizontal="center" vertical="bottom"/>
    </xf>
    <xf borderId="76" fillId="10" fontId="18" numFmtId="3" xfId="0" applyAlignment="1" applyBorder="1" applyFill="1" applyFont="1" applyNumberFormat="1">
      <alignment horizontal="center" readingOrder="0" vertical="bottom"/>
    </xf>
    <xf borderId="98" fillId="2" fontId="2" numFmtId="0" xfId="0" applyAlignment="1" applyBorder="1" applyFill="1" applyFont="1">
      <alignment horizontal="left" shrinkToFit="0" vertical="center" wrapText="0"/>
    </xf>
    <xf borderId="0" fillId="2" fontId="40" numFmtId="0" xfId="0" applyAlignment="1" applyFill="1" applyFont="1">
      <alignment horizontal="center" shrinkToFit="0" vertical="center" wrapText="0"/>
    </xf>
    <xf borderId="75" fillId="0" fontId="26" numFmtId="0" xfId="0" applyAlignment="1" applyBorder="1" applyFont="1">
      <alignment vertical="top"/>
    </xf>
    <xf borderId="76" fillId="0" fontId="18" numFmtId="0" xfId="0" applyAlignment="1" applyBorder="1" applyFont="1">
      <alignment vertical="bottom"/>
    </xf>
    <xf borderId="98" fillId="2" fontId="2" numFmtId="0" xfId="0" applyAlignment="1" applyBorder="1" applyFill="1" applyFont="1">
      <alignment horizontal="left" readingOrder="0" shrinkToFit="0" vertical="center" wrapText="0"/>
    </xf>
    <xf borderId="87" fillId="10" fontId="18" numFmtId="0" xfId="0" applyAlignment="1" applyBorder="1" applyFill="1" applyFont="1">
      <alignment horizontal="center" vertical="bottom"/>
    </xf>
    <xf borderId="76" fillId="10" fontId="18" numFmtId="0" xfId="0" applyAlignment="1" applyBorder="1" applyFill="1" applyFont="1">
      <alignment horizontal="center" vertical="bottom"/>
    </xf>
    <xf borderId="75" fillId="10" fontId="26" numFmtId="0" xfId="0" applyAlignment="1" applyBorder="1" applyFill="1" applyFont="1">
      <alignment horizontal="left" readingOrder="0" vertical="bottom"/>
    </xf>
    <xf borderId="75" fillId="0" fontId="18" numFmtId="0" xfId="0" applyAlignment="1" applyBorder="1" applyFont="1">
      <alignment horizontal="left" readingOrder="0" vertical="bottom"/>
    </xf>
    <xf borderId="99" fillId="2" fontId="2" numFmtId="0" xfId="0" applyAlignment="1" applyBorder="1" applyFill="1" applyFont="1">
      <alignment horizontal="left" shrinkToFit="0" vertical="center" wrapText="0"/>
    </xf>
    <xf borderId="16" fillId="5" fontId="18" numFmtId="0" xfId="0" applyAlignment="1" applyBorder="1" applyFill="1" applyFont="1">
      <alignment horizontal="center" vertical="bottom"/>
    </xf>
    <xf borderId="77" fillId="11" fontId="15" numFmtId="0" xfId="0" applyAlignment="1" applyBorder="1" applyFill="1" applyFont="1">
      <alignment shrinkToFit="0" vertical="center" wrapText="0"/>
    </xf>
    <xf borderId="82" fillId="0" fontId="1" numFmtId="0" xfId="0" applyBorder="1" applyFont="1"/>
    <xf borderId="32" fillId="2" fontId="1" numFmtId="0" xfId="0" applyBorder="1" applyFill="1" applyFont="1"/>
    <xf borderId="74" fillId="5" fontId="15" numFmtId="0" xfId="0" applyAlignment="1" applyBorder="1" applyFill="1" applyFont="1">
      <alignment horizontal="center" shrinkToFit="0" vertical="center" wrapText="0"/>
    </xf>
    <xf borderId="52" fillId="0" fontId="2" numFmtId="0" xfId="0" applyAlignment="1" applyBorder="1" applyFont="1">
      <alignment horizontal="left" shrinkToFit="0" vertical="center" wrapText="0"/>
    </xf>
    <xf borderId="75" fillId="0" fontId="26" numFmtId="0" xfId="0" applyAlignment="1" applyBorder="1" applyFont="1">
      <alignment readingOrder="0" vertical="top"/>
    </xf>
    <xf borderId="0" fillId="0" fontId="51" numFmtId="0" xfId="0" applyAlignment="1" applyFont="1">
      <alignment readingOrder="0" vertical="center"/>
    </xf>
    <xf borderId="75" fillId="10" fontId="18" numFmtId="0" xfId="0" applyAlignment="1" applyBorder="1" applyFill="1" applyFont="1">
      <alignment horizontal="center" readingOrder="0" vertical="bottom"/>
    </xf>
    <xf borderId="66" fillId="2" fontId="40" numFmtId="0" xfId="0" applyAlignment="1" applyBorder="1" applyFill="1" applyFont="1">
      <alignment horizontal="center" readingOrder="0" shrinkToFit="0" vertical="bottom" wrapText="0"/>
    </xf>
    <xf borderId="0" fillId="10" fontId="58" numFmtId="0" xfId="0" applyAlignment="1" applyFill="1" applyFont="1">
      <alignment readingOrder="0"/>
    </xf>
    <xf borderId="75" fillId="10" fontId="18" numFmtId="0" xfId="0" applyAlignment="1" applyBorder="1" applyFill="1" applyFont="1">
      <alignment horizontal="center" vertical="bottom"/>
    </xf>
    <xf borderId="76" fillId="10" fontId="1" numFmtId="0" xfId="0" applyAlignment="1" applyBorder="1" applyFill="1" applyFont="1">
      <alignment horizontal="center" vertical="bottom"/>
    </xf>
    <xf borderId="0" fillId="0" fontId="1" numFmtId="0" xfId="0" applyAlignment="1" applyFont="1">
      <alignment readingOrder="0"/>
    </xf>
    <xf borderId="87" fillId="10" fontId="26" numFmtId="0" xfId="0" applyAlignment="1" applyBorder="1" applyFill="1" applyFont="1">
      <alignment vertical="bottom"/>
    </xf>
    <xf borderId="0" fillId="2" fontId="13" numFmtId="0" xfId="0" applyAlignment="1" applyFill="1" applyFont="1">
      <alignment horizontal="right" readingOrder="0" shrinkToFit="0" vertical="center" wrapText="0"/>
    </xf>
    <xf borderId="73" fillId="12" fontId="15" numFmtId="165" xfId="0" applyAlignment="1" applyBorder="1" applyFill="1" applyFont="1" applyNumberFormat="1">
      <alignment horizontal="center" shrinkToFit="0" vertical="center" wrapText="0"/>
    </xf>
    <xf borderId="74" fillId="3" fontId="15" numFmtId="0" xfId="0" applyAlignment="1" applyBorder="1" applyFill="1" applyFont="1">
      <alignment horizontal="center" shrinkToFit="0" vertical="center" wrapText="0"/>
    </xf>
    <xf borderId="76" fillId="10" fontId="18" numFmtId="0" xfId="0" applyAlignment="1" applyBorder="1" applyFill="1" applyFont="1">
      <alignment horizontal="center" readingOrder="0" vertical="bottom"/>
    </xf>
    <xf borderId="75" fillId="0" fontId="1" numFmtId="0" xfId="0" applyAlignment="1" applyBorder="1" applyFont="1">
      <alignment readingOrder="0" vertical="top"/>
    </xf>
    <xf borderId="75" fillId="0" fontId="18" numFmtId="0" xfId="0" applyAlignment="1" applyBorder="1" applyFont="1">
      <alignment readingOrder="0"/>
    </xf>
    <xf borderId="77" fillId="12" fontId="15" numFmtId="0" xfId="0" applyAlignment="1" applyBorder="1" applyFill="1" applyFont="1">
      <alignment horizontal="center" shrinkToFit="0" vertical="center" wrapText="0"/>
    </xf>
    <xf borderId="26" fillId="2" fontId="24" numFmtId="0" xfId="0" applyBorder="1" applyFill="1" applyFont="1"/>
    <xf borderId="100" fillId="10" fontId="18" numFmtId="0" xfId="0" applyAlignment="1" applyBorder="1" applyFill="1" applyFont="1">
      <alignment horizontal="center" readingOrder="0" vertical="bottom"/>
    </xf>
    <xf borderId="0" fillId="2" fontId="59" numFmtId="0" xfId="0" applyAlignment="1" applyFill="1" applyFont="1">
      <alignment horizontal="center" readingOrder="0" shrinkToFit="0" vertical="bottom" wrapText="0"/>
    </xf>
    <xf borderId="26" fillId="2" fontId="1" numFmtId="0" xfId="0" applyBorder="1" applyFill="1" applyFont="1"/>
    <xf borderId="61" fillId="3" fontId="9" numFmtId="0" xfId="0" applyAlignment="1" applyBorder="1" applyFill="1" applyFont="1">
      <alignment horizontal="center" shrinkToFit="0" vertical="center" wrapText="0"/>
    </xf>
    <xf borderId="73" fillId="12" fontId="15" numFmtId="0" xfId="0" applyAlignment="1" applyBorder="1" applyFill="1" applyFont="1">
      <alignment horizontal="center" shrinkToFit="0" vertical="center" wrapText="0"/>
    </xf>
    <xf borderId="74" fillId="3" fontId="16" numFmtId="0" xfId="0" applyAlignment="1" applyBorder="1" applyFill="1" applyFont="1">
      <alignment horizontal="center" shrinkToFit="0" vertical="center" wrapText="0"/>
    </xf>
    <xf borderId="0" fillId="0" fontId="60" numFmtId="0" xfId="0" applyAlignment="1" applyFont="1">
      <alignment vertical="center"/>
    </xf>
    <xf borderId="74" fillId="5" fontId="2" numFmtId="0" xfId="0" applyAlignment="1" applyBorder="1" applyFill="1" applyFont="1">
      <alignment horizontal="center" shrinkToFit="0" vertical="center" wrapText="0"/>
    </xf>
    <xf borderId="0" fillId="0" fontId="26" numFmtId="49" xfId="0" applyAlignment="1" applyFont="1" applyNumberFormat="1">
      <alignment horizontal="center" vertical="center"/>
    </xf>
    <xf borderId="0" fillId="2" fontId="41" numFmtId="0" xfId="0" applyAlignment="1" applyFill="1" applyFont="1">
      <alignment horizontal="left" readingOrder="0" shrinkToFit="0" vertical="center" wrapText="0"/>
    </xf>
    <xf borderId="0" fillId="2" fontId="41" numFmtId="0" xfId="0" applyAlignment="1" applyFill="1" applyFont="1">
      <alignment horizontal="center" readingOrder="0" shrinkToFit="0" vertical="center" wrapText="0"/>
    </xf>
    <xf borderId="74" fillId="2" fontId="61" numFmtId="0" xfId="0" applyAlignment="1" applyBorder="1" applyFill="1" applyFont="1">
      <alignment horizontal="center" shrinkToFit="0" vertical="center" wrapText="0"/>
    </xf>
    <xf borderId="0" fillId="0" fontId="62" numFmtId="0" xfId="0" applyAlignment="1" applyFont="1">
      <alignment readingOrder="0" vertical="center"/>
    </xf>
    <xf borderId="17" fillId="2" fontId="24" numFmtId="0" xfId="0" applyBorder="1" applyFill="1" applyFont="1"/>
    <xf borderId="0" fillId="2" fontId="8" numFmtId="0" xfId="0" applyAlignment="1" applyFill="1" applyFont="1">
      <alignment horizontal="right" readingOrder="0" shrinkToFit="0" vertical="center" wrapText="0"/>
    </xf>
    <xf borderId="18" fillId="2" fontId="24" numFmtId="0" xfId="0" applyAlignment="1" applyBorder="1" applyFill="1" applyFont="1">
      <alignment vertical="bottom"/>
    </xf>
    <xf borderId="18" fillId="2" fontId="24" numFmtId="0" xfId="0" applyAlignment="1" applyBorder="1" applyFill="1" applyFont="1">
      <alignment vertical="bottom"/>
    </xf>
    <xf borderId="45" fillId="2" fontId="63" numFmtId="0" xfId="0" applyAlignment="1" applyBorder="1" applyFill="1" applyFont="1">
      <alignment horizontal="center" vertical="bottom"/>
    </xf>
    <xf borderId="97" fillId="0" fontId="1" numFmtId="0" xfId="0" applyBorder="1" applyFont="1"/>
    <xf borderId="18" fillId="2" fontId="11" numFmtId="0" xfId="0" applyAlignment="1" applyBorder="1" applyFill="1" applyFont="1">
      <alignment horizontal="right" vertical="bottom"/>
    </xf>
    <xf borderId="45" fillId="2" fontId="63" numFmtId="0" xfId="0" applyAlignment="1" applyBorder="1" applyFill="1" applyFont="1">
      <alignment horizontal="center" vertical="bottom"/>
    </xf>
    <xf borderId="26" fillId="2" fontId="63" numFmtId="0" xfId="0" applyAlignment="1" applyBorder="1" applyFill="1" applyFont="1">
      <alignment horizontal="center" vertical="bottom"/>
    </xf>
    <xf borderId="32" fillId="0" fontId="1" numFmtId="0" xfId="0" applyBorder="1" applyFont="1"/>
    <xf borderId="84" fillId="0" fontId="1" numFmtId="0" xfId="0" applyBorder="1" applyFont="1"/>
    <xf borderId="45" fillId="2" fontId="13" numFmtId="0" xfId="0" applyAlignment="1" applyBorder="1" applyFill="1" applyFont="1">
      <alignment horizontal="right" shrinkToFit="0" vertical="bottom" wrapText="0"/>
    </xf>
    <xf borderId="47" fillId="0" fontId="24" numFmtId="0" xfId="0" applyAlignment="1" applyBorder="1" applyFont="1">
      <alignment horizontal="center"/>
    </xf>
    <xf borderId="78" fillId="3" fontId="33" numFmtId="0" xfId="0" applyAlignment="1" applyBorder="1" applyFill="1" applyFont="1">
      <alignment horizontal="center" readingOrder="0"/>
    </xf>
    <xf borderId="47" fillId="0" fontId="24" numFmtId="0" xfId="0" applyBorder="1" applyFont="1"/>
    <xf borderId="46" fillId="0" fontId="2" numFmtId="0" xfId="0" applyAlignment="1" applyBorder="1" applyFont="1">
      <alignment horizontal="center"/>
    </xf>
    <xf borderId="32" fillId="2" fontId="24" numFmtId="0" xfId="0" applyBorder="1" applyFill="1" applyFont="1"/>
    <xf borderId="78" fillId="3" fontId="24" numFmtId="0" xfId="0" applyAlignment="1" applyBorder="1" applyFill="1" applyFont="1">
      <alignment horizontal="center" vertical="bottom"/>
    </xf>
    <xf borderId="32" fillId="2" fontId="24" numFmtId="0" xfId="0" applyBorder="1" applyFill="1" applyFont="1"/>
    <xf borderId="47" fillId="0" fontId="24" numFmtId="0" xfId="0" applyBorder="1" applyFont="1"/>
    <xf borderId="79" fillId="10" fontId="18" numFmtId="3" xfId="0" applyAlignment="1" applyBorder="1" applyFill="1" applyFont="1" applyNumberFormat="1">
      <alignment horizontal="center" readingOrder="0" vertical="bottom"/>
    </xf>
    <xf borderId="40" fillId="2" fontId="8" numFmtId="0" xfId="0" applyAlignment="1" applyBorder="1" applyFill="1" applyFont="1">
      <alignment horizontal="center" readingOrder="0" shrinkToFit="0" vertical="bottom" wrapText="0"/>
    </xf>
    <xf borderId="47" fillId="0" fontId="24" numFmtId="0" xfId="0" applyAlignment="1" applyBorder="1" applyFont="1">
      <alignment horizontal="center" readingOrder="0"/>
    </xf>
    <xf borderId="101" fillId="2" fontId="8" numFmtId="0" xfId="0" applyAlignment="1" applyBorder="1" applyFill="1" applyFont="1">
      <alignment horizontal="center" readingOrder="0" shrinkToFit="0" vertical="bottom" wrapText="0"/>
    </xf>
    <xf borderId="47" fillId="0" fontId="24" numFmtId="0" xfId="0" applyAlignment="1" applyBorder="1" applyFont="1">
      <alignment readingOrder="0"/>
    </xf>
    <xf borderId="46" fillId="0" fontId="2" numFmtId="0" xfId="0" applyAlignment="1" applyBorder="1" applyFont="1">
      <alignment horizontal="center" readingOrder="0"/>
    </xf>
    <xf borderId="102" fillId="2" fontId="2" numFmtId="0" xfId="0" applyAlignment="1" applyBorder="1" applyFill="1" applyFont="1">
      <alignment shrinkToFit="0" wrapText="0"/>
    </xf>
    <xf borderId="16" fillId="3" fontId="2" numFmtId="0" xfId="0" applyAlignment="1" applyBorder="1" applyFill="1" applyFont="1">
      <alignment horizontal="center" readingOrder="0" shrinkToFit="0" vertical="center" wrapText="0"/>
    </xf>
    <xf borderId="17" fillId="2" fontId="18" numFmtId="0" xfId="0" applyAlignment="1" applyBorder="1" applyFill="1" applyFont="1">
      <alignment readingOrder="0"/>
    </xf>
    <xf borderId="90" fillId="2" fontId="1" numFmtId="0" xfId="0" applyAlignment="1" applyBorder="1" applyFill="1" applyFont="1">
      <alignment horizontal="center" vertical="bottom"/>
    </xf>
    <xf borderId="92" fillId="2" fontId="1" numFmtId="0" xfId="0" applyAlignment="1" applyBorder="1" applyFill="1" applyFont="1">
      <alignment horizontal="center" vertical="bottom"/>
    </xf>
    <xf borderId="91" fillId="2" fontId="24" numFmtId="0" xfId="0" applyAlignment="1" applyBorder="1" applyFill="1" applyFont="1">
      <alignment vertical="bottom"/>
    </xf>
    <xf borderId="4" fillId="6" fontId="2" numFmtId="0" xfId="0" applyAlignment="1" applyBorder="1" applyFill="1" applyFont="1">
      <alignment vertical="bottom"/>
    </xf>
    <xf borderId="4" fillId="6" fontId="2" numFmtId="0" xfId="0" applyAlignment="1" applyBorder="1" applyFill="1" applyFont="1">
      <alignment horizontal="center" vertical="bottom"/>
    </xf>
    <xf borderId="2" fillId="9" fontId="50" numFmtId="0" xfId="0" applyAlignment="1" applyBorder="1" applyFill="1" applyFont="1">
      <alignment horizontal="center" readingOrder="0" vertical="bottom"/>
    </xf>
    <xf borderId="61" fillId="3" fontId="9" numFmtId="49" xfId="0" applyAlignment="1" applyBorder="1" applyFill="1" applyFont="1" applyNumberFormat="1">
      <alignment horizontal="center" shrinkToFit="0" vertical="center" wrapText="0"/>
    </xf>
    <xf borderId="22" fillId="2" fontId="24" numFmtId="0" xfId="0" applyAlignment="1" applyBorder="1" applyFill="1" applyFont="1">
      <alignment vertical="bottom"/>
    </xf>
    <xf borderId="100" fillId="10" fontId="18" numFmtId="0" xfId="0" applyAlignment="1" applyBorder="1" applyFill="1" applyFont="1">
      <alignment horizontal="center" vertical="bottom"/>
    </xf>
    <xf borderId="0" fillId="2" fontId="2" numFmtId="0" xfId="0" applyAlignment="1" applyFill="1" applyFont="1">
      <alignment horizontal="right" vertical="bottom"/>
    </xf>
    <xf borderId="40" fillId="0" fontId="1" numFmtId="0" xfId="0" applyBorder="1" applyFont="1"/>
    <xf borderId="103" fillId="2" fontId="8" numFmtId="49" xfId="0" applyAlignment="1" applyBorder="1" applyFill="1" applyFont="1" applyNumberFormat="1">
      <alignment horizontal="center" vertical="bottom"/>
    </xf>
    <xf borderId="41" fillId="2" fontId="24" numFmtId="0" xfId="0" applyAlignment="1" applyBorder="1" applyFill="1" applyFont="1">
      <alignment vertical="bottom"/>
    </xf>
    <xf borderId="104" fillId="2" fontId="8" numFmtId="0" xfId="0" applyAlignment="1" applyBorder="1" applyFill="1" applyFont="1">
      <alignment horizontal="center" vertical="bottom"/>
    </xf>
    <xf borderId="41" fillId="0" fontId="1" numFmtId="0" xfId="0" applyBorder="1" applyFont="1"/>
    <xf borderId="105" fillId="3" fontId="9" numFmtId="49" xfId="0" applyAlignment="1" applyBorder="1" applyFill="1" applyFont="1" applyNumberFormat="1">
      <alignment horizontal="center" vertical="bottom"/>
    </xf>
    <xf quotePrefix="1" borderId="106" fillId="2" fontId="2" numFmtId="0" xfId="0" applyAlignment="1" applyBorder="1" applyFill="1" applyFont="1">
      <alignment horizontal="center" vertical="bottom"/>
    </xf>
    <xf borderId="29" fillId="12" fontId="15" numFmtId="0" xfId="0" applyAlignment="1" applyBorder="1" applyFill="1" applyFont="1">
      <alignment horizontal="center" vertical="bottom"/>
    </xf>
    <xf borderId="29" fillId="7" fontId="24" numFmtId="0" xfId="0" applyAlignment="1" applyBorder="1" applyFill="1" applyFont="1">
      <alignment vertical="bottom"/>
    </xf>
    <xf borderId="0" fillId="2" fontId="2" numFmtId="0" xfId="0" applyAlignment="1" applyFill="1" applyFont="1">
      <alignment horizontal="center" readingOrder="0" shrinkToFit="0" vertical="center" wrapText="0"/>
    </xf>
    <xf borderId="64" fillId="10" fontId="18" numFmtId="0" xfId="0" applyAlignment="1" applyBorder="1" applyFill="1" applyFont="1">
      <alignment horizontal="center" readingOrder="0" vertical="bottom"/>
    </xf>
    <xf borderId="0" fillId="2" fontId="2" numFmtId="0" xfId="0" applyAlignment="1" applyFill="1" applyFont="1">
      <alignment horizontal="right" shrinkToFit="0" vertical="bottom" wrapText="1"/>
    </xf>
    <xf borderId="104" fillId="2" fontId="8" numFmtId="49" xfId="0" applyAlignment="1" applyBorder="1" applyFill="1" applyFont="1" applyNumberFormat="1">
      <alignment horizontal="center" vertical="bottom"/>
    </xf>
    <xf quotePrefix="1" borderId="106" fillId="2" fontId="2" numFmtId="0" xfId="0" applyAlignment="1" applyBorder="1" applyFill="1" applyFont="1">
      <alignment horizontal="center" vertical="bottom"/>
    </xf>
    <xf borderId="29" fillId="12" fontId="15" numFmtId="49" xfId="0" applyAlignment="1" applyBorder="1" applyFill="1" applyFont="1" applyNumberFormat="1">
      <alignment horizontal="center" vertical="bottom"/>
    </xf>
    <xf borderId="29" fillId="7" fontId="24" numFmtId="0" xfId="0" applyAlignment="1" applyBorder="1" applyFill="1" applyFont="1">
      <alignment vertical="bottom"/>
    </xf>
    <xf borderId="1" fillId="0" fontId="7" numFmtId="0" xfId="0" applyAlignment="1" applyBorder="1" applyFont="1">
      <alignment horizontal="left" readingOrder="0" shrinkToFit="0" vertical="center" wrapText="0"/>
    </xf>
    <xf borderId="0" fillId="2" fontId="2" numFmtId="0" xfId="0" applyAlignment="1" applyFill="1" applyFont="1">
      <alignment horizontal="right" shrinkToFit="0" vertical="bottom" wrapText="1"/>
    </xf>
    <xf borderId="103" fillId="2" fontId="8" numFmtId="0" xfId="0" applyAlignment="1" applyBorder="1" applyFill="1" applyFont="1">
      <alignment horizontal="center" vertical="bottom"/>
    </xf>
    <xf borderId="41" fillId="2" fontId="24" numFmtId="0" xfId="0" applyAlignment="1" applyBorder="1" applyFill="1" applyFont="1">
      <alignment vertical="bottom"/>
    </xf>
    <xf borderId="104" fillId="2" fontId="8" numFmtId="0" xfId="0" applyAlignment="1" applyBorder="1" applyFill="1" applyFont="1">
      <alignment horizontal="center" vertical="bottom"/>
    </xf>
    <xf borderId="76" fillId="10" fontId="26" numFmtId="0" xfId="0" applyAlignment="1" applyBorder="1" applyFill="1" applyFont="1">
      <alignment horizontal="left" readingOrder="0" vertical="bottom"/>
    </xf>
    <xf borderId="75" fillId="0" fontId="18" numFmtId="0" xfId="0" applyAlignment="1" applyBorder="1" applyFont="1">
      <alignment horizontal="left" vertical="bottom"/>
    </xf>
    <xf borderId="78" fillId="10" fontId="1" numFmtId="0" xfId="0" applyAlignment="1" applyBorder="1" applyFill="1" applyFont="1">
      <alignment horizontal="center" readingOrder="0" vertical="bottom"/>
    </xf>
    <xf borderId="78" fillId="0" fontId="1" numFmtId="0" xfId="0" applyAlignment="1" applyBorder="1" applyFont="1">
      <alignment readingOrder="0" vertical="top"/>
    </xf>
    <xf borderId="0" fillId="2" fontId="2" numFmtId="0" xfId="0" applyAlignment="1" applyFill="1" applyFont="1">
      <alignment shrinkToFit="0" vertical="bottom" wrapText="0"/>
    </xf>
    <xf borderId="41" fillId="2" fontId="24" numFmtId="0" xfId="0" applyAlignment="1" applyBorder="1" applyFill="1" applyFont="1">
      <alignment vertical="bottom"/>
    </xf>
    <xf borderId="78" fillId="0" fontId="18" numFmtId="0" xfId="0" applyAlignment="1" applyBorder="1" applyFont="1">
      <alignment readingOrder="0"/>
    </xf>
    <xf borderId="104" fillId="2" fontId="8" numFmtId="0" xfId="0" applyAlignment="1" applyBorder="1" applyFill="1" applyFont="1">
      <alignment horizontal="center" readingOrder="0" vertical="bottom"/>
    </xf>
    <xf borderId="107" fillId="10" fontId="18" numFmtId="0" xfId="0" applyAlignment="1" applyBorder="1" applyFill="1" applyFont="1">
      <alignment horizontal="center" readingOrder="0" vertical="bottom"/>
    </xf>
    <xf borderId="26" fillId="2" fontId="13" numFmtId="0" xfId="0" applyAlignment="1" applyBorder="1" applyFill="1" applyFont="1">
      <alignment horizontal="right" shrinkToFit="0" vertical="bottom" wrapText="0"/>
    </xf>
    <xf borderId="78" fillId="10" fontId="18" numFmtId="0" xfId="0" applyAlignment="1" applyBorder="1" applyFill="1" applyFont="1">
      <alignment horizontal="center" readingOrder="0" vertical="bottom"/>
    </xf>
    <xf borderId="49" fillId="0" fontId="24" numFmtId="0" xfId="0" applyAlignment="1" applyBorder="1" applyFont="1">
      <alignment horizontal="center"/>
    </xf>
    <xf borderId="46" fillId="0" fontId="2" numFmtId="0" xfId="0" applyAlignment="1" applyBorder="1" applyFont="1">
      <alignment horizontal="center"/>
    </xf>
    <xf borderId="41" fillId="2" fontId="2" numFmtId="0" xfId="0" applyAlignment="1" applyBorder="1" applyFill="1" applyFont="1">
      <alignment horizontal="right" shrinkToFit="0" vertical="bottom" wrapText="1"/>
    </xf>
    <xf borderId="20" fillId="2" fontId="1" numFmtId="0" xfId="0" applyBorder="1" applyFill="1" applyFont="1"/>
    <xf borderId="29" fillId="12" fontId="24" numFmtId="49" xfId="0" applyAlignment="1" applyBorder="1" applyFill="1" applyFont="1" applyNumberFormat="1">
      <alignment vertical="bottom"/>
    </xf>
    <xf borderId="29" fillId="7" fontId="24" numFmtId="0" xfId="0" applyAlignment="1" applyBorder="1" applyFill="1" applyFont="1">
      <alignment readingOrder="0" vertical="bottom"/>
    </xf>
    <xf borderId="41" fillId="2" fontId="2" numFmtId="0" xfId="0" applyAlignment="1" applyBorder="1" applyFill="1" applyFont="1">
      <alignment horizontal="left" shrinkToFit="0" vertical="center" wrapText="0"/>
    </xf>
    <xf borderId="26" fillId="2" fontId="50" numFmtId="0" xfId="0" applyAlignment="1" applyBorder="1" applyFill="1" applyFont="1">
      <alignment horizontal="center" readingOrder="0" vertical="bottom"/>
    </xf>
    <xf borderId="75" fillId="10" fontId="18" numFmtId="3" xfId="0" applyAlignment="1" applyBorder="1" applyFill="1" applyFont="1" applyNumberFormat="1">
      <alignment horizontal="center" readingOrder="0" vertical="bottom"/>
    </xf>
    <xf borderId="47" fillId="0" fontId="2" numFmtId="0" xfId="0" applyAlignment="1" applyBorder="1" applyFont="1">
      <alignment horizontal="center" readingOrder="0" shrinkToFit="0" vertical="center" wrapText="0"/>
    </xf>
    <xf borderId="66" fillId="2" fontId="40" numFmtId="0" xfId="0" applyAlignment="1" applyBorder="1" applyFill="1" applyFont="1">
      <alignment readingOrder="0" shrinkToFit="0" vertical="bottom" wrapText="0"/>
    </xf>
    <xf borderId="108" fillId="9" fontId="19" numFmtId="0" xfId="0" applyAlignment="1" applyBorder="1" applyFill="1" applyFont="1">
      <alignment horizontal="center" readingOrder="0" shrinkToFit="0" vertical="center" wrapText="0"/>
    </xf>
    <xf borderId="109" fillId="0" fontId="1" numFmtId="0" xfId="0" applyBorder="1" applyFont="1"/>
    <xf borderId="66" fillId="2" fontId="40" numFmtId="0" xfId="0" applyAlignment="1" applyBorder="1" applyFill="1" applyFont="1">
      <alignment horizontal="left" readingOrder="0" shrinkToFit="0" vertical="bottom" wrapText="0"/>
    </xf>
    <xf borderId="46" fillId="0" fontId="64" numFmtId="0" xfId="0" applyAlignment="1" applyBorder="1" applyFont="1">
      <alignment horizontal="center" shrinkToFit="0" vertical="center" wrapText="0"/>
    </xf>
    <xf borderId="66" fillId="2" fontId="40" numFmtId="0" xfId="0" applyAlignment="1" applyBorder="1" applyFill="1" applyFont="1">
      <alignment horizontal="center" shrinkToFit="0" vertical="bottom" wrapText="0"/>
    </xf>
    <xf borderId="0" fillId="0" fontId="1" numFmtId="0" xfId="0" applyAlignment="1" applyFont="1">
      <alignment horizontal="center" readingOrder="0" shrinkToFit="0" vertical="center" wrapText="1"/>
    </xf>
    <xf borderId="0" fillId="0" fontId="1" numFmtId="0" xfId="0" applyAlignment="1" applyFont="1">
      <alignment horizontal="center" readingOrder="0" shrinkToFit="0" vertical="center" wrapText="0"/>
    </xf>
    <xf borderId="1" fillId="4" fontId="18" numFmtId="0" xfId="0" applyAlignment="1" applyBorder="1" applyFill="1" applyFont="1">
      <alignment horizontal="center" readingOrder="0" shrinkToFit="0" vertical="bottom" wrapText="0"/>
    </xf>
    <xf borderId="0" fillId="0" fontId="1" numFmtId="0" xfId="0" applyAlignment="1" applyFont="1">
      <alignment horizontal="left" readingOrder="0" shrinkToFit="0" vertical="center" wrapText="0"/>
    </xf>
    <xf borderId="110" fillId="0" fontId="2" numFmtId="0" xfId="0" applyAlignment="1" applyBorder="1" applyFont="1">
      <alignment horizontal="left" shrinkToFit="0" vertical="center" wrapText="0"/>
    </xf>
    <xf borderId="1" fillId="4" fontId="1" numFmtId="0" xfId="0" applyAlignment="1" applyBorder="1" applyFill="1" applyFont="1">
      <alignment readingOrder="0"/>
    </xf>
    <xf borderId="111" fillId="0" fontId="1" numFmtId="0" xfId="0" applyBorder="1" applyFont="1"/>
    <xf borderId="85" fillId="4" fontId="18" numFmtId="0" xfId="0" applyAlignment="1" applyBorder="1" applyFill="1" applyFont="1">
      <alignment horizontal="center" readingOrder="0" vertical="bottom"/>
    </xf>
    <xf borderId="0" fillId="0" fontId="1" numFmtId="0" xfId="0" applyAlignment="1" applyFont="1">
      <alignment horizontal="left" readingOrder="0" vertical="center"/>
    </xf>
    <xf borderId="0" fillId="0" fontId="1" numFmtId="0" xfId="0" applyAlignment="1" applyFont="1">
      <alignment horizontal="center" readingOrder="0" vertical="center"/>
    </xf>
    <xf borderId="0" fillId="0" fontId="1" numFmtId="0" xfId="0" applyAlignment="1" applyFont="1">
      <alignment readingOrder="0" vertical="center"/>
    </xf>
    <xf borderId="112" fillId="0" fontId="1" numFmtId="0" xfId="0" applyBorder="1" applyFont="1"/>
    <xf borderId="0" fillId="0" fontId="65" numFmtId="0" xfId="0" applyAlignment="1" applyFont="1">
      <alignment horizontal="center" readingOrder="0" vertical="center"/>
    </xf>
    <xf borderId="0" fillId="0" fontId="65" numFmtId="0" xfId="0" applyAlignment="1" applyFont="1">
      <alignment horizontal="center" readingOrder="0" vertical="center"/>
    </xf>
    <xf borderId="73" fillId="5" fontId="66" numFmtId="0" xfId="0" applyAlignment="1" applyBorder="1" applyFill="1" applyFont="1">
      <alignment horizontal="center" readingOrder="0" shrinkToFit="0" vertical="center" wrapText="0"/>
    </xf>
    <xf borderId="74" fillId="5" fontId="66" numFmtId="0" xfId="0" applyAlignment="1" applyBorder="1" applyFill="1" applyFont="1">
      <alignment horizontal="center" readingOrder="0" shrinkToFit="0" vertical="center" wrapText="0"/>
    </xf>
    <xf borderId="74" fillId="5" fontId="67" numFmtId="0" xfId="0" applyAlignment="1" applyBorder="1" applyFill="1" applyFont="1">
      <alignment horizontal="center" readingOrder="0" shrinkToFit="0" vertical="center" wrapText="0"/>
    </xf>
    <xf borderId="113" fillId="0" fontId="68" numFmtId="0" xfId="0" applyAlignment="1" applyBorder="1" applyFont="1">
      <alignment horizontal="left" readingOrder="0" shrinkToFit="0" vertical="center" wrapText="0"/>
    </xf>
    <xf borderId="114" fillId="0" fontId="1" numFmtId="0" xfId="0" applyBorder="1" applyFont="1"/>
    <xf borderId="74" fillId="5" fontId="69" numFmtId="0" xfId="0" applyAlignment="1" applyBorder="1" applyFill="1" applyFont="1">
      <alignment horizontal="center" readingOrder="0" shrinkToFit="0" vertical="center" wrapText="0"/>
    </xf>
    <xf borderId="57" fillId="0" fontId="26" numFmtId="0" xfId="0" applyAlignment="1" applyBorder="1" applyFont="1">
      <alignment vertical="top"/>
    </xf>
    <xf borderId="16" fillId="6" fontId="9" numFmtId="49" xfId="0" applyAlignment="1" applyBorder="1" applyFill="1" applyFont="1" applyNumberFormat="1">
      <alignment horizontal="center" shrinkToFit="0" vertical="center" wrapText="0"/>
    </xf>
    <xf borderId="58" fillId="0" fontId="18" numFmtId="0" xfId="0" applyAlignment="1" applyBorder="1" applyFont="1">
      <alignment vertical="bottom"/>
    </xf>
    <xf borderId="67" fillId="10" fontId="26" numFmtId="0" xfId="0" applyAlignment="1" applyBorder="1" applyFill="1" applyFont="1">
      <alignment vertical="bottom"/>
    </xf>
    <xf borderId="58" fillId="10" fontId="18" numFmtId="0" xfId="0" applyAlignment="1" applyBorder="1" applyFill="1" applyFont="1">
      <alignment horizontal="center" vertical="bottom"/>
    </xf>
    <xf borderId="0" fillId="10" fontId="1" numFmtId="0" xfId="0" applyAlignment="1" applyFill="1" applyFont="1">
      <alignment horizontal="center" readingOrder="0" shrinkToFit="0" vertical="center" wrapText="0"/>
    </xf>
    <xf borderId="87" fillId="10" fontId="26" numFmtId="0" xfId="0" applyAlignment="1" applyBorder="1" applyFill="1" applyFont="1">
      <alignment vertical="bottom"/>
    </xf>
    <xf borderId="113" fillId="3" fontId="7" numFmtId="0" xfId="0" applyAlignment="1" applyBorder="1" applyFill="1" applyFont="1">
      <alignment horizontal="center" readingOrder="0" shrinkToFit="0" vertical="center" wrapText="0"/>
    </xf>
    <xf borderId="74" fillId="5" fontId="70" numFmtId="0" xfId="0" applyAlignment="1" applyBorder="1" applyFill="1" applyFont="1">
      <alignment horizontal="left" readingOrder="0" shrinkToFit="0" vertical="center" wrapText="0"/>
    </xf>
    <xf borderId="113" fillId="3" fontId="69" numFmtId="0" xfId="0" applyAlignment="1" applyBorder="1" applyFill="1" applyFont="1">
      <alignment horizontal="center" shrinkToFit="0" vertical="center" wrapText="0"/>
    </xf>
    <xf borderId="4" fillId="5" fontId="7" numFmtId="0" xfId="0" applyAlignment="1" applyBorder="1" applyFill="1" applyFont="1">
      <alignment horizontal="center" readingOrder="0" shrinkToFit="0" vertical="center" wrapText="0"/>
    </xf>
    <xf borderId="114" fillId="5" fontId="7" numFmtId="167" xfId="0" applyAlignment="1" applyBorder="1" applyFill="1" applyFont="1" applyNumberFormat="1">
      <alignment horizontal="left" readingOrder="0" shrinkToFit="0" vertical="center" wrapText="0"/>
    </xf>
    <xf borderId="114" fillId="5" fontId="7" numFmtId="0" xfId="0" applyAlignment="1" applyBorder="1" applyFill="1" applyFont="1">
      <alignment horizontal="center" readingOrder="0" shrinkToFit="0" vertical="center" wrapText="0"/>
    </xf>
    <xf borderId="77" fillId="5" fontId="7" numFmtId="0" xfId="0" applyAlignment="1" applyBorder="1" applyFill="1" applyFont="1">
      <alignment horizontal="center" readingOrder="0" shrinkToFit="0" vertical="center" wrapText="0"/>
    </xf>
    <xf borderId="0" fillId="0" fontId="1" numFmtId="0" xfId="0" applyAlignment="1" applyFont="1">
      <alignment horizontal="center" readingOrder="0" vertical="center"/>
    </xf>
    <xf borderId="68" fillId="2" fontId="2" numFmtId="0" xfId="0" applyAlignment="1" applyBorder="1" applyFill="1" applyFont="1">
      <alignment horizontal="right" readingOrder="0" shrinkToFit="0" vertical="center" wrapText="0"/>
    </xf>
    <xf borderId="75" fillId="0" fontId="18" numFmtId="0" xfId="0" applyAlignment="1" applyBorder="1" applyFont="1">
      <alignment vertical="bottom"/>
    </xf>
    <xf borderId="74" fillId="5" fontId="66" numFmtId="0" xfId="0" applyAlignment="1" applyBorder="1" applyFill="1" applyFont="1">
      <alignment horizontal="center" shrinkToFit="0" vertical="center" wrapText="0"/>
    </xf>
    <xf borderId="74" fillId="5" fontId="67" numFmtId="0" xfId="0" applyAlignment="1" applyBorder="1" applyFill="1" applyFont="1">
      <alignment horizontal="center" shrinkToFit="0" vertical="center" wrapText="0"/>
    </xf>
    <xf borderId="100" fillId="10" fontId="26" numFmtId="0" xfId="0" applyAlignment="1" applyBorder="1" applyFill="1" applyFont="1">
      <alignment vertical="bottom"/>
    </xf>
    <xf borderId="75" fillId="10" fontId="18" numFmtId="0" xfId="0" applyAlignment="1" applyBorder="1" applyFill="1" applyFont="1">
      <alignment horizontal="center" vertical="bottom"/>
    </xf>
    <xf borderId="16" fillId="12" fontId="15" numFmtId="165" xfId="0" applyAlignment="1" applyBorder="1" applyFill="1" applyFont="1" applyNumberFormat="1">
      <alignment horizontal="center" shrinkToFit="0" vertical="center" wrapText="0"/>
    </xf>
    <xf borderId="40" fillId="2" fontId="2" numFmtId="0" xfId="0" applyAlignment="1" applyBorder="1" applyFill="1" applyFont="1">
      <alignment horizontal="left" shrinkToFit="0" vertical="center" wrapText="0"/>
    </xf>
    <xf borderId="20" fillId="2" fontId="71" numFmtId="0" xfId="0" applyAlignment="1" applyBorder="1" applyFill="1" applyFont="1">
      <alignment horizontal="left" shrinkToFit="0" vertical="center" wrapText="0"/>
    </xf>
    <xf borderId="0" fillId="10" fontId="1" numFmtId="0" xfId="0" applyAlignment="1" applyFill="1" applyFont="1">
      <alignment horizontal="center" readingOrder="0" shrinkToFit="0" vertical="center" wrapText="0"/>
    </xf>
    <xf borderId="75" fillId="0" fontId="18" numFmtId="0" xfId="0" applyAlignment="1" applyBorder="1" applyFont="1">
      <alignment horizontal="left" vertical="bottom"/>
    </xf>
    <xf borderId="26" fillId="2" fontId="71" numFmtId="0" xfId="0" applyAlignment="1" applyBorder="1" applyFill="1" applyFont="1">
      <alignment horizontal="left" shrinkToFit="0" vertical="center" wrapText="0"/>
    </xf>
    <xf borderId="85" fillId="21" fontId="37" numFmtId="0" xfId="0" applyAlignment="1" applyBorder="1" applyFill="1" applyFont="1">
      <alignment horizontal="center" shrinkToFit="0" wrapText="1"/>
    </xf>
    <xf borderId="4" fillId="21" fontId="37" numFmtId="0" xfId="0" applyAlignment="1" applyBorder="1" applyFill="1" applyFont="1">
      <alignment horizontal="center" shrinkToFit="0" vertical="bottom" wrapText="1"/>
    </xf>
    <xf borderId="4" fillId="21" fontId="37" numFmtId="0" xfId="0" applyAlignment="1" applyBorder="1" applyFill="1" applyFont="1">
      <alignment horizontal="center" shrinkToFit="0" vertical="bottom" wrapText="1"/>
    </xf>
    <xf borderId="29" fillId="21" fontId="37" numFmtId="0" xfId="0" applyAlignment="1" applyBorder="1" applyFill="1" applyFont="1">
      <alignment horizontal="center" readingOrder="0" shrinkToFit="0" vertical="bottom" wrapText="1"/>
    </xf>
    <xf borderId="86" fillId="0" fontId="26" numFmtId="0" xfId="0" applyAlignment="1" applyBorder="1" applyFont="1">
      <alignment horizontal="center" shrinkToFit="0" vertical="top" wrapText="1"/>
    </xf>
    <xf borderId="13" fillId="0" fontId="26" numFmtId="0" xfId="0" applyAlignment="1" applyBorder="1" applyFont="1">
      <alignment horizontal="center" shrinkToFit="0" vertical="top" wrapText="1"/>
    </xf>
    <xf borderId="0" fillId="0" fontId="26" numFmtId="0" xfId="0" applyAlignment="1" applyFont="1">
      <alignment horizontal="center" shrinkToFit="0" vertical="top" wrapText="1"/>
    </xf>
    <xf borderId="0" fillId="10" fontId="26" numFmtId="0" xfId="0" applyAlignment="1" applyFill="1" applyFont="1">
      <alignment horizontal="center" readingOrder="0" shrinkToFit="0" vertical="top" wrapText="1"/>
    </xf>
    <xf borderId="0" fillId="10" fontId="26" numFmtId="0" xfId="0" applyAlignment="1" applyFill="1" applyFont="1">
      <alignment horizontal="center" shrinkToFit="0" vertical="top" wrapText="1"/>
    </xf>
    <xf borderId="13" fillId="10" fontId="26" numFmtId="0" xfId="0" applyAlignment="1" applyBorder="1" applyFill="1" applyFont="1">
      <alignment horizontal="center" shrinkToFit="0" vertical="top" wrapText="1"/>
    </xf>
    <xf borderId="86" fillId="22" fontId="26" numFmtId="0" xfId="0" applyAlignment="1" applyBorder="1" applyFill="1" applyFont="1">
      <alignment horizontal="center" shrinkToFit="0" vertical="top" wrapText="1"/>
    </xf>
    <xf borderId="13" fillId="22" fontId="26" numFmtId="0" xfId="0" applyAlignment="1" applyBorder="1" applyFill="1" applyFont="1">
      <alignment horizontal="center" shrinkToFit="0" vertical="top" wrapText="1"/>
    </xf>
    <xf borderId="0" fillId="22" fontId="26" numFmtId="0" xfId="0" applyAlignment="1" applyFill="1" applyFont="1">
      <alignment horizontal="center" shrinkToFit="0" vertical="top" wrapText="1"/>
    </xf>
    <xf borderId="0" fillId="22" fontId="26" numFmtId="0" xfId="0" applyAlignment="1" applyFill="1" applyFont="1">
      <alignment horizontal="center" readingOrder="0" shrinkToFit="0" vertical="top" wrapText="1"/>
    </xf>
    <xf borderId="0" fillId="22" fontId="26" numFmtId="0" xfId="0" applyAlignment="1" applyFill="1" applyFont="1">
      <alignment horizontal="center" shrinkToFit="0" vertical="top" wrapText="1"/>
    </xf>
    <xf borderId="13" fillId="22" fontId="26" numFmtId="0" xfId="0" applyAlignment="1" applyBorder="1" applyFill="1" applyFont="1">
      <alignment horizontal="center" shrinkToFit="0" vertical="top" wrapText="1"/>
    </xf>
    <xf borderId="82" fillId="22" fontId="26" numFmtId="0" xfId="0" applyAlignment="1" applyBorder="1" applyFill="1" applyFont="1">
      <alignment horizontal="center" shrinkToFit="0" vertical="top" wrapText="1"/>
    </xf>
    <xf borderId="39" fillId="22" fontId="26" numFmtId="0" xfId="0" applyAlignment="1" applyBorder="1" applyFill="1" applyFont="1">
      <alignment horizontal="center" shrinkToFit="0" vertical="top" wrapText="1"/>
    </xf>
    <xf borderId="29" fillId="22" fontId="26" numFmtId="0" xfId="0" applyAlignment="1" applyBorder="1" applyFill="1" applyFont="1">
      <alignment horizontal="center" shrinkToFit="0" vertical="top" wrapText="1"/>
    </xf>
    <xf borderId="39" fillId="22" fontId="26" numFmtId="0" xfId="0" applyAlignment="1" applyBorder="1" applyFill="1" applyFont="1">
      <alignment horizontal="center" readingOrder="0" shrinkToFit="0" vertical="top" wrapText="1"/>
    </xf>
    <xf borderId="29" fillId="22" fontId="26" numFmtId="0" xfId="0" applyAlignment="1" applyBorder="1" applyFill="1" applyFont="1">
      <alignment horizontal="center" readingOrder="0" shrinkToFit="0" vertical="top" wrapText="1"/>
    </xf>
    <xf borderId="0" fillId="0" fontId="72" numFmtId="0" xfId="0" applyAlignment="1" applyFont="1">
      <alignment horizontal="left" readingOrder="0" vertical="center"/>
    </xf>
    <xf borderId="0" fillId="0" fontId="72" numFmtId="0" xfId="0" applyAlignment="1" applyFont="1">
      <alignment horizontal="left" readingOrder="0" shrinkToFit="0" vertical="center" wrapText="1"/>
    </xf>
    <xf borderId="0" fillId="0" fontId="72" numFmtId="0" xfId="0" applyAlignment="1" applyFont="1">
      <alignment horizontal="center" readingOrder="0" shrinkToFit="0" vertical="center" wrapText="1"/>
    </xf>
    <xf borderId="114" fillId="5" fontId="8" numFmtId="0" xfId="0" applyAlignment="1" applyBorder="1" applyFill="1" applyFont="1">
      <alignment horizontal="center" readingOrder="0" shrinkToFit="0" vertical="center" wrapText="0"/>
    </xf>
    <xf borderId="0" fillId="0" fontId="72" numFmtId="0" xfId="0" applyAlignment="1" applyFont="1">
      <alignment horizontal="center" readingOrder="0" vertical="center"/>
    </xf>
    <xf borderId="0" fillId="0" fontId="1" numFmtId="0" xfId="0" applyAlignment="1" applyFont="1">
      <alignment horizontal="center" readingOrder="0"/>
    </xf>
    <xf borderId="24" fillId="0" fontId="2" numFmtId="0" xfId="0" applyAlignment="1" applyBorder="1" applyFont="1">
      <alignment horizontal="left" shrinkToFit="0" vertical="center" wrapText="0"/>
    </xf>
    <xf borderId="115" fillId="2" fontId="71" numFmtId="0" xfId="0" applyBorder="1" applyFill="1" applyFont="1"/>
    <xf borderId="116" fillId="2" fontId="24" numFmtId="0" xfId="0" applyBorder="1" applyFill="1" applyFont="1"/>
    <xf borderId="117" fillId="2" fontId="24" numFmtId="0" xfId="0" applyBorder="1" applyFill="1" applyFont="1"/>
    <xf borderId="116" fillId="2" fontId="71" numFmtId="0" xfId="0" applyBorder="1" applyFill="1" applyFont="1"/>
    <xf borderId="74" fillId="5" fontId="73" numFmtId="0" xfId="0" applyAlignment="1" applyBorder="1" applyFill="1" applyFont="1">
      <alignment horizontal="center" shrinkToFit="0" vertical="center" wrapText="0"/>
    </xf>
    <xf borderId="74" fillId="5" fontId="74" numFmtId="0" xfId="0" applyAlignment="1" applyBorder="1" applyFill="1" applyFont="1">
      <alignment horizontal="center" shrinkToFit="0" vertical="center" wrapText="0"/>
    </xf>
    <xf borderId="78" fillId="10" fontId="1" numFmtId="0" xfId="0" applyAlignment="1" applyBorder="1" applyFill="1" applyFont="1">
      <alignment horizontal="center" vertical="bottom"/>
    </xf>
    <xf borderId="107" fillId="10" fontId="18" numFmtId="0" xfId="0" applyAlignment="1" applyBorder="1" applyFill="1" applyFont="1">
      <alignment horizontal="center" vertical="bottom"/>
    </xf>
    <xf borderId="0" fillId="9" fontId="75" numFmtId="0" xfId="0" applyAlignment="1" applyFill="1" applyFont="1">
      <alignment horizontal="left" vertical="center"/>
    </xf>
    <xf borderId="0" fillId="9" fontId="75" numFmtId="0" xfId="0" applyAlignment="1" applyFill="1" applyFont="1">
      <alignment readingOrder="0" vertical="center"/>
    </xf>
    <xf borderId="0" fillId="0" fontId="1" numFmtId="0" xfId="0" applyAlignment="1" applyFont="1">
      <alignment horizontal="left" shrinkToFit="0" vertical="center" wrapText="0"/>
    </xf>
    <xf borderId="0" fillId="9" fontId="75" numFmtId="0" xfId="0" applyAlignment="1" applyFill="1" applyFont="1">
      <alignment vertical="center"/>
    </xf>
    <xf borderId="0" fillId="0" fontId="1" numFmtId="0" xfId="0" applyAlignment="1" applyFont="1">
      <alignment horizontal="left" readingOrder="0" shrinkToFit="0" vertical="center" wrapText="0"/>
    </xf>
    <xf borderId="74" fillId="5" fontId="73" numFmtId="0" xfId="0" applyAlignment="1" applyBorder="1" applyFill="1" applyFont="1">
      <alignment horizontal="center" readingOrder="0" shrinkToFit="0" vertical="center" wrapText="0"/>
    </xf>
    <xf borderId="0" fillId="9" fontId="76" numFmtId="0" xfId="0" applyAlignment="1" applyFill="1" applyFont="1">
      <alignment horizontal="left" readingOrder="0" shrinkToFit="0" vertical="center" wrapText="0"/>
    </xf>
    <xf borderId="74" fillId="5" fontId="74" numFmtId="0" xfId="0" applyAlignment="1" applyBorder="1" applyFill="1" applyFont="1">
      <alignment horizontal="center" readingOrder="0" shrinkToFit="0" vertical="center" wrapText="0"/>
    </xf>
    <xf borderId="63" fillId="10" fontId="1" numFmtId="0" xfId="0" applyAlignment="1" applyBorder="1" applyFill="1" applyFont="1">
      <alignment horizontal="center" vertical="bottom"/>
    </xf>
    <xf borderId="0" fillId="0" fontId="1" numFmtId="0" xfId="0" applyAlignment="1" applyFont="1">
      <alignment horizontal="left" readingOrder="0" shrinkToFit="0" vertical="center" wrapText="0"/>
    </xf>
    <xf borderId="0" fillId="0" fontId="1" numFmtId="0" xfId="0" applyAlignment="1" applyFont="1">
      <alignment horizontal="left" readingOrder="0" vertical="center"/>
    </xf>
    <xf borderId="64" fillId="0" fontId="18" numFmtId="0" xfId="0" applyAlignment="1" applyBorder="1" applyFont="1">
      <alignment readingOrder="0" vertical="bottom"/>
    </xf>
    <xf borderId="93" fillId="10" fontId="26" numFmtId="0" xfId="0" applyAlignment="1" applyBorder="1" applyFill="1" applyFont="1">
      <alignment vertical="bottom"/>
    </xf>
    <xf borderId="20" fillId="2" fontId="71" numFmtId="0" xfId="0" applyBorder="1" applyFill="1" applyFont="1"/>
    <xf borderId="75" fillId="0" fontId="18" numFmtId="0" xfId="0" applyAlignment="1" applyBorder="1" applyFont="1">
      <alignment readingOrder="0" vertical="bottom"/>
    </xf>
    <xf borderId="0" fillId="9" fontId="77" numFmtId="0" xfId="0" applyAlignment="1" applyFill="1" applyFont="1">
      <alignment horizontal="center" readingOrder="0" shrinkToFit="0" vertical="center" wrapText="0"/>
    </xf>
    <xf borderId="0" fillId="2" fontId="11" numFmtId="0" xfId="0" applyAlignment="1" applyFill="1" applyFont="1">
      <alignment horizontal="left" readingOrder="0" shrinkToFit="0" vertical="bottom" wrapText="0"/>
    </xf>
    <xf borderId="0" fillId="0" fontId="1" numFmtId="0" xfId="0" applyAlignment="1" applyFont="1">
      <alignment horizontal="left" readingOrder="0" shrinkToFit="0" vertical="center" wrapText="0"/>
    </xf>
    <xf borderId="75" fillId="10" fontId="18" numFmtId="0" xfId="0" applyAlignment="1" applyBorder="1" applyFill="1" applyFont="1">
      <alignment horizontal="center" shrinkToFit="0" vertical="bottom" wrapText="0"/>
    </xf>
    <xf borderId="0" fillId="23" fontId="78" numFmtId="0" xfId="0" applyAlignment="1" applyFill="1" applyFont="1">
      <alignment horizontal="left" readingOrder="0" shrinkToFit="0" vertical="center" wrapText="0"/>
    </xf>
    <xf borderId="0" fillId="23" fontId="78" numFmtId="0" xfId="0" applyAlignment="1" applyFill="1" applyFont="1">
      <alignment horizontal="center" readingOrder="0" shrinkToFit="0" vertical="center" wrapText="0"/>
    </xf>
    <xf borderId="0" fillId="17" fontId="78" numFmtId="0" xfId="0" applyAlignment="1" applyFill="1" applyFont="1">
      <alignment horizontal="center" readingOrder="0" shrinkToFit="0" vertical="center" wrapText="0"/>
    </xf>
    <xf borderId="0" fillId="17" fontId="78" numFmtId="0" xfId="0" applyAlignment="1" applyFill="1" applyFont="1">
      <alignment horizontal="left" readingOrder="0" shrinkToFit="0" vertical="center" wrapText="0"/>
    </xf>
    <xf borderId="118" fillId="5" fontId="2" numFmtId="0" xfId="0" applyAlignment="1" applyBorder="1" applyFill="1" applyFont="1">
      <alignment horizontal="center" readingOrder="0" shrinkToFit="0" vertical="center" wrapText="0"/>
    </xf>
    <xf borderId="119" fillId="3" fontId="79" numFmtId="0" xfId="0" applyAlignment="1" applyBorder="1" applyFill="1" applyFont="1">
      <alignment horizontal="left" readingOrder="0" shrinkToFit="0" vertical="center" wrapText="0"/>
    </xf>
    <xf borderId="119" fillId="0" fontId="1" numFmtId="0" xfId="0" applyBorder="1" applyFont="1"/>
    <xf borderId="120" fillId="0" fontId="1" numFmtId="0" xfId="0" applyBorder="1" applyFont="1"/>
    <xf borderId="0" fillId="9" fontId="75" numFmtId="0" xfId="0" applyAlignment="1" applyFill="1" applyFont="1">
      <alignment horizontal="left" vertical="center"/>
    </xf>
    <xf borderId="121" fillId="0" fontId="1" numFmtId="0" xfId="0" applyBorder="1" applyFont="1"/>
    <xf borderId="64" fillId="5" fontId="79" numFmtId="0" xfId="0" applyAlignment="1" applyBorder="1" applyFill="1" applyFont="1">
      <alignment horizontal="right" readingOrder="0" shrinkToFit="0" vertical="center" wrapText="0"/>
    </xf>
    <xf borderId="64" fillId="5" fontId="79" numFmtId="0" xfId="0" applyAlignment="1" applyBorder="1" applyFill="1" applyFont="1">
      <alignment horizontal="left" readingOrder="0" shrinkToFit="0" vertical="center" wrapText="0"/>
    </xf>
    <xf borderId="0" fillId="9" fontId="75" numFmtId="0" xfId="0" applyAlignment="1" applyFill="1" applyFont="1">
      <alignment horizontal="left" readingOrder="0" vertical="center"/>
    </xf>
    <xf borderId="122" fillId="5" fontId="7" numFmtId="0" xfId="0" applyAlignment="1" applyBorder="1" applyFill="1" applyFont="1">
      <alignment horizontal="left" readingOrder="0" shrinkToFit="0" vertical="center" wrapText="0"/>
    </xf>
    <xf borderId="0" fillId="9" fontId="26" numFmtId="0" xfId="0" applyAlignment="1" applyFill="1" applyFont="1">
      <alignment horizontal="left" shrinkToFit="0" vertical="center" wrapText="0"/>
    </xf>
    <xf borderId="64" fillId="13" fontId="53" numFmtId="0" xfId="0" applyAlignment="1" applyBorder="1" applyFill="1" applyFont="1">
      <alignment horizontal="center" readingOrder="0" shrinkToFit="0" vertical="center" wrapText="0"/>
    </xf>
    <xf borderId="123" fillId="0" fontId="1" numFmtId="0" xfId="0" applyBorder="1" applyFont="1"/>
    <xf borderId="0" fillId="9" fontId="26" numFmtId="0" xfId="0" applyAlignment="1" applyFill="1" applyFont="1">
      <alignment vertical="center"/>
    </xf>
    <xf borderId="122" fillId="13" fontId="2" numFmtId="0" xfId="0" applyAlignment="1" applyBorder="1" applyFill="1" applyFont="1">
      <alignment shrinkToFit="0" vertical="center" wrapText="0"/>
    </xf>
    <xf borderId="6" fillId="3" fontId="79" numFmtId="0" xfId="0" applyAlignment="1" applyBorder="1" applyFill="1" applyFont="1">
      <alignment horizontal="left" readingOrder="0" shrinkToFit="0" vertical="center" wrapText="0"/>
    </xf>
    <xf borderId="124" fillId="0" fontId="1" numFmtId="0" xfId="0" applyBorder="1" applyFont="1"/>
    <xf borderId="69" fillId="9" fontId="19" numFmtId="0" xfId="0" applyAlignment="1" applyBorder="1" applyFill="1" applyFont="1">
      <alignment horizontal="left" readingOrder="0" shrinkToFit="0" vertical="center" wrapText="0"/>
    </xf>
    <xf borderId="70" fillId="9" fontId="19" numFmtId="0" xfId="0" applyAlignment="1" applyBorder="1" applyFill="1" applyFont="1">
      <alignment horizontal="left" readingOrder="0" shrinkToFit="0" vertical="center" wrapText="0"/>
    </xf>
    <xf borderId="71" fillId="9" fontId="19" numFmtId="0" xfId="0" applyAlignment="1" applyBorder="1" applyFill="1" applyFont="1">
      <alignment horizontal="left" readingOrder="0" shrinkToFit="0" vertical="center" wrapText="0"/>
    </xf>
    <xf borderId="76" fillId="5" fontId="79" numFmtId="0" xfId="0" applyAlignment="1" applyBorder="1" applyFill="1" applyFont="1">
      <alignment horizontal="right" readingOrder="0" shrinkToFit="0" vertical="center" wrapText="0"/>
    </xf>
    <xf borderId="76" fillId="5" fontId="79" numFmtId="0" xfId="0" applyAlignment="1" applyBorder="1" applyFill="1" applyFont="1">
      <alignment horizontal="left" readingOrder="0" shrinkToFit="0" vertical="center" wrapText="0"/>
    </xf>
    <xf borderId="125" fillId="5" fontId="7" numFmtId="0" xfId="0" applyAlignment="1" applyBorder="1" applyFill="1" applyFont="1">
      <alignment horizontal="left" readingOrder="0" shrinkToFit="0" vertical="center" wrapText="0"/>
    </xf>
    <xf borderId="76" fillId="13" fontId="53" numFmtId="0" xfId="0" applyAlignment="1" applyBorder="1" applyFill="1" applyFont="1">
      <alignment horizontal="center" readingOrder="0" shrinkToFit="0" vertical="center" wrapText="0"/>
    </xf>
    <xf borderId="126" fillId="0" fontId="1" numFmtId="0" xfId="0" applyBorder="1" applyFont="1"/>
    <xf borderId="125" fillId="13" fontId="2" numFmtId="0" xfId="0" applyAlignment="1" applyBorder="1" applyFill="1" applyFont="1">
      <alignment readingOrder="0" shrinkToFit="0" vertical="center" wrapText="0"/>
    </xf>
    <xf borderId="0" fillId="9" fontId="26" numFmtId="0" xfId="0" applyAlignment="1" applyFill="1" applyFont="1">
      <alignment horizontal="left" shrinkToFit="0" vertical="center" wrapText="0"/>
    </xf>
    <xf borderId="49" fillId="5" fontId="2" numFmtId="0" xfId="0" applyAlignment="1" applyBorder="1" applyFill="1" applyFont="1">
      <alignment horizontal="center" shrinkToFit="0" vertical="center" wrapText="0"/>
    </xf>
    <xf borderId="0" fillId="9" fontId="26" numFmtId="0" xfId="0" applyAlignment="1" applyFill="1" applyFont="1">
      <alignment vertical="center"/>
    </xf>
    <xf borderId="0" fillId="0" fontId="1" numFmtId="0" xfId="0" applyAlignment="1" applyFont="1">
      <alignment horizontal="left" vertical="center"/>
    </xf>
    <xf borderId="125" fillId="5" fontId="78" numFmtId="0" xfId="0" applyAlignment="1" applyBorder="1" applyFill="1" applyFont="1">
      <alignment horizontal="left" readingOrder="0" shrinkToFit="0" vertical="center" wrapText="0"/>
    </xf>
    <xf borderId="125" fillId="13" fontId="2" numFmtId="0" xfId="0" applyAlignment="1" applyBorder="1" applyFill="1" applyFont="1">
      <alignment shrinkToFit="0" vertical="center" wrapText="0"/>
    </xf>
    <xf borderId="66" fillId="2" fontId="59" numFmtId="0" xfId="0" applyAlignment="1" applyBorder="1" applyFill="1" applyFont="1">
      <alignment horizontal="left" readingOrder="0" shrinkToFit="0" vertical="center" wrapText="0"/>
    </xf>
    <xf borderId="66" fillId="2" fontId="2" numFmtId="0" xfId="0" applyAlignment="1" applyBorder="1" applyFill="1" applyFont="1">
      <alignment horizontal="center" shrinkToFit="0" vertical="center" wrapText="0"/>
    </xf>
    <xf borderId="75" fillId="3" fontId="18" numFmtId="0" xfId="0" applyAlignment="1" applyBorder="1" applyFill="1" applyFont="1">
      <alignment horizontal="center" vertical="bottom"/>
    </xf>
    <xf borderId="66" fillId="5" fontId="80" numFmtId="0" xfId="0" applyAlignment="1" applyBorder="1" applyFill="1" applyFont="1">
      <alignment horizontal="left" readingOrder="0" shrinkToFit="0" vertical="center" wrapText="0"/>
    </xf>
    <xf borderId="0" fillId="9" fontId="75" numFmtId="0" xfId="0" applyAlignment="1" applyFill="1" applyFont="1">
      <alignment vertical="center"/>
    </xf>
    <xf borderId="0" fillId="0" fontId="26" numFmtId="0" xfId="0" applyAlignment="1" applyFont="1">
      <alignment horizontal="left" shrinkToFit="0" vertical="center" wrapText="1"/>
    </xf>
    <xf borderId="75" fillId="3" fontId="18" numFmtId="0" xfId="0" applyAlignment="1" applyBorder="1" applyFill="1" applyFont="1">
      <alignment horizontal="center" readingOrder="0" vertical="bottom"/>
    </xf>
    <xf borderId="0" fillId="0" fontId="26" numFmtId="0" xfId="0" applyAlignment="1" applyFont="1">
      <alignment horizontal="left" shrinkToFit="0" vertical="center" wrapText="0"/>
    </xf>
    <xf borderId="0" fillId="0" fontId="26" numFmtId="0" xfId="0" applyAlignment="1" applyFont="1">
      <alignment horizontal="left" shrinkToFit="0" vertical="center" wrapText="0"/>
    </xf>
    <xf borderId="76" fillId="3" fontId="18" numFmtId="0" xfId="0" applyAlignment="1" applyBorder="1" applyFill="1" applyFont="1">
      <alignment horizontal="left" readingOrder="0" vertical="bottom"/>
    </xf>
    <xf borderId="22" fillId="2" fontId="71" numFmtId="0" xfId="0" applyBorder="1" applyFill="1" applyFont="1"/>
    <xf borderId="0" fillId="2" fontId="8" numFmtId="0" xfId="0" applyAlignment="1" applyFill="1" applyFont="1">
      <alignment horizontal="center" readingOrder="0" shrinkToFit="0" vertical="bottom" wrapText="0"/>
    </xf>
    <xf borderId="0" fillId="2" fontId="9" numFmtId="0" xfId="0" applyAlignment="1" applyFill="1" applyFont="1">
      <alignment horizontal="right" readingOrder="0" shrinkToFit="0" vertical="center" wrapText="0"/>
    </xf>
    <xf borderId="76" fillId="3" fontId="18" numFmtId="0" xfId="0" applyAlignment="1" applyBorder="1" applyFill="1" applyFont="1">
      <alignment horizontal="left" vertical="bottom"/>
    </xf>
    <xf borderId="0" fillId="3" fontId="17" numFmtId="0" xfId="0" applyAlignment="1" applyFill="1" applyFont="1">
      <alignment horizontal="center" shrinkToFit="0" vertical="center" wrapText="0"/>
    </xf>
    <xf borderId="0" fillId="3" fontId="78" numFmtId="0" xfId="0" applyAlignment="1" applyFill="1" applyFont="1">
      <alignment horizontal="center" shrinkToFit="0" vertical="center" wrapText="0"/>
    </xf>
    <xf borderId="0" fillId="5" fontId="81" numFmtId="0" xfId="0" applyAlignment="1" applyFill="1" applyFont="1">
      <alignment horizontal="left" readingOrder="0" shrinkToFit="0" vertical="center" wrapText="0"/>
    </xf>
    <xf borderId="0" fillId="2" fontId="53" numFmtId="0" xfId="0" applyAlignment="1" applyFill="1" applyFont="1">
      <alignment horizontal="center" readingOrder="0" shrinkToFit="0" vertical="center" wrapText="0"/>
    </xf>
    <xf borderId="0" fillId="2" fontId="40" numFmtId="0" xfId="0" applyAlignment="1" applyFill="1" applyFont="1">
      <alignment horizontal="center" readingOrder="0" shrinkToFit="0" vertical="bottom" wrapText="0"/>
    </xf>
    <xf borderId="127" fillId="5" fontId="2" numFmtId="0" xfId="0" applyAlignment="1" applyBorder="1" applyFill="1" applyFont="1">
      <alignment horizontal="center" readingOrder="0" shrinkToFit="0" vertical="center" wrapText="0"/>
    </xf>
    <xf borderId="128" fillId="3" fontId="79" numFmtId="0" xfId="0" applyAlignment="1" applyBorder="1" applyFill="1" applyFont="1">
      <alignment horizontal="left" readingOrder="0" shrinkToFit="0" vertical="center" wrapText="0"/>
    </xf>
    <xf borderId="128" fillId="0" fontId="1" numFmtId="0" xfId="0" applyBorder="1" applyFont="1"/>
    <xf borderId="129" fillId="0" fontId="1" numFmtId="0" xfId="0" applyBorder="1" applyFont="1"/>
    <xf borderId="127" fillId="5" fontId="2" numFmtId="0" xfId="0" applyAlignment="1" applyBorder="1" applyFill="1" applyFont="1">
      <alignment horizontal="center" shrinkToFit="0" vertical="center" wrapText="0"/>
    </xf>
    <xf borderId="130" fillId="0" fontId="1" numFmtId="0" xfId="0" applyBorder="1" applyFont="1"/>
    <xf borderId="75" fillId="3" fontId="1" numFmtId="0" xfId="0" applyAlignment="1" applyBorder="1" applyFill="1" applyFont="1">
      <alignment horizontal="center" vertical="bottom"/>
    </xf>
    <xf borderId="18" fillId="2" fontId="9" numFmtId="0" xfId="0" applyAlignment="1" applyBorder="1" applyFill="1" applyFont="1">
      <alignment readingOrder="0" shrinkToFit="0" wrapText="0"/>
    </xf>
    <xf borderId="78" fillId="10" fontId="18" numFmtId="0" xfId="0" applyAlignment="1" applyBorder="1" applyFill="1" applyFont="1">
      <alignment horizontal="center" vertical="bottom"/>
    </xf>
    <xf borderId="79" fillId="10" fontId="1" numFmtId="0" xfId="0" applyAlignment="1" applyBorder="1" applyFill="1" applyFont="1">
      <alignment horizontal="center" vertical="bottom"/>
    </xf>
    <xf borderId="131" fillId="10" fontId="18" numFmtId="0" xfId="0" applyAlignment="1" applyBorder="1" applyFill="1" applyFont="1">
      <alignment horizontal="center" readingOrder="0" vertical="bottom"/>
    </xf>
    <xf borderId="132" fillId="0" fontId="1" numFmtId="0" xfId="0" applyBorder="1" applyFont="1"/>
    <xf borderId="78" fillId="0" fontId="18" numFmtId="0" xfId="0" applyBorder="1" applyFont="1"/>
    <xf borderId="107" fillId="10" fontId="18" numFmtId="0" xfId="0" applyAlignment="1" applyBorder="1" applyFill="1" applyFont="1">
      <alignment horizontal="center" shrinkToFit="0" vertical="bottom" wrapText="0"/>
    </xf>
    <xf borderId="0" fillId="5" fontId="2" numFmtId="0" xfId="0" applyAlignment="1" applyFill="1" applyFont="1">
      <alignment horizontal="center" readingOrder="0" shrinkToFit="0" vertical="center" wrapText="0"/>
    </xf>
    <xf borderId="78" fillId="3" fontId="18" numFmtId="0" xfId="0" applyAlignment="1" applyBorder="1" applyFill="1" applyFont="1">
      <alignment horizontal="center" vertical="bottom"/>
    </xf>
    <xf borderId="16" fillId="5" fontId="2" numFmtId="0" xfId="0" applyAlignment="1" applyBorder="1" applyFill="1" applyFont="1">
      <alignment horizontal="center" shrinkToFit="0" vertical="center" wrapText="0"/>
    </xf>
    <xf borderId="78" fillId="3" fontId="18" numFmtId="0" xfId="0" applyAlignment="1" applyBorder="1" applyFill="1" applyFont="1">
      <alignment horizontal="center" readingOrder="0" vertical="bottom"/>
    </xf>
    <xf borderId="16" fillId="12" fontId="15" numFmtId="0" xfId="0" applyAlignment="1" applyBorder="1" applyFill="1" applyFont="1">
      <alignment horizontal="center" readingOrder="0" shrinkToFit="0" vertical="center" wrapText="0"/>
    </xf>
    <xf borderId="79" fillId="3" fontId="18" numFmtId="0" xfId="0" applyAlignment="1" applyBorder="1" applyFill="1" applyFont="1">
      <alignment horizontal="left" readingOrder="0" vertical="bottom"/>
    </xf>
    <xf borderId="118" fillId="8" fontId="2" numFmtId="0" xfId="0" applyAlignment="1" applyBorder="1" applyFill="1" applyFont="1">
      <alignment horizontal="center" readingOrder="0" shrinkToFit="0" vertical="center" wrapText="0"/>
    </xf>
    <xf borderId="78" fillId="0" fontId="18" numFmtId="0" xfId="0" applyAlignment="1" applyBorder="1" applyFont="1">
      <alignment horizontal="left" readingOrder="0" vertical="bottom"/>
    </xf>
    <xf borderId="28" fillId="3" fontId="79" numFmtId="0" xfId="0" applyAlignment="1" applyBorder="1" applyFill="1" applyFont="1">
      <alignment horizontal="left" readingOrder="0" shrinkToFit="0" vertical="center" wrapText="0"/>
    </xf>
    <xf borderId="38" fillId="2" fontId="1" numFmtId="0" xfId="0" applyAlignment="1" applyBorder="1" applyFill="1" applyFont="1">
      <alignment horizontal="center" vertical="bottom"/>
    </xf>
    <xf borderId="118" fillId="8" fontId="2" numFmtId="0" xfId="0" applyAlignment="1" applyBorder="1" applyFill="1" applyFont="1">
      <alignment horizontal="center" shrinkToFit="0" vertical="center" wrapText="0"/>
    </xf>
    <xf borderId="133" fillId="2" fontId="1" numFmtId="0" xfId="0" applyAlignment="1" applyBorder="1" applyFill="1" applyFont="1">
      <alignment horizontal="center" vertical="bottom"/>
    </xf>
    <xf borderId="2" fillId="6" fontId="9" numFmtId="0" xfId="0" applyAlignment="1" applyBorder="1" applyFill="1" applyFont="1">
      <alignment horizontal="center" readingOrder="0" shrinkToFit="0" vertical="center" wrapText="0"/>
    </xf>
    <xf borderId="26" fillId="2" fontId="1" numFmtId="0" xfId="0" applyAlignment="1" applyBorder="1" applyFill="1" applyFont="1">
      <alignment horizontal="left" readingOrder="0" vertical="bottom"/>
    </xf>
    <xf borderId="26" fillId="2" fontId="1" numFmtId="0" xfId="0" applyAlignment="1" applyBorder="1" applyFill="1" applyFont="1">
      <alignment horizontal="left" vertical="bottom"/>
    </xf>
    <xf borderId="2" fillId="24" fontId="9" numFmtId="0" xfId="0" applyAlignment="1" applyBorder="1" applyFill="1" applyFont="1">
      <alignment horizontal="center"/>
    </xf>
    <xf borderId="18" fillId="2" fontId="8" numFmtId="0" xfId="0" applyAlignment="1" applyBorder="1" applyFill="1" applyFont="1">
      <alignment horizontal="center" readingOrder="0" shrinkToFit="0" vertical="bottom" wrapText="0"/>
    </xf>
    <xf borderId="0" fillId="0" fontId="24" numFmtId="0" xfId="0" applyFont="1"/>
    <xf borderId="134" fillId="8" fontId="2" numFmtId="0" xfId="0" applyAlignment="1" applyBorder="1" applyFill="1" applyFont="1">
      <alignment horizontal="center" readingOrder="0" shrinkToFit="0" vertical="center" wrapText="0"/>
    </xf>
    <xf borderId="135" fillId="3" fontId="79" numFmtId="0" xfId="0" applyAlignment="1" applyBorder="1" applyFill="1" applyFont="1">
      <alignment horizontal="left" readingOrder="0" shrinkToFit="0" vertical="center" wrapText="0"/>
    </xf>
    <xf borderId="135" fillId="0" fontId="1" numFmtId="0" xfId="0" applyBorder="1" applyFont="1"/>
    <xf borderId="136" fillId="0" fontId="1" numFmtId="0" xfId="0" applyBorder="1" applyFont="1"/>
    <xf borderId="0" fillId="0" fontId="24" numFmtId="0" xfId="0" applyFont="1"/>
    <xf borderId="0" fillId="0" fontId="24" numFmtId="0" xfId="0" applyAlignment="1" applyFont="1">
      <alignment horizontal="left" readingOrder="0" shrinkToFit="0" wrapText="0"/>
    </xf>
    <xf borderId="0" fillId="0" fontId="4" numFmtId="0" xfId="0" applyAlignment="1" applyFont="1">
      <alignment horizontal="left" readingOrder="0"/>
    </xf>
    <xf borderId="0" fillId="6" fontId="1" numFmtId="0" xfId="0" applyAlignment="1" applyFill="1" applyFont="1">
      <alignment readingOrder="0"/>
    </xf>
    <xf borderId="0" fillId="6" fontId="1" numFmtId="0" xfId="0" applyFill="1" applyFont="1"/>
    <xf borderId="0" fillId="0" fontId="4" numFmtId="0" xfId="0" applyAlignment="1" applyFont="1">
      <alignment readingOrder="0"/>
    </xf>
    <xf borderId="0" fillId="10" fontId="26" numFmtId="0" xfId="0" applyFill="1" applyFont="1"/>
    <xf borderId="0" fillId="10" fontId="26" numFmtId="0" xfId="0" applyAlignment="1" applyFill="1" applyFont="1">
      <alignment readingOrder="0"/>
    </xf>
    <xf borderId="0" fillId="0" fontId="1" numFmtId="0" xfId="0" applyAlignment="1" applyFont="1">
      <alignment horizontal="right" readingOrder="0"/>
    </xf>
    <xf borderId="1" fillId="9" fontId="21" numFmtId="0" xfId="0" applyAlignment="1" applyBorder="1" applyFill="1" applyFont="1">
      <alignment horizontal="center" readingOrder="0"/>
    </xf>
    <xf borderId="28" fillId="9" fontId="21" numFmtId="0" xfId="0" applyAlignment="1" applyBorder="1" applyFill="1" applyFont="1">
      <alignment horizontal="center" readingOrder="0"/>
    </xf>
    <xf borderId="3" fillId="9" fontId="21" numFmtId="0" xfId="0" applyAlignment="1" applyBorder="1" applyFill="1" applyFont="1">
      <alignment horizontal="center" readingOrder="0"/>
    </xf>
    <xf borderId="0" fillId="0" fontId="1" numFmtId="0" xfId="0" applyAlignment="1" applyFont="1">
      <alignment readingOrder="0"/>
    </xf>
    <xf borderId="0" fillId="10" fontId="26" numFmtId="0" xfId="0" applyAlignment="1" applyFill="1" applyFont="1">
      <alignment horizontal="center" readingOrder="0"/>
    </xf>
    <xf borderId="0" fillId="0" fontId="24" numFmtId="0" xfId="0" applyFont="1"/>
    <xf borderId="0" fillId="0" fontId="1" numFmtId="0" xfId="0" applyAlignment="1" applyFont="1">
      <alignment horizontal="right" readingOrder="0" vertical="center"/>
    </xf>
    <xf borderId="24" fillId="3" fontId="4" numFmtId="0" xfId="0" applyAlignment="1" applyBorder="1" applyFill="1" applyFont="1">
      <alignment horizontal="center" vertical="center"/>
    </xf>
    <xf borderId="39" fillId="3" fontId="4" numFmtId="0" xfId="0" applyAlignment="1" applyBorder="1" applyFill="1" applyFont="1">
      <alignment horizontal="center" vertical="center"/>
    </xf>
    <xf borderId="29" fillId="3" fontId="4" numFmtId="0" xfId="0" applyAlignment="1" applyBorder="1" applyFill="1" applyFont="1">
      <alignment horizontal="center" vertical="center"/>
    </xf>
    <xf borderId="0" fillId="0" fontId="5" numFmtId="0" xfId="0" applyAlignment="1" applyFont="1">
      <alignment readingOrder="0" vertical="center"/>
    </xf>
    <xf borderId="2" fillId="6" fontId="82" numFmtId="0" xfId="0" applyAlignment="1" applyBorder="1" applyFill="1" applyFont="1">
      <alignment horizontal="center"/>
    </xf>
    <xf borderId="4" fillId="6" fontId="82" numFmtId="0" xfId="0" applyAlignment="1" applyBorder="1" applyFill="1" applyFont="1">
      <alignment horizontal="center"/>
    </xf>
    <xf borderId="5" fillId="6" fontId="82" numFmtId="0" xfId="0" applyAlignment="1" applyBorder="1" applyFill="1" applyFont="1">
      <alignment horizontal="center"/>
    </xf>
    <xf borderId="0" fillId="0" fontId="83" numFmtId="0" xfId="0" applyAlignment="1" applyFont="1">
      <alignment vertical="bottom"/>
    </xf>
    <xf borderId="1" fillId="3" fontId="1" numFmtId="0" xfId="0" applyAlignment="1" applyBorder="1" applyFill="1" applyFont="1">
      <alignment horizontal="center" vertical="center"/>
    </xf>
    <xf borderId="0" fillId="0" fontId="24" numFmtId="0" xfId="0" applyAlignment="1" applyFont="1">
      <alignment horizontal="left" shrinkToFit="0" wrapText="0"/>
    </xf>
    <xf borderId="28" fillId="3" fontId="1" numFmtId="0" xfId="0" applyAlignment="1" applyBorder="1" applyFill="1" applyFont="1">
      <alignment horizontal="center" vertical="center"/>
    </xf>
    <xf borderId="3" fillId="3" fontId="1" numFmtId="0" xfId="0" applyAlignment="1" applyBorder="1" applyFill="1" applyFont="1">
      <alignment horizontal="center" vertical="center"/>
    </xf>
    <xf borderId="1" fillId="3" fontId="24" numFmtId="49" xfId="0" applyAlignment="1" applyBorder="1" applyFill="1" applyFont="1" applyNumberFormat="1">
      <alignment horizontal="center" vertical="bottom"/>
    </xf>
    <xf borderId="28" fillId="3" fontId="24" numFmtId="49" xfId="0" applyAlignment="1" applyBorder="1" applyFill="1" applyFont="1" applyNumberFormat="1">
      <alignment horizontal="center" vertical="bottom"/>
    </xf>
    <xf borderId="137" fillId="9" fontId="19" numFmtId="0" xfId="0" applyAlignment="1" applyBorder="1" applyFill="1" applyFont="1">
      <alignment horizontal="center" readingOrder="0" shrinkToFit="0" vertical="center" wrapText="0"/>
    </xf>
    <xf borderId="3" fillId="3" fontId="24" numFmtId="49" xfId="0" applyAlignment="1" applyBorder="1" applyFill="1" applyFont="1" applyNumberFormat="1">
      <alignment horizontal="center" vertical="bottom"/>
    </xf>
    <xf borderId="66" fillId="2" fontId="2" numFmtId="0" xfId="0" applyAlignment="1" applyBorder="1" applyFill="1" applyFont="1">
      <alignment readingOrder="0" shrinkToFit="0" vertical="center" wrapText="0"/>
    </xf>
    <xf borderId="12" fillId="5" fontId="1" numFmtId="0" xfId="0" applyAlignment="1" applyBorder="1" applyFill="1" applyFont="1">
      <alignment horizontal="center" readingOrder="0" vertical="center"/>
    </xf>
    <xf borderId="0" fillId="5" fontId="1" numFmtId="0" xfId="0" applyAlignment="1" applyFill="1" applyFont="1">
      <alignment horizontal="center" vertical="center"/>
    </xf>
    <xf borderId="13" fillId="5" fontId="1" numFmtId="0" xfId="0" applyAlignment="1" applyBorder="1" applyFill="1" applyFont="1">
      <alignment horizontal="center" readingOrder="0" vertical="center"/>
    </xf>
    <xf borderId="12" fillId="3" fontId="24" numFmtId="49" xfId="0" applyAlignment="1" applyBorder="1" applyFill="1" applyFont="1" applyNumberFormat="1">
      <alignment horizontal="center" vertical="bottom"/>
    </xf>
    <xf borderId="0" fillId="2" fontId="81" numFmtId="0" xfId="0" applyAlignment="1" applyFill="1" applyFont="1">
      <alignment shrinkToFit="0" wrapText="0"/>
    </xf>
    <xf borderId="0" fillId="3" fontId="24" numFmtId="49" xfId="0" applyAlignment="1" applyFill="1" applyFont="1" applyNumberFormat="1">
      <alignment horizontal="center" vertical="bottom"/>
    </xf>
    <xf borderId="13" fillId="3" fontId="24" numFmtId="0" xfId="0" applyAlignment="1" applyBorder="1" applyFill="1" applyFont="1">
      <alignment horizontal="center" vertical="bottom"/>
    </xf>
    <xf borderId="0" fillId="5" fontId="1" numFmtId="0" xfId="0" applyAlignment="1" applyFill="1" applyFont="1">
      <alignment horizontal="center" readingOrder="0" vertical="center"/>
    </xf>
    <xf borderId="74" fillId="5" fontId="2" numFmtId="0" xfId="0" applyAlignment="1" applyBorder="1" applyFill="1" applyFont="1">
      <alignment horizontal="center" readingOrder="0" shrinkToFit="0" vertical="center" wrapText="0"/>
    </xf>
    <xf borderId="113" fillId="0" fontId="67" numFmtId="0" xfId="0" applyAlignment="1" applyBorder="1" applyFont="1">
      <alignment horizontal="center" readingOrder="0" shrinkToFit="0" vertical="center" wrapText="0"/>
    </xf>
    <xf borderId="74" fillId="5" fontId="84" numFmtId="0" xfId="0" applyAlignment="1" applyBorder="1" applyFill="1" applyFont="1">
      <alignment horizontal="center" readingOrder="0" shrinkToFit="0" vertical="center" wrapText="0"/>
    </xf>
    <xf borderId="113" fillId="5" fontId="84" numFmtId="0" xfId="0" applyAlignment="1" applyBorder="1" applyFill="1" applyFont="1">
      <alignment horizontal="center" readingOrder="0" shrinkToFit="0" vertical="center" wrapText="0"/>
    </xf>
    <xf borderId="74" fillId="3" fontId="7" numFmtId="0" xfId="0" applyAlignment="1" applyBorder="1" applyFill="1" applyFont="1">
      <alignment horizontal="center" readingOrder="0" shrinkToFit="0" vertical="center" wrapText="0"/>
    </xf>
    <xf borderId="12" fillId="5" fontId="1" numFmtId="0" xfId="0" applyAlignment="1" applyBorder="1" applyFill="1" applyFont="1">
      <alignment horizontal="center" vertical="center"/>
    </xf>
    <xf borderId="24" fillId="3" fontId="24" numFmtId="49" xfId="0" applyAlignment="1" applyBorder="1" applyFill="1" applyFont="1" applyNumberFormat="1">
      <alignment vertical="bottom"/>
    </xf>
    <xf borderId="74" fillId="3" fontId="7" numFmtId="9" xfId="0" applyAlignment="1" applyBorder="1" applyFill="1" applyFont="1" applyNumberFormat="1">
      <alignment horizontal="center" readingOrder="0" shrinkToFit="0" vertical="center" wrapText="0"/>
    </xf>
    <xf borderId="0" fillId="2" fontId="2" numFmtId="0" xfId="0" applyAlignment="1" applyFill="1" applyFont="1">
      <alignment readingOrder="0" shrinkToFit="0" vertical="center" wrapText="0"/>
    </xf>
    <xf borderId="2" fillId="0" fontId="2" numFmtId="0" xfId="0" applyAlignment="1" applyBorder="1" applyFont="1">
      <alignment readingOrder="0" shrinkToFit="0" vertical="center" wrapText="0"/>
    </xf>
    <xf borderId="39" fillId="3" fontId="24" numFmtId="49" xfId="0" applyAlignment="1" applyBorder="1" applyFill="1" applyFont="1" applyNumberFormat="1">
      <alignment vertical="bottom"/>
    </xf>
    <xf borderId="113" fillId="5" fontId="2" numFmtId="0" xfId="0" applyAlignment="1" applyBorder="1" applyFill="1" applyFont="1">
      <alignment horizontal="center" readingOrder="0" shrinkToFit="0" vertical="center" wrapText="0"/>
    </xf>
    <xf borderId="113" fillId="5" fontId="7" numFmtId="0" xfId="0" applyAlignment="1" applyBorder="1" applyFill="1" applyFont="1">
      <alignment horizontal="right" readingOrder="0" shrinkToFit="0" vertical="center" wrapText="0"/>
    </xf>
    <xf borderId="77" fillId="5" fontId="67" numFmtId="0" xfId="0" applyAlignment="1" applyBorder="1" applyFill="1" applyFont="1">
      <alignment horizontal="center" readingOrder="0" shrinkToFit="0" vertical="center" wrapText="0"/>
    </xf>
    <xf borderId="29" fillId="3" fontId="24" numFmtId="0" xfId="0" applyAlignment="1" applyBorder="1" applyFill="1" applyFont="1">
      <alignment horizontal="center" vertical="bottom"/>
    </xf>
    <xf borderId="2" fillId="6" fontId="85" numFmtId="0" xfId="0" applyAlignment="1" applyBorder="1" applyFill="1" applyFont="1">
      <alignment horizontal="center" readingOrder="0" shrinkToFit="0" vertical="center" wrapText="0"/>
    </xf>
    <xf borderId="2" fillId="10" fontId="9" numFmtId="0" xfId="0" applyAlignment="1" applyBorder="1" applyFill="1" applyFont="1">
      <alignment horizontal="center"/>
    </xf>
    <xf borderId="0" fillId="0" fontId="24" numFmtId="0" xfId="0" applyAlignment="1" applyFont="1">
      <alignment horizontal="right" vertical="bottom"/>
    </xf>
    <xf borderId="113" fillId="5" fontId="7" numFmtId="0" xfId="0" applyAlignment="1" applyBorder="1" applyFill="1" applyFont="1">
      <alignment horizontal="left" readingOrder="0" shrinkToFit="0" vertical="center" wrapText="0"/>
    </xf>
    <xf borderId="26" fillId="2" fontId="25" numFmtId="0" xfId="0" applyAlignment="1" applyBorder="1" applyFill="1" applyFont="1">
      <alignment readingOrder="0"/>
    </xf>
    <xf borderId="0" fillId="0" fontId="24" numFmtId="0" xfId="0" applyAlignment="1" applyFont="1">
      <alignment horizontal="center"/>
    </xf>
    <xf borderId="113" fillId="5" fontId="7" numFmtId="0" xfId="0" applyAlignment="1" applyBorder="1" applyFill="1" applyFont="1">
      <alignment horizontal="center" readingOrder="0" shrinkToFit="0" vertical="center" wrapText="0"/>
    </xf>
    <xf borderId="24" fillId="5" fontId="1" numFmtId="0" xfId="0" applyAlignment="1" applyBorder="1" applyFill="1" applyFont="1">
      <alignment horizontal="center" vertical="center"/>
    </xf>
    <xf borderId="39" fillId="5" fontId="1" numFmtId="0" xfId="0" applyAlignment="1" applyBorder="1" applyFill="1" applyFont="1">
      <alignment horizontal="center" vertical="center"/>
    </xf>
    <xf borderId="29" fillId="5" fontId="1" numFmtId="0" xfId="0" applyAlignment="1" applyBorder="1" applyFill="1" applyFont="1">
      <alignment horizontal="center" readingOrder="0" vertical="center"/>
    </xf>
    <xf borderId="28" fillId="9" fontId="75" numFmtId="0" xfId="0" applyAlignment="1" applyBorder="1" applyFill="1" applyFont="1">
      <alignment vertical="bottom"/>
    </xf>
    <xf borderId="28" fillId="25" fontId="75" numFmtId="0" xfId="0" applyAlignment="1" applyBorder="1" applyFill="1" applyFont="1">
      <alignment readingOrder="0" vertical="bottom"/>
    </xf>
    <xf borderId="0" fillId="0" fontId="26" numFmtId="0" xfId="0" applyAlignment="1" applyFont="1">
      <alignment horizontal="left" readingOrder="0" shrinkToFit="0" vertical="center" wrapText="0"/>
    </xf>
    <xf borderId="28" fillId="25" fontId="75" numFmtId="0" xfId="0" applyAlignment="1" applyBorder="1" applyFill="1" applyFont="1">
      <alignment vertical="bottom"/>
    </xf>
    <xf borderId="3" fillId="25" fontId="75" numFmtId="0" xfId="0" applyAlignment="1" applyBorder="1" applyFill="1" applyFont="1">
      <alignment vertical="bottom"/>
    </xf>
    <xf borderId="0" fillId="0" fontId="26" numFmtId="0" xfId="0" applyAlignment="1" applyFont="1">
      <alignment vertical="bottom"/>
    </xf>
    <xf borderId="0" fillId="9" fontId="75" numFmtId="0" xfId="0" applyAlignment="1" applyFill="1" applyFont="1">
      <alignment readingOrder="0" vertical="bottom"/>
    </xf>
    <xf borderId="85" fillId="0" fontId="26" numFmtId="0" xfId="0" applyAlignment="1" applyBorder="1" applyFont="1">
      <alignment horizontal="right" readingOrder="0" vertical="bottom"/>
    </xf>
    <xf borderId="85" fillId="0" fontId="26" numFmtId="0" xfId="0" applyAlignment="1" applyBorder="1" applyFont="1">
      <alignment horizontal="right" vertical="bottom"/>
    </xf>
    <xf borderId="0" fillId="0" fontId="26" numFmtId="0" xfId="0" applyFont="1"/>
    <xf borderId="0" fillId="0" fontId="86" numFmtId="0" xfId="0" applyAlignment="1" applyFont="1">
      <alignment readingOrder="0" vertical="bottom"/>
    </xf>
    <xf borderId="39" fillId="9" fontId="75" numFmtId="0" xfId="0" applyAlignment="1" applyBorder="1" applyFill="1" applyFont="1">
      <alignment readingOrder="0" vertical="bottom"/>
    </xf>
    <xf borderId="86" fillId="0" fontId="26" numFmtId="0" xfId="0" applyAlignment="1" applyBorder="1" applyFont="1">
      <alignment horizontal="right" readingOrder="0" vertical="bottom"/>
    </xf>
    <xf borderId="86" fillId="0" fontId="26" numFmtId="0" xfId="0" applyAlignment="1" applyBorder="1" applyFont="1">
      <alignment horizontal="right" vertical="bottom"/>
    </xf>
    <xf borderId="0" fillId="0" fontId="26" numFmtId="0" xfId="0" applyAlignment="1" applyFont="1">
      <alignment vertical="bottom"/>
    </xf>
    <xf borderId="0" fillId="0" fontId="87" numFmtId="0" xfId="0" applyFont="1"/>
    <xf borderId="39" fillId="2" fontId="42" numFmtId="0" xfId="0" applyAlignment="1" applyBorder="1" applyFill="1" applyFont="1">
      <alignment shrinkToFit="0" vertical="top" wrapText="0"/>
    </xf>
    <xf borderId="39" fillId="2" fontId="42" numFmtId="0" xfId="0" applyAlignment="1" applyBorder="1" applyFill="1" applyFont="1">
      <alignment readingOrder="0" shrinkToFit="0" vertical="bottom" wrapText="0"/>
    </xf>
    <xf borderId="82" fillId="0" fontId="26" numFmtId="0" xfId="0" applyAlignment="1" applyBorder="1" applyFont="1">
      <alignment horizontal="right" vertical="bottom"/>
    </xf>
    <xf borderId="76" fillId="13" fontId="11" numFmtId="0" xfId="0" applyAlignment="1" applyBorder="1" applyFill="1" applyFont="1">
      <alignment horizontal="center" shrinkToFit="0" vertical="center" wrapText="0"/>
    </xf>
    <xf borderId="0" fillId="0" fontId="26" numFmtId="0" xfId="0" applyAlignment="1" applyFont="1">
      <alignment horizontal="right" vertical="bottom"/>
    </xf>
    <xf borderId="0" fillId="16" fontId="26" numFmtId="0" xfId="0" applyAlignment="1" applyFill="1" applyFont="1">
      <alignment horizontal="right" vertical="bottom"/>
    </xf>
    <xf borderId="0" fillId="9" fontId="75" numFmtId="0" xfId="0" applyAlignment="1" applyFill="1" applyFont="1">
      <alignment vertical="bottom"/>
    </xf>
    <xf borderId="0" fillId="12" fontId="26" numFmtId="0" xfId="0" applyAlignment="1" applyFill="1" applyFont="1">
      <alignment vertical="bottom"/>
    </xf>
    <xf borderId="0" fillId="12" fontId="26" numFmtId="0" xfId="0" applyAlignment="1" applyFill="1" applyFont="1">
      <alignment vertical="bottom"/>
    </xf>
    <xf borderId="0" fillId="2" fontId="29" numFmtId="0" xfId="0" applyAlignment="1" applyFill="1" applyFont="1">
      <alignment shrinkToFit="0" wrapText="0"/>
    </xf>
    <xf borderId="0" fillId="12" fontId="26" numFmtId="0" xfId="0" applyAlignment="1" applyFill="1" applyFont="1">
      <alignment shrinkToFit="0" vertical="bottom" wrapText="0"/>
    </xf>
    <xf borderId="23" fillId="9" fontId="19" numFmtId="0" xfId="0" applyAlignment="1" applyBorder="1" applyFill="1" applyFont="1">
      <alignment horizontal="center" readingOrder="0" shrinkToFit="0" vertical="center" wrapText="0"/>
    </xf>
    <xf borderId="138" fillId="0" fontId="1" numFmtId="0" xfId="0" applyBorder="1" applyFont="1"/>
    <xf borderId="0" fillId="2" fontId="29" numFmtId="0" xfId="0" applyAlignment="1" applyFill="1" applyFont="1">
      <alignment horizontal="left" shrinkToFit="0" wrapText="0"/>
    </xf>
    <xf borderId="123" fillId="0" fontId="81" numFmtId="0" xfId="0" applyAlignment="1" applyBorder="1" applyFont="1">
      <alignment horizontal="center" readingOrder="0" shrinkToFit="0" wrapText="0"/>
    </xf>
    <xf borderId="64" fillId="0" fontId="88" numFmtId="0" xfId="0" applyAlignment="1" applyBorder="1" applyFont="1">
      <alignment readingOrder="0" shrinkToFit="0" wrapText="0"/>
    </xf>
    <xf borderId="0" fillId="0" fontId="1" numFmtId="0" xfId="0" applyAlignment="1" applyFont="1">
      <alignment horizontal="left" readingOrder="0"/>
    </xf>
    <xf borderId="0" fillId="0" fontId="1" numFmtId="0" xfId="0" applyAlignment="1" applyFont="1">
      <alignment horizontal="left" readingOrder="0" shrinkToFit="0" wrapText="1"/>
    </xf>
    <xf borderId="139" fillId="0" fontId="43" numFmtId="0" xfId="0" applyAlignment="1" applyBorder="1" applyFont="1">
      <alignment horizontal="left" readingOrder="0" vertical="center"/>
    </xf>
    <xf borderId="0" fillId="2" fontId="81" numFmtId="0" xfId="0" applyAlignment="1" applyFill="1" applyFont="1">
      <alignment shrinkToFit="0" wrapText="0"/>
    </xf>
    <xf borderId="123" fillId="0" fontId="89" numFmtId="0" xfId="0" applyAlignment="1" applyBorder="1" applyFont="1">
      <alignment horizontal="center" shrinkToFit="0" wrapText="0"/>
    </xf>
    <xf borderId="0" fillId="0" fontId="1" numFmtId="0" xfId="0" applyAlignment="1" applyFont="1">
      <alignment horizontal="left" readingOrder="0" shrinkToFit="0" wrapText="1"/>
    </xf>
    <xf borderId="139" fillId="0" fontId="1" numFmtId="0" xfId="0" applyAlignment="1" applyBorder="1" applyFont="1">
      <alignment horizontal="center" vertical="center"/>
    </xf>
    <xf borderId="0" fillId="0" fontId="1" numFmtId="0" xfId="0" applyAlignment="1" applyFont="1">
      <alignment horizontal="left"/>
    </xf>
    <xf borderId="64" fillId="0" fontId="89" numFmtId="0" xfId="0" applyAlignment="1" applyBorder="1" applyFont="1">
      <alignment readingOrder="0" shrinkToFit="0" wrapText="0"/>
    </xf>
    <xf borderId="139" fillId="0" fontId="1" numFmtId="0" xfId="0" applyAlignment="1" applyBorder="1" applyFont="1">
      <alignment vertical="center"/>
    </xf>
    <xf borderId="0" fillId="2" fontId="89" numFmtId="0" xfId="0" applyAlignment="1" applyFill="1" applyFont="1">
      <alignment readingOrder="0" shrinkToFit="0" wrapText="0"/>
    </xf>
    <xf borderId="123" fillId="0" fontId="89" numFmtId="0" xfId="0" applyAlignment="1" applyBorder="1" applyFont="1">
      <alignment horizontal="center" readingOrder="0" shrinkToFit="0" wrapText="0"/>
    </xf>
    <xf borderId="0" fillId="0" fontId="24" numFmtId="0" xfId="0" applyAlignment="1" applyFont="1">
      <alignment horizontal="center" readingOrder="0" vertical="center"/>
    </xf>
    <xf borderId="0" fillId="0" fontId="1" numFmtId="0" xfId="0" applyAlignment="1" applyFont="1">
      <alignment horizontal="left" readingOrder="0"/>
    </xf>
    <xf borderId="0" fillId="0" fontId="24" numFmtId="0" xfId="0" applyAlignment="1" applyFont="1">
      <alignment horizontal="center" readingOrder="0" shrinkToFit="0" vertical="center" wrapText="1"/>
    </xf>
    <xf borderId="0" fillId="0" fontId="24" numFmtId="0" xfId="0" applyAlignment="1" applyFont="1">
      <alignment readingOrder="0" shrinkToFit="0" vertical="center" wrapText="0"/>
    </xf>
    <xf borderId="0" fillId="2" fontId="29" numFmtId="0" xfId="0" applyAlignment="1" applyFill="1" applyFont="1">
      <alignment shrinkToFit="0" vertical="bottom" wrapText="0"/>
    </xf>
    <xf borderId="0" fillId="19" fontId="1" numFmtId="49" xfId="0" applyAlignment="1" applyFill="1" applyFont="1" applyNumberFormat="1">
      <alignment horizontal="left" readingOrder="0" shrinkToFit="0" wrapText="1"/>
    </xf>
    <xf borderId="12" fillId="0" fontId="42" numFmtId="0" xfId="0" applyAlignment="1" applyBorder="1" applyFont="1">
      <alignment readingOrder="0" shrinkToFit="0" vertical="bottom" wrapText="0"/>
    </xf>
    <xf borderId="0" fillId="0" fontId="24" numFmtId="0" xfId="0" applyAlignment="1" applyFont="1">
      <alignment vertical="center"/>
    </xf>
    <xf borderId="13" fillId="0" fontId="26" numFmtId="49" xfId="0" applyAlignment="1" applyBorder="1" applyFont="1" applyNumberFormat="1">
      <alignment horizontal="left" vertical="bottom"/>
    </xf>
    <xf borderId="126" fillId="0" fontId="81" numFmtId="0" xfId="0" applyAlignment="1" applyBorder="1" applyFont="1">
      <alignment horizontal="center" readingOrder="0" shrinkToFit="0" wrapText="0"/>
    </xf>
    <xf borderId="2" fillId="3" fontId="1" numFmtId="49" xfId="0" applyAlignment="1" applyBorder="1" applyFill="1" applyFont="1" applyNumberFormat="1">
      <alignment horizontal="left" readingOrder="0"/>
    </xf>
    <xf borderId="76" fillId="0" fontId="88" numFmtId="0" xfId="0" applyAlignment="1" applyBorder="1" applyFont="1">
      <alignment readingOrder="0" shrinkToFit="0" wrapText="0"/>
    </xf>
    <xf borderId="0" fillId="0" fontId="24" numFmtId="168" xfId="0" applyAlignment="1" applyFont="1" applyNumberFormat="1">
      <alignment horizontal="center" readingOrder="0" shrinkToFit="0" vertical="center" wrapText="1"/>
    </xf>
    <xf borderId="4" fillId="3" fontId="1" numFmtId="49" xfId="0" applyAlignment="1" applyBorder="1" applyFill="1" applyFont="1" applyNumberFormat="1">
      <alignment horizontal="right" readingOrder="0"/>
    </xf>
    <xf borderId="126" fillId="0" fontId="89" numFmtId="0" xfId="0" applyAlignment="1" applyBorder="1" applyFont="1">
      <alignment horizontal="center" shrinkToFit="0" wrapText="0"/>
    </xf>
    <xf borderId="76" fillId="0" fontId="89" numFmtId="0" xfId="0" applyAlignment="1" applyBorder="1" applyFont="1">
      <alignment readingOrder="0" shrinkToFit="0" wrapText="0"/>
    </xf>
    <xf borderId="5" fillId="3" fontId="26" numFmtId="49" xfId="0" applyAlignment="1" applyBorder="1" applyFill="1" applyFont="1" applyNumberFormat="1">
      <alignment horizontal="left"/>
    </xf>
    <xf borderId="0" fillId="0" fontId="24" numFmtId="0" xfId="0" applyAlignment="1" applyFont="1">
      <alignment horizontal="center" vertical="center"/>
    </xf>
    <xf borderId="64" fillId="0" fontId="89" numFmtId="0" xfId="0" applyAlignment="1" applyBorder="1" applyFont="1">
      <alignment horizontal="left" readingOrder="0" shrinkToFit="0" wrapText="0"/>
    </xf>
    <xf borderId="0" fillId="0" fontId="24" numFmtId="0" xfId="0" applyAlignment="1" applyFont="1">
      <alignment readingOrder="0" shrinkToFit="0" vertical="center" wrapText="1"/>
    </xf>
    <xf borderId="5" fillId="3" fontId="1" numFmtId="49" xfId="0" applyAlignment="1" applyBorder="1" applyFill="1" applyFont="1" applyNumberFormat="1">
      <alignment horizontal="left"/>
    </xf>
    <xf borderId="2" fillId="3" fontId="1" numFmtId="49" xfId="0" applyAlignment="1" applyBorder="1" applyFill="1" applyFont="1" applyNumberFormat="1">
      <alignment horizontal="left"/>
    </xf>
    <xf borderId="0" fillId="0" fontId="1" numFmtId="168" xfId="0" applyAlignment="1" applyFont="1" applyNumberFormat="1">
      <alignment horizontal="center" readingOrder="0" shrinkToFit="0" vertical="center" wrapText="1"/>
    </xf>
    <xf borderId="0" fillId="0" fontId="1" numFmtId="0" xfId="0" applyAlignment="1" applyFont="1">
      <alignment readingOrder="0" shrinkToFit="0" vertical="center" wrapText="1"/>
    </xf>
    <xf borderId="0" fillId="0" fontId="1" numFmtId="169" xfId="0" applyAlignment="1" applyFont="1" applyNumberFormat="1">
      <alignment horizontal="center" readingOrder="0" shrinkToFit="0" vertical="center" wrapText="1"/>
    </xf>
    <xf borderId="126" fillId="0" fontId="89" numFmtId="0" xfId="0" applyAlignment="1" applyBorder="1" applyFont="1">
      <alignment horizontal="center" readingOrder="0" shrinkToFit="0" wrapText="0"/>
    </xf>
    <xf borderId="5" fillId="3" fontId="1" numFmtId="49" xfId="0" applyAlignment="1" applyBorder="1" applyFill="1" applyFont="1" applyNumberFormat="1">
      <alignment horizontal="center" readingOrder="0" shrinkToFit="0" wrapText="1"/>
    </xf>
    <xf borderId="0" fillId="0" fontId="1" numFmtId="170" xfId="0" applyAlignment="1" applyFont="1" applyNumberFormat="1">
      <alignment horizontal="center" readingOrder="0" shrinkToFit="0" vertical="center" wrapText="1"/>
    </xf>
    <xf borderId="76" fillId="0" fontId="89" numFmtId="0" xfId="0" applyAlignment="1" applyBorder="1" applyFont="1">
      <alignment horizontal="left" readingOrder="0" shrinkToFit="0" wrapText="0"/>
    </xf>
    <xf borderId="5" fillId="3" fontId="1" numFmtId="49" xfId="0" applyAlignment="1" applyBorder="1" applyFill="1" applyFont="1" applyNumberFormat="1">
      <alignment horizontal="center" readingOrder="0"/>
    </xf>
    <xf borderId="0" fillId="0" fontId="1" numFmtId="0" xfId="0" applyAlignment="1" applyFont="1">
      <alignment horizontal="center" readingOrder="0" shrinkToFit="0" vertical="center" wrapText="1"/>
    </xf>
    <xf borderId="12" fillId="0" fontId="42" numFmtId="0" xfId="0" applyAlignment="1" applyBorder="1" applyFont="1">
      <alignment shrinkToFit="0" vertical="bottom" wrapText="0"/>
    </xf>
    <xf borderId="5" fillId="3" fontId="1" numFmtId="49" xfId="0" applyAlignment="1" applyBorder="1" applyFill="1" applyFont="1" applyNumberFormat="1">
      <alignment horizontal="left" readingOrder="0"/>
    </xf>
    <xf borderId="140" fillId="0" fontId="29" numFmtId="0" xfId="0" applyAlignment="1" applyBorder="1" applyFont="1">
      <alignment horizontal="center" shrinkToFit="0" vertical="bottom" wrapText="0"/>
    </xf>
    <xf borderId="4" fillId="3" fontId="1" numFmtId="49" xfId="0" applyAlignment="1" applyBorder="1" applyFill="1" applyFont="1" applyNumberFormat="1">
      <alignment horizontal="left" readingOrder="0"/>
    </xf>
    <xf borderId="0" fillId="2" fontId="29" numFmtId="0" xfId="0" applyAlignment="1" applyFill="1" applyFont="1">
      <alignment shrinkToFit="0" vertical="bottom" wrapText="0"/>
    </xf>
    <xf borderId="4" fillId="3" fontId="5" numFmtId="49" xfId="0" applyAlignment="1" applyBorder="1" applyFill="1" applyFont="1" applyNumberFormat="1">
      <alignment horizontal="left" readingOrder="0"/>
    </xf>
    <xf borderId="0" fillId="0" fontId="1" numFmtId="49" xfId="0" applyAlignment="1" applyFont="1" applyNumberFormat="1">
      <alignment horizontal="left"/>
    </xf>
    <xf borderId="21" fillId="9" fontId="90" numFmtId="0" xfId="0" applyAlignment="1" applyBorder="1" applyFill="1" applyFont="1">
      <alignment horizontal="center" readingOrder="0" shrinkToFit="0" vertical="center" wrapText="0"/>
    </xf>
    <xf borderId="0" fillId="3" fontId="1" numFmtId="49" xfId="0" applyAlignment="1" applyFill="1" applyFont="1" applyNumberFormat="1">
      <alignment horizontal="left" readingOrder="0"/>
    </xf>
    <xf borderId="12" fillId="16" fontId="1" numFmtId="49" xfId="0" applyAlignment="1" applyBorder="1" applyFill="1" applyFont="1" applyNumberFormat="1">
      <alignment horizontal="left" readingOrder="0"/>
    </xf>
    <xf borderId="0" fillId="16" fontId="1" numFmtId="49" xfId="0" applyAlignment="1" applyFill="1" applyFont="1" applyNumberFormat="1">
      <alignment horizontal="center" readingOrder="0"/>
    </xf>
    <xf borderId="123" fillId="0" fontId="81" numFmtId="0" xfId="0" applyAlignment="1" applyBorder="1" applyFont="1">
      <alignment horizontal="center" shrinkToFit="0" wrapText="0"/>
    </xf>
    <xf borderId="13" fillId="16" fontId="1" numFmtId="49" xfId="0" applyAlignment="1" applyBorder="1" applyFill="1" applyFont="1" applyNumberFormat="1">
      <alignment horizontal="center"/>
    </xf>
    <xf borderId="126" fillId="0" fontId="81" numFmtId="0" xfId="0" applyAlignment="1" applyBorder="1" applyFont="1">
      <alignment horizontal="center" shrinkToFit="0" wrapText="0"/>
    </xf>
    <xf borderId="76" fillId="0" fontId="81" numFmtId="0" xfId="0" applyAlignment="1" applyBorder="1" applyFont="1">
      <alignment readingOrder="0" shrinkToFit="0" wrapText="0"/>
    </xf>
    <xf borderId="13" fillId="16" fontId="1" numFmtId="49" xfId="0" applyAlignment="1" applyBorder="1" applyFill="1" applyFont="1" applyNumberFormat="1">
      <alignment horizontal="center" readingOrder="0"/>
    </xf>
    <xf borderId="76" fillId="0" fontId="81" numFmtId="0" xfId="0" applyAlignment="1" applyBorder="1" applyFont="1">
      <alignment shrinkToFit="0" wrapText="0"/>
    </xf>
    <xf borderId="12" fillId="16" fontId="26" numFmtId="49" xfId="0" applyAlignment="1" applyBorder="1" applyFill="1" applyFont="1" applyNumberFormat="1">
      <alignment horizontal="left" readingOrder="0"/>
    </xf>
    <xf borderId="126" fillId="0" fontId="81" numFmtId="0" xfId="0" applyAlignment="1" applyBorder="1" applyFont="1">
      <alignment horizontal="center" readingOrder="0" shrinkToFit="0" vertical="center" wrapText="0"/>
    </xf>
    <xf borderId="76" fillId="0" fontId="81" numFmtId="0" xfId="0" applyAlignment="1" applyBorder="1" applyFont="1">
      <alignment horizontal="left" readingOrder="0" shrinkToFit="0" vertical="center" wrapText="0"/>
    </xf>
    <xf borderId="0" fillId="2" fontId="81" numFmtId="0" xfId="0" applyAlignment="1" applyFill="1" applyFont="1">
      <alignment horizontal="left" readingOrder="0" shrinkToFit="0" vertical="center" wrapText="0"/>
    </xf>
    <xf borderId="0" fillId="2" fontId="29" numFmtId="0" xfId="0" applyAlignment="1" applyFill="1" applyFont="1">
      <alignment readingOrder="0" shrinkToFit="0" wrapText="0"/>
    </xf>
    <xf borderId="0" fillId="16" fontId="91" numFmtId="49" xfId="0" applyAlignment="1" applyFill="1" applyFont="1" applyNumberFormat="1">
      <alignment horizontal="center"/>
    </xf>
    <xf borderId="140" fillId="0" fontId="81" numFmtId="0" xfId="0" applyAlignment="1" applyBorder="1" applyFont="1">
      <alignment horizontal="center" readingOrder="0" shrinkToFit="0" vertical="center" wrapText="0"/>
    </xf>
    <xf borderId="0" fillId="16" fontId="1" numFmtId="49" xfId="0" applyAlignment="1" applyFill="1" applyFont="1" applyNumberFormat="1">
      <alignment horizontal="center"/>
    </xf>
    <xf borderId="141" fillId="0" fontId="81" numFmtId="0" xfId="0" applyAlignment="1" applyBorder="1" applyFont="1">
      <alignment horizontal="left" readingOrder="0" shrinkToFit="0" vertical="center" wrapText="0"/>
    </xf>
    <xf borderId="141" fillId="0" fontId="1" numFmtId="0" xfId="0" applyBorder="1" applyFont="1"/>
    <xf borderId="140" fillId="0" fontId="89" numFmtId="0" xfId="0" applyAlignment="1" applyBorder="1" applyFont="1">
      <alignment horizontal="center" readingOrder="0" shrinkToFit="0" wrapText="0"/>
    </xf>
    <xf borderId="141" fillId="0" fontId="89" numFmtId="0" xfId="0" applyAlignment="1" applyBorder="1" applyFont="1">
      <alignment readingOrder="0" shrinkToFit="0" wrapText="0"/>
    </xf>
    <xf borderId="24" fillId="0" fontId="42" numFmtId="0" xfId="0" applyAlignment="1" applyBorder="1" applyFont="1">
      <alignment shrinkToFit="0" vertical="bottom" wrapText="0"/>
    </xf>
    <xf borderId="12" fillId="16" fontId="1" numFmtId="49" xfId="0" applyAlignment="1" applyBorder="1" applyFill="1" applyFont="1" applyNumberFormat="1">
      <alignment horizontal="left"/>
    </xf>
    <xf borderId="69" fillId="9" fontId="77" numFmtId="0" xfId="0" applyAlignment="1" applyBorder="1" applyFill="1" applyFont="1">
      <alignment horizontal="center" readingOrder="0" shrinkToFit="0" vertical="center" wrapText="0"/>
    </xf>
    <xf borderId="66" fillId="2" fontId="29" numFmtId="0" xfId="0" applyAlignment="1" applyBorder="1" applyFill="1" applyFont="1">
      <alignment shrinkToFit="0" wrapText="0"/>
    </xf>
    <xf borderId="66" fillId="2" fontId="29" numFmtId="0" xfId="0" applyAlignment="1" applyBorder="1" applyFill="1" applyFont="1">
      <alignment horizontal="left" shrinkToFit="0" vertical="center" wrapText="0"/>
    </xf>
    <xf borderId="0" fillId="2" fontId="92" numFmtId="0" xfId="0" applyAlignment="1" applyFill="1" applyFont="1">
      <alignment horizontal="left" shrinkToFit="0" wrapText="0"/>
    </xf>
    <xf borderId="142" fillId="19" fontId="2" numFmtId="0" xfId="0" applyAlignment="1" applyBorder="1" applyFill="1" applyFont="1">
      <alignment horizontal="center" readingOrder="0" shrinkToFit="0" vertical="center" wrapText="0"/>
    </xf>
    <xf borderId="142" fillId="19" fontId="2" numFmtId="0" xfId="0" applyAlignment="1" applyBorder="1" applyFill="1" applyFont="1">
      <alignment horizontal="center" readingOrder="0" shrinkToFit="0" vertical="center" wrapText="0"/>
    </xf>
    <xf borderId="142" fillId="19" fontId="42" numFmtId="0" xfId="0" applyAlignment="1" applyBorder="1" applyFill="1" applyFont="1">
      <alignment horizontal="center" shrinkToFit="0" vertical="center" wrapText="0"/>
    </xf>
    <xf borderId="142" fillId="19" fontId="69" numFmtId="0" xfId="0" applyAlignment="1" applyBorder="1" applyFill="1" applyFont="1">
      <alignment horizontal="center" readingOrder="0" shrinkToFit="0" vertical="center" wrapText="0"/>
    </xf>
    <xf borderId="142" fillId="19" fontId="7" numFmtId="0" xfId="0" applyAlignment="1" applyBorder="1" applyFill="1" applyFont="1">
      <alignment horizontal="center" shrinkToFit="0" vertical="center" wrapText="0"/>
    </xf>
    <xf borderId="142" fillId="19" fontId="7" numFmtId="0" xfId="0" applyAlignment="1" applyBorder="1" applyFill="1" applyFont="1">
      <alignment horizontal="center" readingOrder="0" shrinkToFit="0" vertical="center" wrapText="0"/>
    </xf>
    <xf borderId="142" fillId="19" fontId="93" numFmtId="0" xfId="0" applyAlignment="1" applyBorder="1" applyFill="1" applyFont="1">
      <alignment horizontal="center" readingOrder="0" shrinkToFit="0" vertical="center" wrapText="0"/>
    </xf>
    <xf borderId="1" fillId="0" fontId="7" numFmtId="0" xfId="0" applyAlignment="1" applyBorder="1" applyFont="1">
      <alignment horizontal="left" readingOrder="0" shrinkToFit="0" vertical="center" wrapText="1"/>
    </xf>
    <xf borderId="0" fillId="2" fontId="29" numFmtId="0" xfId="0" applyAlignment="1" applyFill="1" applyFont="1">
      <alignment horizontal="left" readingOrder="0" shrinkToFit="0" wrapText="0"/>
    </xf>
    <xf borderId="143" fillId="0" fontId="1" numFmtId="0" xfId="0" applyBorder="1" applyFont="1"/>
    <xf borderId="144" fillId="0" fontId="1" numFmtId="0" xfId="0" applyBorder="1" applyFont="1"/>
    <xf borderId="143" fillId="19" fontId="69" numFmtId="0" xfId="0" applyAlignment="1" applyBorder="1" applyFill="1" applyFont="1">
      <alignment horizontal="center" readingOrder="0" shrinkToFit="0" vertical="center" wrapText="0"/>
    </xf>
    <xf borderId="144" fillId="19" fontId="69" numFmtId="0" xfId="0" applyAlignment="1" applyBorder="1" applyFill="1" applyFont="1">
      <alignment horizontal="center" readingOrder="0" shrinkToFit="0" vertical="center" wrapText="0"/>
    </xf>
    <xf borderId="143" fillId="19" fontId="7" numFmtId="0" xfId="0" applyAlignment="1" applyBorder="1" applyFill="1" applyFont="1">
      <alignment horizontal="center" shrinkToFit="0" vertical="center" wrapText="0"/>
    </xf>
    <xf borderId="144" fillId="19" fontId="7" numFmtId="0" xfId="0" applyAlignment="1" applyBorder="1" applyFill="1" applyFont="1">
      <alignment horizontal="center" readingOrder="0" shrinkToFit="0" vertical="center" wrapText="0"/>
    </xf>
    <xf borderId="143" fillId="19" fontId="7" numFmtId="0" xfId="0" applyAlignment="1" applyBorder="1" applyFill="1" applyFont="1">
      <alignment horizontal="center" readingOrder="0" shrinkToFit="0" vertical="center" wrapText="0"/>
    </xf>
    <xf borderId="144" fillId="19" fontId="7" numFmtId="0" xfId="0" applyAlignment="1" applyBorder="1" applyFill="1" applyFont="1">
      <alignment horizontal="left" readingOrder="0" shrinkToFit="0" vertical="center" wrapText="0"/>
    </xf>
    <xf borderId="144" fillId="19" fontId="7" numFmtId="0" xfId="0" applyAlignment="1" applyBorder="1" applyFill="1" applyFont="1">
      <alignment horizontal="center" shrinkToFit="0" vertical="center" wrapText="0"/>
    </xf>
    <xf borderId="0" fillId="0" fontId="1" numFmtId="49" xfId="0" applyAlignment="1" applyFont="1" applyNumberFormat="1">
      <alignment horizontal="left" readingOrder="0"/>
    </xf>
    <xf borderId="144" fillId="19" fontId="40" numFmtId="0" xfId="0" applyAlignment="1" applyBorder="1" applyFill="1" applyFont="1">
      <alignment horizontal="center" readingOrder="0" shrinkToFit="0" vertical="center" wrapText="0"/>
    </xf>
    <xf borderId="145" fillId="0" fontId="1" numFmtId="0" xfId="0" applyBorder="1" applyFont="1"/>
    <xf borderId="143" fillId="3" fontId="7" numFmtId="0" xfId="0" applyAlignment="1" applyBorder="1" applyFill="1" applyFont="1">
      <alignment horizontal="center" readingOrder="0" shrinkToFit="0" vertical="center" wrapText="0"/>
    </xf>
    <xf borderId="143" fillId="3" fontId="7" numFmtId="0" xfId="0" applyAlignment="1" applyBorder="1" applyFill="1" applyFont="1">
      <alignment horizontal="center" readingOrder="0" shrinkToFit="0" vertical="center" wrapText="0"/>
    </xf>
    <xf borderId="0" fillId="0" fontId="5" numFmtId="0" xfId="0" applyAlignment="1" applyFont="1">
      <alignment horizontal="center" readingOrder="0" vertical="center"/>
    </xf>
    <xf borderId="0" fillId="0" fontId="1" numFmtId="0" xfId="0" applyAlignment="1" applyFont="1">
      <alignment horizontal="left" readingOrder="0" shrinkToFit="0" wrapText="0"/>
    </xf>
    <xf borderId="0" fillId="3" fontId="1" numFmtId="49" xfId="0" applyAlignment="1" applyFill="1" applyFont="1" applyNumberFormat="1">
      <alignment horizontal="left"/>
    </xf>
    <xf borderId="12" fillId="16" fontId="24" numFmtId="49" xfId="0" applyAlignment="1" applyBorder="1" applyFill="1" applyFont="1" applyNumberFormat="1">
      <alignment readingOrder="0" vertical="bottom"/>
    </xf>
    <xf borderId="0" fillId="16" fontId="24" numFmtId="49" xfId="0" applyAlignment="1" applyFill="1" applyFont="1" applyNumberFormat="1">
      <alignment horizontal="center" vertical="bottom"/>
    </xf>
    <xf borderId="13" fillId="16" fontId="24" numFmtId="49" xfId="0" applyAlignment="1" applyBorder="1" applyFill="1" applyFont="1" applyNumberFormat="1">
      <alignment horizontal="center" vertical="bottom"/>
    </xf>
    <xf borderId="0" fillId="16" fontId="1" numFmtId="49" xfId="0" applyAlignment="1" applyFill="1" applyFont="1" applyNumberFormat="1">
      <alignment horizontal="left"/>
    </xf>
    <xf borderId="13" fillId="16" fontId="1" numFmtId="49" xfId="0" applyAlignment="1" applyBorder="1" applyFill="1" applyFont="1" applyNumberFormat="1">
      <alignment horizontal="left"/>
    </xf>
    <xf borderId="0" fillId="16" fontId="1" numFmtId="49" xfId="0" applyAlignment="1" applyFill="1" applyFont="1" applyNumberFormat="1">
      <alignment horizontal="left" readingOrder="0"/>
    </xf>
    <xf borderId="24" fillId="16" fontId="1" numFmtId="49" xfId="0" applyAlignment="1" applyBorder="1" applyFill="1" applyFont="1" applyNumberFormat="1">
      <alignment horizontal="left"/>
    </xf>
    <xf borderId="39" fillId="16" fontId="1" numFmtId="49" xfId="0" applyAlignment="1" applyBorder="1" applyFill="1" applyFont="1" applyNumberFormat="1">
      <alignment horizontal="center"/>
    </xf>
    <xf borderId="29" fillId="16" fontId="1" numFmtId="49" xfId="0" applyAlignment="1" applyBorder="1" applyFill="1" applyFont="1" applyNumberFormat="1">
      <alignment horizontal="center"/>
    </xf>
    <xf borderId="29" fillId="16" fontId="1" numFmtId="49" xfId="0" applyAlignment="1" applyBorder="1" applyFill="1" applyFont="1" applyNumberFormat="1">
      <alignment horizontal="center" readingOrder="0"/>
    </xf>
    <xf borderId="24" fillId="16" fontId="1" numFmtId="49" xfId="0" applyAlignment="1" applyBorder="1" applyFill="1" applyFont="1" applyNumberFormat="1">
      <alignment horizontal="left" readingOrder="0"/>
    </xf>
    <xf borderId="39" fillId="16" fontId="1" numFmtId="49" xfId="0" applyAlignment="1" applyBorder="1" applyFill="1" applyFont="1" applyNumberFormat="1">
      <alignment horizontal="left"/>
    </xf>
    <xf borderId="29" fillId="16" fontId="1" numFmtId="49" xfId="0" applyAlignment="1" applyBorder="1" applyFill="1" applyFont="1" applyNumberFormat="1">
      <alignment horizontal="left"/>
    </xf>
    <xf borderId="0" fillId="0" fontId="5" numFmtId="0" xfId="0" applyAlignment="1" applyFont="1">
      <alignment horizontal="left" readingOrder="0"/>
    </xf>
    <xf borderId="0" fillId="19" fontId="1" numFmtId="0" xfId="0" applyAlignment="1" applyFill="1" applyFont="1">
      <alignment horizontal="left" readingOrder="0"/>
    </xf>
    <xf borderId="0" fillId="19" fontId="1" numFmtId="0" xfId="0" applyAlignment="1" applyFill="1" applyFont="1">
      <alignment horizontal="right"/>
    </xf>
    <xf borderId="2" fillId="4" fontId="5" numFmtId="0" xfId="0" applyAlignment="1" applyBorder="1" applyFill="1" applyFont="1">
      <alignment horizontal="left" readingOrder="0"/>
    </xf>
    <xf borderId="4" fillId="4" fontId="5" numFmtId="0" xfId="0" applyAlignment="1" applyBorder="1" applyFill="1" applyFont="1">
      <alignment horizontal="left" readingOrder="0"/>
    </xf>
    <xf borderId="5" fillId="4" fontId="5" numFmtId="0" xfId="0" applyAlignment="1" applyBorder="1" applyFill="1" applyFont="1">
      <alignment horizontal="left" readingOrder="0"/>
    </xf>
    <xf borderId="4" fillId="4" fontId="5" numFmtId="0" xfId="0" applyAlignment="1" applyBorder="1" applyFill="1" applyFont="1">
      <alignment horizontal="center" readingOrder="0"/>
    </xf>
    <xf borderId="5" fillId="4" fontId="5" numFmtId="0" xfId="0" applyAlignment="1" applyBorder="1" applyFill="1" applyFont="1">
      <alignment horizontal="center" readingOrder="0"/>
    </xf>
    <xf borderId="12" fillId="16" fontId="26" numFmtId="49" xfId="0" applyAlignment="1" applyBorder="1" applyFill="1" applyFont="1" applyNumberFormat="1">
      <alignment horizontal="left"/>
    </xf>
    <xf borderId="12" fillId="16" fontId="26" numFmtId="0" xfId="0" applyAlignment="1" applyBorder="1" applyFill="1" applyFont="1">
      <alignment horizontal="left"/>
    </xf>
    <xf borderId="0" fillId="16" fontId="1" numFmtId="0" xfId="0" applyAlignment="1" applyFill="1" applyFont="1">
      <alignment horizontal="center"/>
    </xf>
    <xf borderId="13" fillId="16" fontId="1" numFmtId="0" xfId="0" applyAlignment="1" applyBorder="1" applyFill="1" applyFont="1">
      <alignment horizontal="center" readingOrder="0"/>
    </xf>
    <xf borderId="0" fillId="2" fontId="9" numFmtId="0" xfId="0" applyAlignment="1" applyFill="1" applyFont="1">
      <alignment horizontal="left" readingOrder="0" shrinkToFit="0" vertical="center" wrapText="0"/>
    </xf>
    <xf borderId="13" fillId="16" fontId="1" numFmtId="0" xfId="0" applyAlignment="1" applyBorder="1" applyFill="1" applyFont="1">
      <alignment horizontal="center"/>
    </xf>
    <xf borderId="0" fillId="16" fontId="1" numFmtId="0" xfId="0" applyAlignment="1" applyFill="1" applyFont="1">
      <alignment horizontal="left"/>
    </xf>
    <xf borderId="47" fillId="3" fontId="69" numFmtId="0" xfId="0" applyAlignment="1" applyBorder="1" applyFill="1" applyFont="1">
      <alignment horizontal="center" readingOrder="0" shrinkToFit="0" vertical="center" wrapText="0"/>
    </xf>
    <xf borderId="13" fillId="16" fontId="1" numFmtId="0" xfId="0" applyAlignment="1" applyBorder="1" applyFill="1" applyFont="1">
      <alignment horizontal="left"/>
    </xf>
    <xf borderId="47" fillId="3" fontId="7" numFmtId="0" xfId="0" applyAlignment="1" applyBorder="1" applyFill="1" applyFont="1">
      <alignment horizontal="left" readingOrder="0" shrinkToFit="0" vertical="center" wrapText="0"/>
    </xf>
    <xf borderId="47" fillId="3" fontId="7" numFmtId="0" xfId="0" applyAlignment="1" applyBorder="1" applyFill="1" applyFont="1">
      <alignment horizontal="center" readingOrder="0" shrinkToFit="0" vertical="center" wrapText="0"/>
    </xf>
    <xf borderId="6" fillId="3" fontId="69" numFmtId="0" xfId="0" applyAlignment="1" applyBorder="1" applyFill="1" applyFont="1">
      <alignment horizontal="center" readingOrder="0" shrinkToFit="0" vertical="center" wrapText="0"/>
    </xf>
    <xf borderId="12" fillId="16" fontId="1" numFmtId="0" xfId="0" applyAlignment="1" applyBorder="1" applyFill="1" applyFont="1">
      <alignment horizontal="left"/>
    </xf>
    <xf borderId="7" fillId="3" fontId="69" numFmtId="0" xfId="0" applyAlignment="1" applyBorder="1" applyFill="1" applyFont="1">
      <alignment horizontal="center" readingOrder="0" shrinkToFit="0" vertical="center" wrapText="0"/>
    </xf>
    <xf borderId="12" fillId="16" fontId="1" numFmtId="0" xfId="0" applyAlignment="1" applyBorder="1" applyFill="1" applyFont="1">
      <alignment horizontal="left" readingOrder="0"/>
    </xf>
    <xf borderId="6" fillId="3" fontId="69" numFmtId="3" xfId="0" applyAlignment="1" applyBorder="1" applyFill="1" applyFont="1" applyNumberFormat="1">
      <alignment horizontal="center" readingOrder="0" shrinkToFit="0" vertical="center" wrapText="0"/>
    </xf>
    <xf borderId="6" fillId="3" fontId="69" numFmtId="3" xfId="0" applyAlignment="1" applyBorder="1" applyFill="1" applyFont="1" applyNumberFormat="1">
      <alignment horizontal="center" shrinkToFit="0" vertical="center" wrapText="0"/>
    </xf>
    <xf borderId="47" fillId="3" fontId="69" numFmtId="3" xfId="0" applyAlignment="1" applyBorder="1" applyFill="1" applyFont="1" applyNumberFormat="1">
      <alignment horizontal="center" shrinkToFit="0" vertical="center" wrapText="0"/>
    </xf>
    <xf borderId="7" fillId="3" fontId="69" numFmtId="3" xfId="0" applyAlignment="1" applyBorder="1" applyFill="1" applyFont="1" applyNumberFormat="1">
      <alignment horizontal="center" readingOrder="0" shrinkToFit="0" vertical="center" wrapText="0"/>
    </xf>
    <xf borderId="47" fillId="3" fontId="69" numFmtId="3" xfId="0" applyAlignment="1" applyBorder="1" applyFill="1" applyFont="1" applyNumberFormat="1">
      <alignment horizontal="center" readingOrder="0" shrinkToFit="0" vertical="center" wrapText="0"/>
    </xf>
    <xf borderId="6" fillId="3" fontId="7" numFmtId="3" xfId="0" applyAlignment="1" applyBorder="1" applyFill="1" applyFont="1" applyNumberFormat="1">
      <alignment horizontal="center" shrinkToFit="0" vertical="center" wrapText="0"/>
    </xf>
    <xf borderId="7" fillId="3" fontId="7" numFmtId="3" xfId="0" applyAlignment="1" applyBorder="1" applyFill="1" applyFont="1" applyNumberFormat="1">
      <alignment horizontal="center" shrinkToFit="0" vertical="center" wrapText="0"/>
    </xf>
    <xf borderId="46" fillId="3" fontId="7" numFmtId="3" xfId="0" applyAlignment="1" applyBorder="1" applyFill="1" applyFont="1" applyNumberFormat="1">
      <alignment horizontal="center" shrinkToFit="0" vertical="center" wrapText="0"/>
    </xf>
    <xf borderId="6" fillId="5" fontId="7" numFmtId="3" xfId="0" applyAlignment="1" applyBorder="1" applyFill="1" applyFont="1" applyNumberFormat="1">
      <alignment horizontal="center" readingOrder="0" shrinkToFit="0" vertical="center" wrapText="0"/>
    </xf>
    <xf borderId="7" fillId="5" fontId="7" numFmtId="3" xfId="0" applyAlignment="1" applyBorder="1" applyFill="1" applyFont="1" applyNumberFormat="1">
      <alignment horizontal="center" readingOrder="0" shrinkToFit="0" vertical="center" wrapText="0"/>
    </xf>
    <xf borderId="6" fillId="3" fontId="7" numFmtId="3" xfId="0" applyAlignment="1" applyBorder="1" applyFill="1" applyFont="1" applyNumberFormat="1">
      <alignment horizontal="left" shrinkToFit="0" vertical="center" wrapText="0"/>
    </xf>
    <xf borderId="47" fillId="5" fontId="69" numFmtId="0" xfId="0" applyAlignment="1" applyBorder="1" applyFill="1" applyFont="1">
      <alignment horizontal="center" readingOrder="0" shrinkToFit="0" vertical="center" wrapText="0"/>
    </xf>
    <xf borderId="47" fillId="5" fontId="7" numFmtId="0" xfId="0" applyAlignment="1" applyBorder="1" applyFill="1" applyFont="1">
      <alignment horizontal="left" readingOrder="0" shrinkToFit="0" vertical="center" wrapText="0"/>
    </xf>
    <xf borderId="47" fillId="5" fontId="7" numFmtId="0" xfId="0" applyAlignment="1" applyBorder="1" applyFill="1" applyFont="1">
      <alignment horizontal="center" readingOrder="0" shrinkToFit="0" vertical="center" wrapText="0"/>
    </xf>
    <xf borderId="6" fillId="5" fontId="69" numFmtId="0" xfId="0" applyAlignment="1" applyBorder="1" applyFill="1" applyFont="1">
      <alignment horizontal="center" readingOrder="0" shrinkToFit="0" vertical="center" wrapText="0"/>
    </xf>
    <xf borderId="13" fillId="16" fontId="1" numFmtId="0" xfId="0" applyAlignment="1" applyBorder="1" applyFill="1" applyFont="1">
      <alignment horizontal="left" readingOrder="0"/>
    </xf>
    <xf borderId="7" fillId="5" fontId="69" numFmtId="0" xfId="0" applyAlignment="1" applyBorder="1" applyFill="1" applyFont="1">
      <alignment horizontal="center" readingOrder="0" shrinkToFit="0" vertical="center" wrapText="0"/>
    </xf>
    <xf borderId="6" fillId="5" fontId="69" numFmtId="3" xfId="0" applyAlignment="1" applyBorder="1" applyFill="1" applyFont="1" applyNumberFormat="1">
      <alignment horizontal="center" readingOrder="0" shrinkToFit="0" vertical="center" wrapText="0"/>
    </xf>
    <xf borderId="6" fillId="5" fontId="69" numFmtId="3" xfId="0" applyAlignment="1" applyBorder="1" applyFill="1" applyFont="1" applyNumberFormat="1">
      <alignment horizontal="center" shrinkToFit="0" vertical="center" wrapText="0"/>
    </xf>
    <xf borderId="47" fillId="5" fontId="69" numFmtId="3" xfId="0" applyAlignment="1" applyBorder="1" applyFill="1" applyFont="1" applyNumberFormat="1">
      <alignment horizontal="center" shrinkToFit="0" vertical="center" wrapText="0"/>
    </xf>
    <xf borderId="7" fillId="5" fontId="69" numFmtId="3" xfId="0" applyAlignment="1" applyBorder="1" applyFill="1" applyFont="1" applyNumberFormat="1">
      <alignment horizontal="center" readingOrder="0" shrinkToFit="0" vertical="center" wrapText="0"/>
    </xf>
    <xf borderId="47" fillId="5" fontId="69" numFmtId="3" xfId="0" applyAlignment="1" applyBorder="1" applyFill="1" applyFont="1" applyNumberFormat="1">
      <alignment horizontal="center" readingOrder="0" shrinkToFit="0" vertical="center" wrapText="0"/>
    </xf>
    <xf borderId="6" fillId="5" fontId="7" numFmtId="3" xfId="0" applyAlignment="1" applyBorder="1" applyFill="1" applyFont="1" applyNumberFormat="1">
      <alignment horizontal="center" shrinkToFit="0" vertical="center" wrapText="0"/>
    </xf>
    <xf borderId="7" fillId="5" fontId="7" numFmtId="3" xfId="0" applyAlignment="1" applyBorder="1" applyFill="1" applyFont="1" applyNumberFormat="1">
      <alignment horizontal="center" shrinkToFit="0" vertical="center" wrapText="0"/>
    </xf>
    <xf borderId="46" fillId="5" fontId="7" numFmtId="3" xfId="0" applyAlignment="1" applyBorder="1" applyFill="1" applyFont="1" applyNumberFormat="1">
      <alignment horizontal="center" shrinkToFit="0" vertical="center" wrapText="0"/>
    </xf>
    <xf borderId="6" fillId="5" fontId="7" numFmtId="3" xfId="0" applyAlignment="1" applyBorder="1" applyFill="1" applyFont="1" applyNumberFormat="1">
      <alignment horizontal="left" readingOrder="0" shrinkToFit="0" vertical="center" wrapText="0"/>
    </xf>
    <xf borderId="0" fillId="2" fontId="92" numFmtId="0" xfId="0" applyAlignment="1" applyFill="1" applyFont="1">
      <alignment horizontal="left" readingOrder="0" shrinkToFit="0" wrapText="0"/>
    </xf>
    <xf borderId="24" fillId="16" fontId="1" numFmtId="0" xfId="0" applyAlignment="1" applyBorder="1" applyFill="1" applyFont="1">
      <alignment horizontal="left"/>
    </xf>
    <xf borderId="39" fillId="16" fontId="1" numFmtId="0" xfId="0" applyAlignment="1" applyBorder="1" applyFill="1" applyFont="1">
      <alignment horizontal="left"/>
    </xf>
    <xf borderId="29" fillId="16" fontId="1" numFmtId="0" xfId="0" applyAlignment="1" applyBorder="1" applyFill="1" applyFont="1">
      <alignment horizontal="left"/>
    </xf>
    <xf borderId="29" fillId="16" fontId="1" numFmtId="0" xfId="0" applyAlignment="1" applyBorder="1" applyFill="1" applyFont="1">
      <alignment horizontal="left" readingOrder="0"/>
    </xf>
    <xf borderId="24" fillId="16" fontId="1" numFmtId="0" xfId="0" applyAlignment="1" applyBorder="1" applyFill="1" applyFont="1">
      <alignment horizontal="left" readingOrder="0"/>
    </xf>
    <xf borderId="46" fillId="5" fontId="7" numFmtId="3" xfId="0" applyAlignment="1" applyBorder="1" applyFill="1" applyFont="1" applyNumberFormat="1">
      <alignment horizontal="center" readingOrder="0" shrinkToFit="0" vertical="center" wrapText="0"/>
    </xf>
    <xf borderId="6" fillId="5" fontId="7" numFmtId="3" xfId="0" applyAlignment="1" applyBorder="1" applyFill="1" applyFont="1" applyNumberFormat="1">
      <alignment horizontal="left" shrinkToFit="0" vertical="center" wrapText="0"/>
    </xf>
    <xf borderId="85" fillId="6" fontId="1" numFmtId="0" xfId="0" applyAlignment="1" applyBorder="1" applyFill="1" applyFont="1">
      <alignment readingOrder="0"/>
    </xf>
    <xf borderId="86" fillId="6" fontId="1" numFmtId="0" xfId="0" applyAlignment="1" applyBorder="1" applyFill="1" applyFont="1">
      <alignment readingOrder="0"/>
    </xf>
    <xf borderId="86" fillId="6" fontId="26" numFmtId="0" xfId="0" applyAlignment="1" applyBorder="1" applyFill="1" applyFont="1">
      <alignment readingOrder="0"/>
    </xf>
    <xf borderId="0" fillId="0" fontId="1" numFmtId="9" xfId="0" applyAlignment="1" applyFont="1" applyNumberFormat="1">
      <alignment readingOrder="0"/>
    </xf>
    <xf borderId="82" fillId="6" fontId="1" numFmtId="0" xfId="0" applyBorder="1" applyFill="1" applyFont="1"/>
    <xf borderId="0" fillId="0" fontId="26" numFmtId="0" xfId="0" applyAlignment="1" applyFont="1">
      <alignment readingOrder="0"/>
    </xf>
    <xf borderId="0" fillId="0" fontId="4" numFmtId="0" xfId="0" applyAlignment="1" applyFont="1">
      <alignment horizontal="left" readingOrder="0" vertical="bottom"/>
    </xf>
    <xf borderId="0" fillId="0" fontId="1" numFmtId="0" xfId="0" applyAlignment="1" applyFont="1">
      <alignment horizontal="center" readingOrder="0" vertical="bottom"/>
    </xf>
    <xf borderId="0" fillId="0" fontId="1" numFmtId="0" xfId="0" applyAlignment="1" applyFont="1">
      <alignment horizontal="center" vertical="bottom"/>
    </xf>
    <xf borderId="0" fillId="0" fontId="1" numFmtId="9" xfId="0" applyAlignment="1" applyFont="1" applyNumberFormat="1">
      <alignment horizontal="center" readingOrder="0"/>
    </xf>
    <xf borderId="0" fillId="0" fontId="1" numFmtId="3" xfId="0" applyAlignment="1" applyFont="1" applyNumberFormat="1">
      <alignment horizontal="center" readingOrder="0"/>
    </xf>
    <xf borderId="0" fillId="0" fontId="1" numFmtId="0" xfId="0" applyAlignment="1" applyFont="1">
      <alignment horizontal="center" readingOrder="0"/>
    </xf>
    <xf borderId="0" fillId="0" fontId="1" numFmtId="3" xfId="0" applyAlignment="1" applyFont="1" applyNumberFormat="1">
      <alignment readingOrder="0"/>
    </xf>
    <xf borderId="16" fillId="6" fontId="29" numFmtId="0" xfId="0" applyAlignment="1" applyBorder="1" applyFill="1" applyFont="1">
      <alignment readingOrder="0"/>
    </xf>
    <xf borderId="47" fillId="5" fontId="69" numFmtId="0" xfId="0" applyAlignment="1" applyBorder="1" applyFill="1" applyFont="1">
      <alignment horizontal="left" readingOrder="0" shrinkToFit="0" vertical="center" wrapText="0"/>
    </xf>
    <xf borderId="16" fillId="3" fontId="1" numFmtId="0" xfId="0" applyAlignment="1" applyBorder="1" applyFill="1" applyFont="1">
      <alignment horizontal="center"/>
    </xf>
    <xf borderId="0" fillId="0" fontId="4" numFmtId="0" xfId="0" applyAlignment="1" applyFont="1">
      <alignment vertical="bottom"/>
    </xf>
    <xf borderId="0" fillId="0" fontId="26" numFmtId="9" xfId="0" applyAlignment="1" applyFont="1" applyNumberFormat="1">
      <alignment vertical="bottom"/>
    </xf>
    <xf borderId="0" fillId="0" fontId="26" numFmtId="0" xfId="0" applyAlignment="1" applyFont="1">
      <alignment readingOrder="0" vertical="bottom"/>
    </xf>
    <xf borderId="1" fillId="6" fontId="5" numFmtId="0" xfId="0" applyAlignment="1" applyBorder="1" applyFill="1" applyFont="1">
      <alignment readingOrder="0"/>
    </xf>
    <xf borderId="3" fillId="6" fontId="1" numFmtId="0" xfId="0" applyBorder="1" applyFill="1" applyFont="1"/>
    <xf borderId="0" fillId="0" fontId="26" numFmtId="0" xfId="0" applyAlignment="1" applyFont="1">
      <alignment horizontal="right" vertical="bottom"/>
    </xf>
    <xf borderId="0" fillId="0" fontId="26" numFmtId="9" xfId="0" applyAlignment="1" applyFont="1" applyNumberFormat="1">
      <alignment horizontal="right" vertical="bottom"/>
    </xf>
    <xf borderId="1" fillId="0" fontId="7" numFmtId="0" xfId="0" applyAlignment="1" applyBorder="1" applyFont="1">
      <alignment horizontal="left" shrinkToFit="0" vertical="center" wrapText="0"/>
    </xf>
    <xf borderId="13" fillId="3" fontId="26" numFmtId="0" xfId="0" applyBorder="1" applyFill="1" applyFont="1"/>
    <xf borderId="16" fillId="5" fontId="1" numFmtId="0" xfId="0" applyAlignment="1" applyBorder="1" applyFill="1" applyFont="1">
      <alignment horizontal="center" readingOrder="0"/>
    </xf>
    <xf borderId="16" fillId="5" fontId="29" numFmtId="0" xfId="0" applyAlignment="1" applyBorder="1" applyFill="1" applyFont="1">
      <alignment readingOrder="0"/>
    </xf>
    <xf borderId="0" fillId="0" fontId="26" numFmtId="0" xfId="0" applyAlignment="1" applyFont="1">
      <alignment horizontal="right" readingOrder="0" vertical="bottom"/>
    </xf>
    <xf borderId="0" fillId="0" fontId="26" numFmtId="9" xfId="0" applyAlignment="1" applyFont="1" applyNumberFormat="1">
      <alignment horizontal="right" readingOrder="0" vertical="bottom"/>
    </xf>
    <xf borderId="13" fillId="3" fontId="1" numFmtId="0" xfId="0" applyBorder="1" applyFill="1" applyFont="1"/>
    <xf borderId="16" fillId="6" fontId="1" numFmtId="0" xfId="0" applyAlignment="1" applyBorder="1" applyFill="1" applyFont="1">
      <alignment readingOrder="0"/>
    </xf>
    <xf borderId="85" fillId="3" fontId="1" numFmtId="0" xfId="0" applyAlignment="1" applyBorder="1" applyFill="1" applyFont="1">
      <alignment horizontal="left"/>
    </xf>
    <xf borderId="85" fillId="3" fontId="1" numFmtId="0" xfId="0" applyAlignment="1" applyBorder="1" applyFill="1" applyFont="1">
      <alignment horizontal="center"/>
    </xf>
    <xf borderId="146" fillId="6" fontId="1" numFmtId="0" xfId="0" applyAlignment="1" applyBorder="1" applyFill="1" applyFont="1">
      <alignment readingOrder="0"/>
    </xf>
    <xf borderId="54" fillId="3" fontId="1" numFmtId="0" xfId="0" applyAlignment="1" applyBorder="1" applyFill="1" applyFont="1">
      <alignment horizontal="left"/>
    </xf>
    <xf borderId="54" fillId="3" fontId="1" numFmtId="0" xfId="0" applyAlignment="1" applyBorder="1" applyFill="1" applyFont="1">
      <alignment horizontal="center"/>
    </xf>
    <xf borderId="147" fillId="3" fontId="1" numFmtId="0" xfId="0" applyAlignment="1" applyBorder="1" applyFill="1" applyFont="1">
      <alignment horizontal="center"/>
    </xf>
    <xf borderId="0" fillId="0" fontId="26" numFmtId="0" xfId="0" applyFont="1"/>
    <xf borderId="0" fillId="0" fontId="4" numFmtId="0" xfId="0" applyAlignment="1" applyFont="1">
      <alignment readingOrder="0" vertical="bottom"/>
    </xf>
    <xf borderId="0" fillId="2" fontId="7" numFmtId="0" xfId="0" applyAlignment="1" applyFill="1" applyFont="1">
      <alignment horizontal="center" readingOrder="0" shrinkToFit="0" vertical="center" wrapText="0"/>
    </xf>
    <xf borderId="0" fillId="2" fontId="7" numFmtId="0" xfId="0" applyAlignment="1" applyFill="1" applyFont="1">
      <alignment horizontal="center" readingOrder="0" shrinkToFit="0" wrapText="0"/>
    </xf>
    <xf borderId="24" fillId="3" fontId="1" numFmtId="0" xfId="0" applyBorder="1" applyFill="1" applyFont="1"/>
    <xf borderId="29" fillId="3" fontId="1" numFmtId="0" xfId="0" applyBorder="1" applyFill="1" applyFont="1"/>
    <xf borderId="0" fillId="2" fontId="7" numFmtId="0" xfId="0" applyAlignment="1" applyFill="1" applyFont="1">
      <alignment horizontal="center" shrinkToFit="0" wrapText="0"/>
    </xf>
    <xf borderId="47" fillId="13" fontId="69" numFmtId="0" xfId="0" applyAlignment="1" applyBorder="1" applyFill="1" applyFont="1">
      <alignment horizontal="center" readingOrder="0" shrinkToFit="0" vertical="center" wrapText="0"/>
    </xf>
    <xf borderId="47" fillId="13" fontId="7" numFmtId="0" xfId="0" applyAlignment="1" applyBorder="1" applyFill="1" applyFont="1">
      <alignment horizontal="left" readingOrder="0" shrinkToFit="0" vertical="center" wrapText="0"/>
    </xf>
    <xf borderId="0" fillId="0" fontId="26" numFmtId="9" xfId="0" applyFont="1" applyNumberFormat="1"/>
    <xf borderId="6" fillId="13" fontId="69" numFmtId="0" xfId="0" applyAlignment="1" applyBorder="1" applyFill="1" applyFont="1">
      <alignment horizontal="center" readingOrder="0" shrinkToFit="0" vertical="center" wrapText="0"/>
    </xf>
    <xf borderId="0" fillId="0" fontId="94" numFmtId="0" xfId="0" applyAlignment="1" applyFont="1">
      <alignment horizontal="left" readingOrder="0" shrinkToFit="0" vertical="center" wrapText="0"/>
    </xf>
    <xf borderId="7" fillId="13" fontId="69" numFmtId="0" xfId="0" applyAlignment="1" applyBorder="1" applyFill="1" applyFont="1">
      <alignment horizontal="center" readingOrder="0" shrinkToFit="0" vertical="center" wrapText="0"/>
    </xf>
    <xf borderId="1" fillId="0" fontId="1" numFmtId="0" xfId="0" applyAlignment="1" applyBorder="1" applyFont="1">
      <alignment readingOrder="0"/>
    </xf>
    <xf borderId="6" fillId="13" fontId="69" numFmtId="3" xfId="0" applyAlignment="1" applyBorder="1" applyFill="1" applyFont="1" applyNumberFormat="1">
      <alignment horizontal="center" readingOrder="0" shrinkToFit="0" vertical="center" wrapText="0"/>
    </xf>
    <xf borderId="13" fillId="0" fontId="1" numFmtId="0" xfId="0" applyAlignment="1" applyBorder="1" applyFont="1">
      <alignment readingOrder="0"/>
    </xf>
    <xf borderId="7" fillId="13" fontId="69" numFmtId="3" xfId="0" applyAlignment="1" applyBorder="1" applyFill="1" applyFont="1" applyNumberFormat="1">
      <alignment horizontal="center" readingOrder="0" shrinkToFit="0" vertical="center" wrapText="0"/>
    </xf>
    <xf borderId="6" fillId="13" fontId="7" numFmtId="3" xfId="0" applyAlignment="1" applyBorder="1" applyFill="1" applyFont="1" applyNumberFormat="1">
      <alignment horizontal="center" readingOrder="0" shrinkToFit="0" vertical="center" wrapText="0"/>
    </xf>
    <xf quotePrefix="1" borderId="0" fillId="0" fontId="26" numFmtId="0" xfId="0" applyAlignment="1" applyFont="1">
      <alignment vertical="bottom"/>
    </xf>
    <xf borderId="47" fillId="13" fontId="7" numFmtId="3" xfId="0" applyAlignment="1" applyBorder="1" applyFill="1" applyFont="1" applyNumberFormat="1">
      <alignment horizontal="center" readingOrder="0" shrinkToFit="0" vertical="center" wrapText="0"/>
    </xf>
    <xf borderId="7" fillId="13" fontId="7" numFmtId="3" xfId="0" applyAlignment="1" applyBorder="1" applyFill="1" applyFont="1" applyNumberFormat="1">
      <alignment horizontal="center" readingOrder="0" shrinkToFit="0" vertical="center" wrapText="0"/>
    </xf>
    <xf borderId="46" fillId="13" fontId="7" numFmtId="0" xfId="0" applyAlignment="1" applyBorder="1" applyFill="1" applyFont="1">
      <alignment horizontal="center" vertical="center"/>
    </xf>
    <xf borderId="0" fillId="0" fontId="26" numFmtId="9" xfId="0" applyAlignment="1" applyFont="1" applyNumberFormat="1">
      <alignment readingOrder="0" vertical="bottom"/>
    </xf>
    <xf borderId="6" fillId="13" fontId="7" numFmtId="0" xfId="0" applyAlignment="1" applyBorder="1" applyFill="1" applyFont="1">
      <alignment horizontal="center" vertical="center"/>
    </xf>
    <xf borderId="7" fillId="13" fontId="7" numFmtId="0" xfId="0" applyAlignment="1" applyBorder="1" applyFill="1" applyFont="1">
      <alignment horizontal="center" vertical="center"/>
    </xf>
    <xf borderId="0" fillId="0" fontId="26" numFmtId="0" xfId="0" applyAlignment="1" applyFont="1">
      <alignment horizontal="left" shrinkToFit="0" wrapText="0"/>
    </xf>
    <xf borderId="0" fillId="0" fontId="26" numFmtId="0" xfId="0" applyAlignment="1" applyFont="1">
      <alignment horizontal="left"/>
    </xf>
    <xf borderId="6" fillId="13" fontId="7" numFmtId="0" xfId="0" applyAlignment="1" applyBorder="1" applyFill="1" applyFont="1">
      <alignment horizontal="left" vertical="center"/>
    </xf>
    <xf borderId="0" fillId="0" fontId="26" numFmtId="0" xfId="0" applyAlignment="1" applyFont="1">
      <alignment horizontal="left"/>
    </xf>
    <xf borderId="0" fillId="0" fontId="26" numFmtId="3" xfId="0" applyAlignment="1" applyFont="1" applyNumberFormat="1">
      <alignment horizontal="center" vertical="bottom"/>
    </xf>
    <xf borderId="0" fillId="0" fontId="26" numFmtId="3" xfId="0" applyAlignment="1" applyFont="1" applyNumberFormat="1">
      <alignment horizontal="center"/>
    </xf>
    <xf borderId="0" fillId="0" fontId="1" numFmtId="3" xfId="0" applyAlignment="1" applyFont="1" applyNumberFormat="1">
      <alignment horizontal="center"/>
    </xf>
    <xf borderId="0" fillId="10" fontId="26" numFmtId="0" xfId="0" applyAlignment="1" applyFill="1" applyFont="1">
      <alignment horizontal="center"/>
    </xf>
    <xf borderId="0" fillId="0" fontId="26" numFmtId="0" xfId="0" applyAlignment="1" applyFont="1">
      <alignment horizontal="center"/>
    </xf>
    <xf borderId="0" fillId="0" fontId="26" numFmtId="0" xfId="0" applyAlignment="1" applyFont="1">
      <alignment horizontal="center"/>
    </xf>
    <xf borderId="0" fillId="10" fontId="12" numFmtId="0" xfId="0" applyAlignment="1" applyFill="1" applyFont="1">
      <alignment horizontal="right" readingOrder="0" vertical="center"/>
    </xf>
    <xf borderId="0" fillId="0" fontId="26" numFmtId="3" xfId="0" applyAlignment="1" applyFont="1" applyNumberFormat="1">
      <alignment horizontal="center" readingOrder="0" vertical="bottom"/>
    </xf>
    <xf borderId="0" fillId="0" fontId="95" numFmtId="0" xfId="0" applyAlignment="1" applyFont="1">
      <alignment horizontal="center" readingOrder="0"/>
    </xf>
    <xf borderId="0" fillId="0" fontId="95" numFmtId="0" xfId="0" applyAlignment="1" applyFont="1">
      <alignment horizontal="center"/>
    </xf>
    <xf borderId="0" fillId="0" fontId="95" numFmtId="0" xfId="0" applyAlignment="1" applyFont="1">
      <alignment horizontal="center"/>
    </xf>
    <xf borderId="47" fillId="13" fontId="69" numFmtId="3" xfId="0" applyAlignment="1" applyBorder="1" applyFill="1" applyFont="1" applyNumberFormat="1">
      <alignment horizontal="center" readingOrder="0" shrinkToFit="0" vertical="center" wrapText="0"/>
    </xf>
    <xf borderId="46" fillId="13" fontId="7" numFmtId="3" xfId="0" applyAlignment="1" applyBorder="1" applyFill="1" applyFont="1" applyNumberFormat="1">
      <alignment horizontal="center" shrinkToFit="0" vertical="center" wrapText="0"/>
    </xf>
    <xf borderId="6" fillId="13" fontId="7" numFmtId="3" xfId="0" applyAlignment="1" applyBorder="1" applyFill="1" applyFont="1" applyNumberFormat="1">
      <alignment horizontal="center" shrinkToFit="0" vertical="center" wrapText="0"/>
    </xf>
    <xf borderId="7" fillId="13" fontId="7" numFmtId="3" xfId="0" applyAlignment="1" applyBorder="1" applyFill="1" applyFont="1" applyNumberFormat="1">
      <alignment horizontal="center" shrinkToFit="0" vertical="center" wrapText="0"/>
    </xf>
    <xf borderId="0" fillId="0" fontId="1" numFmtId="3" xfId="0" applyFont="1" applyNumberFormat="1"/>
    <xf borderId="6" fillId="13" fontId="7" numFmtId="3" xfId="0" applyAlignment="1" applyBorder="1" applyFill="1" applyFont="1" applyNumberFormat="1">
      <alignment horizontal="left" shrinkToFit="0" vertical="center" wrapText="0"/>
    </xf>
    <xf borderId="0" fillId="2" fontId="96" numFmtId="0" xfId="0" applyAlignment="1" applyFill="1" applyFont="1">
      <alignment horizontal="left" shrinkToFit="0" wrapText="0"/>
    </xf>
    <xf borderId="0" fillId="0" fontId="1" numFmtId="4" xfId="0" applyAlignment="1" applyFont="1" applyNumberFormat="1">
      <alignment readingOrder="0"/>
    </xf>
    <xf borderId="0" fillId="0" fontId="1" numFmtId="4" xfId="0" applyFont="1" applyNumberFormat="1"/>
    <xf borderId="0" fillId="0" fontId="5" numFmtId="0" xfId="0" applyAlignment="1" applyFont="1">
      <alignment readingOrder="0"/>
    </xf>
    <xf borderId="17" fillId="2" fontId="97" numFmtId="0" xfId="0" applyAlignment="1" applyBorder="1" applyFill="1" applyFont="1">
      <alignment horizontal="left" readingOrder="0" shrinkToFit="0" vertical="center" wrapText="0"/>
    </xf>
    <xf borderId="17" fillId="2" fontId="5" numFmtId="0" xfId="0" applyBorder="1" applyFill="1" applyFont="1"/>
    <xf borderId="17" fillId="2" fontId="97" numFmtId="0" xfId="0" applyAlignment="1" applyBorder="1" applyFill="1" applyFont="1">
      <alignment horizontal="left" readingOrder="0" shrinkToFit="0" vertical="center" wrapText="0"/>
    </xf>
    <xf borderId="0" fillId="26" fontId="1" numFmtId="0" xfId="0" applyFill="1" applyFont="1"/>
    <xf borderId="6" fillId="13" fontId="69" numFmtId="3" xfId="0" applyAlignment="1" applyBorder="1" applyFill="1" applyFont="1" applyNumberFormat="1">
      <alignment horizontal="center" shrinkToFit="0" vertical="center" wrapText="0"/>
    </xf>
    <xf borderId="26" fillId="2" fontId="97" numFmtId="0" xfId="0" applyAlignment="1" applyBorder="1" applyFill="1" applyFont="1">
      <alignment horizontal="left" readingOrder="0" shrinkToFit="0" vertical="center" wrapText="0"/>
    </xf>
    <xf borderId="6" fillId="13" fontId="7" numFmtId="3" xfId="0" applyAlignment="1" applyBorder="1" applyFill="1" applyFont="1" applyNumberFormat="1">
      <alignment horizontal="left" readingOrder="0" shrinkToFit="0" vertical="center" wrapText="0"/>
    </xf>
    <xf borderId="17" fillId="2" fontId="87" numFmtId="0" xfId="0" applyAlignment="1" applyBorder="1" applyFill="1" applyFont="1">
      <alignment horizontal="left" readingOrder="0" shrinkToFit="0" vertical="center" wrapText="0"/>
    </xf>
    <xf borderId="26" fillId="2" fontId="26" numFmtId="0" xfId="0" applyAlignment="1" applyBorder="1" applyFill="1" applyFont="1">
      <alignment readingOrder="0"/>
    </xf>
    <xf borderId="17" fillId="2" fontId="87" numFmtId="0" xfId="0" applyAlignment="1" applyBorder="1" applyFill="1" applyFont="1">
      <alignment horizontal="left" readingOrder="0" shrinkToFit="0" vertical="center" wrapText="0"/>
    </xf>
    <xf borderId="7" fillId="13" fontId="69" numFmtId="3" xfId="0" applyAlignment="1" applyBorder="1" applyFill="1" applyFont="1" applyNumberFormat="1">
      <alignment horizontal="center" shrinkToFit="0" vertical="center" wrapText="0"/>
    </xf>
    <xf borderId="47" fillId="13" fontId="69" numFmtId="3" xfId="0" applyAlignment="1" applyBorder="1" applyFill="1" applyFont="1" applyNumberFormat="1">
      <alignment horizontal="center" shrinkToFit="0" vertical="center" wrapText="0"/>
    </xf>
    <xf borderId="6" fillId="3" fontId="7" numFmtId="4" xfId="0" applyAlignment="1" applyBorder="1" applyFill="1" applyFont="1" applyNumberFormat="1">
      <alignment horizontal="center" shrinkToFit="0" vertical="center" wrapText="0"/>
    </xf>
    <xf borderId="7" fillId="3" fontId="7" numFmtId="4" xfId="0" applyAlignment="1" applyBorder="1" applyFill="1" applyFont="1" applyNumberFormat="1">
      <alignment horizontal="center" shrinkToFit="0" vertical="center" wrapText="0"/>
    </xf>
  </cellXfs>
  <cellStyles count="1">
    <cellStyle xfId="0" name="Normal" builtinId="0"/>
  </cellStyles>
  <dxfs count="9">
    <dxf>
      <font/>
      <fill>
        <patternFill patternType="solid">
          <fgColor rgb="FFD9EAD3"/>
          <bgColor rgb="FFD9EAD3"/>
        </patternFill>
      </fill>
      <border/>
    </dxf>
    <dxf>
      <font/>
      <fill>
        <patternFill patternType="solid">
          <fgColor rgb="FFF4CCCC"/>
          <bgColor rgb="FFF4CCCC"/>
        </patternFill>
      </fill>
      <border/>
    </dxf>
    <dxf>
      <font/>
      <fill>
        <patternFill patternType="solid">
          <fgColor rgb="FFE6B8AF"/>
          <bgColor rgb="FFE6B8AF"/>
        </patternFill>
      </fill>
      <border/>
    </dxf>
    <dxf>
      <font>
        <b/>
      </font>
      <fill>
        <patternFill patternType="solid">
          <fgColor rgb="FFD9EAD3"/>
          <bgColor rgb="FFD9EAD3"/>
        </patternFill>
      </fill>
      <border/>
    </dxf>
    <dxf>
      <font>
        <b/>
      </font>
      <fill>
        <patternFill patternType="solid">
          <fgColor rgb="FFE6B8AF"/>
          <bgColor rgb="FFE6B8AF"/>
        </patternFill>
      </fill>
      <border/>
    </dxf>
    <dxf>
      <font>
        <color rgb="FFFF9900"/>
      </font>
      <fill>
        <patternFill patternType="solid">
          <fgColor rgb="FF000000"/>
          <bgColor rgb="FF000000"/>
        </patternFill>
      </fill>
      <border/>
    </dxf>
    <dxf>
      <font>
        <color rgb="FFFF0000"/>
      </font>
      <fill>
        <patternFill patternType="solid">
          <fgColor rgb="FF000000"/>
          <bgColor rgb="FF000000"/>
        </patternFill>
      </fill>
      <border/>
    </dxf>
    <dxf>
      <font>
        <color rgb="FF9900FF"/>
      </font>
      <fill>
        <patternFill patternType="solid">
          <fgColor rgb="FF000000"/>
          <bgColor rgb="FF000000"/>
        </patternFill>
      </fill>
      <border/>
    </dxf>
    <dxf>
      <font>
        <color rgb="FF666666"/>
      </font>
      <fill>
        <patternFill patternType="solid">
          <fgColor rgb="FFD9D9D9"/>
          <bgColor rgb="FFD9D9D9"/>
        </patternFill>
      </fill>
      <border/>
    </dxf>
  </dxf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942975</xdr:colOff>
      <xdr:row>3</xdr:row>
      <xdr:rowOff>190500</xdr:rowOff>
    </xdr:from>
    <xdr:ext cx="1924050" cy="762000"/>
    <xdr:sp>
      <xdr:nvSpPr>
        <xdr:cNvPr id="3" name="Shape 3"/>
        <xdr:cNvSpPr txBox="1"/>
      </xdr:nvSpPr>
      <xdr:spPr>
        <a:xfrm>
          <a:off x="2667000" y="762000"/>
          <a:ext cx="1904700" cy="714300"/>
        </a:xfrm>
        <a:prstGeom prst="rect">
          <a:avLst/>
        </a:prstGeom>
        <a:no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600">
              <a:solidFill>
                <a:srgbClr val="1155CC"/>
              </a:solidFill>
            </a:rPr>
            <a:t>CLICK HERE </a:t>
          </a:r>
          <a:endParaRPr b="1" sz="1600">
            <a:solidFill>
              <a:srgbClr val="1155CC"/>
            </a:solidFill>
          </a:endParaRPr>
        </a:p>
        <a:p>
          <a:pPr indent="0" lvl="0" marL="0" rtl="0" algn="ctr">
            <a:spcBef>
              <a:spcPts val="0"/>
            </a:spcBef>
            <a:spcAft>
              <a:spcPts val="0"/>
            </a:spcAft>
            <a:buNone/>
          </a:pPr>
          <a:r>
            <a:rPr b="1" lang="en-US" sz="1600">
              <a:solidFill>
                <a:srgbClr val="1155CC"/>
              </a:solidFill>
            </a:rPr>
            <a:t>TO CLEAR ALL </a:t>
          </a:r>
          <a:endParaRPr b="1" sz="1600">
            <a:solidFill>
              <a:srgbClr val="1155CC"/>
            </a:solidFill>
          </a:endParaRPr>
        </a:p>
        <a:p>
          <a:pPr indent="0" lvl="0" marL="0" rtl="0" algn="ctr">
            <a:spcBef>
              <a:spcPts val="0"/>
            </a:spcBef>
            <a:spcAft>
              <a:spcPts val="0"/>
            </a:spcAft>
            <a:buNone/>
          </a:pPr>
          <a:r>
            <a:rPr b="1" lang="en-US" sz="1600">
              <a:solidFill>
                <a:srgbClr val="1155CC"/>
              </a:solidFill>
            </a:rPr>
            <a:t>FILLABLE CELLS</a:t>
          </a:r>
          <a:endParaRPr b="1" sz="1600">
            <a:solidFill>
              <a:srgbClr val="1155CC"/>
            </a:solidFill>
          </a:endParaRPr>
        </a:p>
      </xdr:txBody>
    </xdr: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0</xdr:colOff>
      <xdr:row>3</xdr:row>
      <xdr:rowOff>0</xdr:rowOff>
    </xdr:from>
    <xdr:ext cx="247650" cy="571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www.paypal.com/cgi-bin/webscr?cmd=_donations&amp;business=SQ5H3R27U4L68&amp;lc=US&amp;item_name=Automated%20Pathfinder%20Character%20Sheet&amp;currency_code=USD&amp;bn=PP%2dDonationsBF%3abtn_donate_SM%2egif%3aNonHosted" TargetMode="External"/><Relationship Id="rId3" Type="http://schemas.openxmlformats.org/officeDocument/2006/relationships/drawing" Target="../drawings/drawing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hyperlink" Target="https://www.finalfantasyd20.com/magic/mp-system/" TargetMode="External"/><Relationship Id="rId3" Type="http://schemas.openxmlformats.org/officeDocument/2006/relationships/drawing" Target="../drawings/drawing4.xml"/><Relationship Id="rId4"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40" Type="http://schemas.openxmlformats.org/officeDocument/2006/relationships/hyperlink" Target="https://www.finalfantasyd20.com/classes/miscellaneous-classes/arithmetician/" TargetMode="External"/><Relationship Id="rId20" Type="http://schemas.openxmlformats.org/officeDocument/2006/relationships/hyperlink" Target="https://www.finalfantasyd20.com/classes/base-classes/dark-knight/" TargetMode="External"/><Relationship Id="rId42" Type="http://schemas.openxmlformats.org/officeDocument/2006/relationships/drawing" Target="../drawings/drawing5.xml"/><Relationship Id="rId41" Type="http://schemas.openxmlformats.org/officeDocument/2006/relationships/hyperlink" Target="http://spheresofpower.wikidot.com/braggart" TargetMode="External"/><Relationship Id="rId22" Type="http://schemas.openxmlformats.org/officeDocument/2006/relationships/hyperlink" Target="https://www.finalfantasyd20.com/classes/base-classes/gambler/" TargetMode="External"/><Relationship Id="rId21" Type="http://schemas.openxmlformats.org/officeDocument/2006/relationships/hyperlink" Target="https://www.finalfantasyd20.com/classes/base-classes/engineer/" TargetMode="External"/><Relationship Id="rId43" Type="http://schemas.openxmlformats.org/officeDocument/2006/relationships/vmlDrawing" Target="../drawings/vmlDrawing5.vml"/><Relationship Id="rId24" Type="http://schemas.openxmlformats.org/officeDocument/2006/relationships/hyperlink" Target="https://www.finalfantasyd20.com/classes/base-classes/gunner/" TargetMode="External"/><Relationship Id="rId23" Type="http://schemas.openxmlformats.org/officeDocument/2006/relationships/hyperlink" Target="https://www.finalfantasyd20.com/classes/base-classes/geomancer/" TargetMode="External"/><Relationship Id="rId1" Type="http://schemas.openxmlformats.org/officeDocument/2006/relationships/comments" Target="../comments5.xml"/><Relationship Id="rId2" Type="http://schemas.openxmlformats.org/officeDocument/2006/relationships/hyperlink" Target="https://docs.google.com/document/d/1M6U4YQde4dtWG4x79DIhhUpFrtOTBWSWUerb9okNN60/edit?usp=sharing" TargetMode="External"/><Relationship Id="rId3" Type="http://schemas.openxmlformats.org/officeDocument/2006/relationships/hyperlink" Target="https://www.finalfantasyd20.com/classes/core-classes/archer/" TargetMode="External"/><Relationship Id="rId4" Type="http://schemas.openxmlformats.org/officeDocument/2006/relationships/hyperlink" Target="https://www.finalfantasyd20.com/classes/core-classes/bard/" TargetMode="External"/><Relationship Id="rId9" Type="http://schemas.openxmlformats.org/officeDocument/2006/relationships/hyperlink" Target="https://www.finalfantasyd20.com/classes/core-classes/monk/" TargetMode="External"/><Relationship Id="rId26" Type="http://schemas.openxmlformats.org/officeDocument/2006/relationships/hyperlink" Target="https://www.finalfantasyd20.com/classes/base-classes/illusionist/" TargetMode="External"/><Relationship Id="rId25" Type="http://schemas.openxmlformats.org/officeDocument/2006/relationships/hyperlink" Target="https://www.finalfantasyd20.com/classes/base-classes/holy-knight/" TargetMode="External"/><Relationship Id="rId28" Type="http://schemas.openxmlformats.org/officeDocument/2006/relationships/hyperlink" Target="https://www.finalfantasyd20.com/classes/base-classes/necromancer/" TargetMode="External"/><Relationship Id="rId27" Type="http://schemas.openxmlformats.org/officeDocument/2006/relationships/hyperlink" Target="https://www.finalfantasyd20.com/classes/base-classes/medic/" TargetMode="External"/><Relationship Id="rId5" Type="http://schemas.openxmlformats.org/officeDocument/2006/relationships/hyperlink" Target="https://www.finalfantasyd20.com/classes/core-classes/beastmaster/" TargetMode="External"/><Relationship Id="rId6" Type="http://schemas.openxmlformats.org/officeDocument/2006/relationships/hyperlink" Target="https://www.finalfantasyd20.com/classes/core-classes/black-mage/" TargetMode="External"/><Relationship Id="rId29" Type="http://schemas.openxmlformats.org/officeDocument/2006/relationships/hyperlink" Target="https://www.finalfantasyd20.com/classes/base-classes/summoner/" TargetMode="External"/><Relationship Id="rId7" Type="http://schemas.openxmlformats.org/officeDocument/2006/relationships/hyperlink" Target="https://www.finalfantasyd20.com/classes/core-classes/dragoon/" TargetMode="External"/><Relationship Id="rId8" Type="http://schemas.openxmlformats.org/officeDocument/2006/relationships/hyperlink" Target="https://www.finalfantasyd20.com/classes/core-classes/knight/" TargetMode="External"/><Relationship Id="rId31" Type="http://schemas.openxmlformats.org/officeDocument/2006/relationships/hyperlink" Target="https://www.finalfantasyd20.com/classes/hybrid-classes/black-belt/" TargetMode="External"/><Relationship Id="rId30" Type="http://schemas.openxmlformats.org/officeDocument/2006/relationships/hyperlink" Target="https://www.finalfantasyd20.com/classes/base-classes/time-mage/" TargetMode="External"/><Relationship Id="rId11" Type="http://schemas.openxmlformats.org/officeDocument/2006/relationships/hyperlink" Target="https://www.finalfantasyd20.com/classes/core-classes/thief/" TargetMode="External"/><Relationship Id="rId33" Type="http://schemas.openxmlformats.org/officeDocument/2006/relationships/hyperlink" Target="https://www.finalfantasyd20.com/classes/hybrid-classes/druid/" TargetMode="External"/><Relationship Id="rId10" Type="http://schemas.openxmlformats.org/officeDocument/2006/relationships/hyperlink" Target="https://www.finalfantasyd20.com/classes/core-classes/red-mage/" TargetMode="External"/><Relationship Id="rId32" Type="http://schemas.openxmlformats.org/officeDocument/2006/relationships/hyperlink" Target="https://www.finalfantasyd20.com/classes/hybrid-classes/dancer/" TargetMode="External"/><Relationship Id="rId13" Type="http://schemas.openxmlformats.org/officeDocument/2006/relationships/hyperlink" Target="https://www.finalfantasyd20.com/classes/core-classes/white-mage/" TargetMode="External"/><Relationship Id="rId35" Type="http://schemas.openxmlformats.org/officeDocument/2006/relationships/hyperlink" Target="https://www.finalfantasyd20.com/classes/hybrid-classes/gunbreaker/" TargetMode="External"/><Relationship Id="rId12" Type="http://schemas.openxmlformats.org/officeDocument/2006/relationships/hyperlink" Target="https://www.finalfantasyd20.com/classes/core-classes/warrior/" TargetMode="External"/><Relationship Id="rId34" Type="http://schemas.openxmlformats.org/officeDocument/2006/relationships/hyperlink" Target="https://www.finalfantasyd20.com/classes/hybrid-classes/fencer/" TargetMode="External"/><Relationship Id="rId15" Type="http://schemas.openxmlformats.org/officeDocument/2006/relationships/hyperlink" Target="https://www.finalfantasyd20.com/classes/base-classes/berserker/" TargetMode="External"/><Relationship Id="rId37" Type="http://schemas.openxmlformats.org/officeDocument/2006/relationships/hyperlink" Target="https://www.finalfantasyd20.com/classes/hybrid-classes/samurai/" TargetMode="External"/><Relationship Id="rId14" Type="http://schemas.openxmlformats.org/officeDocument/2006/relationships/hyperlink" Target="https://www.finalfantasyd20.com/classes/base-classes/astrologian/" TargetMode="External"/><Relationship Id="rId36" Type="http://schemas.openxmlformats.org/officeDocument/2006/relationships/hyperlink" Target="https://www.finalfantasyd20.com/classes/hybrid-classes/ninja/" TargetMode="External"/><Relationship Id="rId17" Type="http://schemas.openxmlformats.org/officeDocument/2006/relationships/hyperlink" Target="https://www.finalfantasyd20.com/classes/base-classes/chemist/" TargetMode="External"/><Relationship Id="rId39" Type="http://schemas.openxmlformats.org/officeDocument/2006/relationships/hyperlink" Target="https://www.finalfantasyd20.com/classes/hybrid-classes/sword-saint/" TargetMode="External"/><Relationship Id="rId16" Type="http://schemas.openxmlformats.org/officeDocument/2006/relationships/hyperlink" Target="https://www.finalfantasyd20.com/classes/base-classes/blue-mage/" TargetMode="External"/><Relationship Id="rId38" Type="http://schemas.openxmlformats.org/officeDocument/2006/relationships/hyperlink" Target="https://www.finalfantasyd20.com/classes/hybrid-classes/scholar/" TargetMode="External"/><Relationship Id="rId19" Type="http://schemas.openxmlformats.org/officeDocument/2006/relationships/hyperlink" Target="https://www.finalfantasyd20.com/classes/base-classes/cleric/" TargetMode="External"/><Relationship Id="rId18" Type="http://schemas.openxmlformats.org/officeDocument/2006/relationships/hyperlink" Target="https://www.finalfantasyd20.com/classes/base-classes/chocobo-knight/" TargetMode="External"/></Relationships>
</file>

<file path=xl/worksheets/_rels/sheet6.xml.rels><?xml version="1.0" encoding="UTF-8" standalone="yes"?><Relationships xmlns="http://schemas.openxmlformats.org/package/2006/relationships"><Relationship Id="rId40" Type="http://schemas.openxmlformats.org/officeDocument/2006/relationships/drawing" Target="../drawings/drawing6.xml"/><Relationship Id="rId20" Type="http://schemas.openxmlformats.org/officeDocument/2006/relationships/hyperlink" Target="https://www.finalfantasyd20.com/classes/base-classes/engineer/" TargetMode="External"/><Relationship Id="rId41" Type="http://schemas.openxmlformats.org/officeDocument/2006/relationships/vmlDrawing" Target="../drawings/vmlDrawing6.vml"/><Relationship Id="rId22" Type="http://schemas.openxmlformats.org/officeDocument/2006/relationships/hyperlink" Target="https://www.finalfantasyd20.com/classes/base-classes/geomancer/" TargetMode="External"/><Relationship Id="rId21" Type="http://schemas.openxmlformats.org/officeDocument/2006/relationships/hyperlink" Target="https://www.finalfantasyd20.com/classes/base-classes/gambler/" TargetMode="External"/><Relationship Id="rId24" Type="http://schemas.openxmlformats.org/officeDocument/2006/relationships/hyperlink" Target="https://www.finalfantasyd20.com/classes/base-classes/holy-knight/" TargetMode="External"/><Relationship Id="rId23" Type="http://schemas.openxmlformats.org/officeDocument/2006/relationships/hyperlink" Target="https://www.finalfantasyd20.com/classes/base-classes/gunner/" TargetMode="External"/><Relationship Id="rId1" Type="http://schemas.openxmlformats.org/officeDocument/2006/relationships/comments" Target="../comments6.xml"/><Relationship Id="rId2" Type="http://schemas.openxmlformats.org/officeDocument/2006/relationships/hyperlink" Target="https://www.finalfantasyd20.com/classes/core-classes/archer/" TargetMode="External"/><Relationship Id="rId3" Type="http://schemas.openxmlformats.org/officeDocument/2006/relationships/hyperlink" Target="https://www.finalfantasyd20.com/classes/core-classes/bard/" TargetMode="External"/><Relationship Id="rId4" Type="http://schemas.openxmlformats.org/officeDocument/2006/relationships/hyperlink" Target="https://www.finalfantasyd20.com/classes/core-classes/beastmaster/" TargetMode="External"/><Relationship Id="rId9" Type="http://schemas.openxmlformats.org/officeDocument/2006/relationships/hyperlink" Target="https://www.finalfantasyd20.com/classes/core-classes/red-mage/" TargetMode="External"/><Relationship Id="rId26" Type="http://schemas.openxmlformats.org/officeDocument/2006/relationships/hyperlink" Target="https://www.finalfantasyd20.com/classes/base-classes/medic/" TargetMode="External"/><Relationship Id="rId25" Type="http://schemas.openxmlformats.org/officeDocument/2006/relationships/hyperlink" Target="https://www.finalfantasyd20.com/classes/base-classes/illusionist/" TargetMode="External"/><Relationship Id="rId28" Type="http://schemas.openxmlformats.org/officeDocument/2006/relationships/hyperlink" Target="https://www.finalfantasyd20.com/classes/base-classes/summoner/" TargetMode="External"/><Relationship Id="rId27" Type="http://schemas.openxmlformats.org/officeDocument/2006/relationships/hyperlink" Target="https://www.finalfantasyd20.com/classes/base-classes/necromancer/" TargetMode="External"/><Relationship Id="rId5" Type="http://schemas.openxmlformats.org/officeDocument/2006/relationships/hyperlink" Target="https://www.finalfantasyd20.com/classes/core-classes/black-mage/" TargetMode="External"/><Relationship Id="rId6" Type="http://schemas.openxmlformats.org/officeDocument/2006/relationships/hyperlink" Target="https://www.finalfantasyd20.com/classes/core-classes/dragoon/" TargetMode="External"/><Relationship Id="rId29" Type="http://schemas.openxmlformats.org/officeDocument/2006/relationships/hyperlink" Target="https://www.finalfantasyd20.com/classes/base-classes/time-mage/" TargetMode="External"/><Relationship Id="rId7" Type="http://schemas.openxmlformats.org/officeDocument/2006/relationships/hyperlink" Target="https://www.finalfantasyd20.com/classes/core-classes/knight/" TargetMode="External"/><Relationship Id="rId8" Type="http://schemas.openxmlformats.org/officeDocument/2006/relationships/hyperlink" Target="https://www.finalfantasyd20.com/classes/core-classes/monk/" TargetMode="External"/><Relationship Id="rId31" Type="http://schemas.openxmlformats.org/officeDocument/2006/relationships/hyperlink" Target="https://www.finalfantasyd20.com/classes/hybrid-classes/dancer/" TargetMode="External"/><Relationship Id="rId30" Type="http://schemas.openxmlformats.org/officeDocument/2006/relationships/hyperlink" Target="https://www.finalfantasyd20.com/classes/hybrid-classes/black-belt/" TargetMode="External"/><Relationship Id="rId11" Type="http://schemas.openxmlformats.org/officeDocument/2006/relationships/hyperlink" Target="https://www.finalfantasyd20.com/classes/core-classes/warrior/" TargetMode="External"/><Relationship Id="rId33" Type="http://schemas.openxmlformats.org/officeDocument/2006/relationships/hyperlink" Target="https://www.finalfantasyd20.com/classes/hybrid-classes/fencer/" TargetMode="External"/><Relationship Id="rId10" Type="http://schemas.openxmlformats.org/officeDocument/2006/relationships/hyperlink" Target="https://www.finalfantasyd20.com/classes/core-classes/thief/" TargetMode="External"/><Relationship Id="rId32" Type="http://schemas.openxmlformats.org/officeDocument/2006/relationships/hyperlink" Target="https://www.finalfantasyd20.com/classes/hybrid-classes/druid/" TargetMode="External"/><Relationship Id="rId13" Type="http://schemas.openxmlformats.org/officeDocument/2006/relationships/hyperlink" Target="https://www.finalfantasyd20.com/classes/base-classes/astrologian/" TargetMode="External"/><Relationship Id="rId35" Type="http://schemas.openxmlformats.org/officeDocument/2006/relationships/hyperlink" Target="https://www.finalfantasyd20.com/classes/hybrid-classes/ninja/" TargetMode="External"/><Relationship Id="rId12" Type="http://schemas.openxmlformats.org/officeDocument/2006/relationships/hyperlink" Target="https://www.finalfantasyd20.com/classes/core-classes/white-mage/" TargetMode="External"/><Relationship Id="rId34" Type="http://schemas.openxmlformats.org/officeDocument/2006/relationships/hyperlink" Target="https://www.finalfantasyd20.com/classes/hybrid-classes/gunbreaker/" TargetMode="External"/><Relationship Id="rId15" Type="http://schemas.openxmlformats.org/officeDocument/2006/relationships/hyperlink" Target="https://www.finalfantasyd20.com/classes/base-classes/blue-mage/" TargetMode="External"/><Relationship Id="rId37" Type="http://schemas.openxmlformats.org/officeDocument/2006/relationships/hyperlink" Target="https://www.finalfantasyd20.com/classes/hybrid-classes/scholar/" TargetMode="External"/><Relationship Id="rId14" Type="http://schemas.openxmlformats.org/officeDocument/2006/relationships/hyperlink" Target="https://www.finalfantasyd20.com/classes/base-classes/berserker/" TargetMode="External"/><Relationship Id="rId36" Type="http://schemas.openxmlformats.org/officeDocument/2006/relationships/hyperlink" Target="https://www.finalfantasyd20.com/classes/hybrid-classes/samurai/" TargetMode="External"/><Relationship Id="rId17" Type="http://schemas.openxmlformats.org/officeDocument/2006/relationships/hyperlink" Target="https://www.finalfantasyd20.com/classes/base-classes/chocobo-knight/" TargetMode="External"/><Relationship Id="rId39" Type="http://schemas.openxmlformats.org/officeDocument/2006/relationships/hyperlink" Target="https://www.finalfantasyd20.com/classes/miscellaneous-classes/arithmetician/" TargetMode="External"/><Relationship Id="rId16" Type="http://schemas.openxmlformats.org/officeDocument/2006/relationships/hyperlink" Target="https://www.finalfantasyd20.com/classes/base-classes/chemist/" TargetMode="External"/><Relationship Id="rId38" Type="http://schemas.openxmlformats.org/officeDocument/2006/relationships/hyperlink" Target="https://www.finalfantasyd20.com/classes/hybrid-classes/sword-saint/" TargetMode="External"/><Relationship Id="rId19" Type="http://schemas.openxmlformats.org/officeDocument/2006/relationships/hyperlink" Target="https://www.finalfantasyd20.com/classes/base-classes/dark-knight/" TargetMode="External"/><Relationship Id="rId18" Type="http://schemas.openxmlformats.org/officeDocument/2006/relationships/hyperlink" Target="https://www.finalfantasyd20.com/classes/base-classes/cleric/" TargetMode="External"/></Relationships>
</file>

<file path=xl/worksheets/_rels/sheet7.xml.rels><?xml version="1.0" encoding="UTF-8" standalone="yes"?><Relationships xmlns="http://schemas.openxmlformats.org/package/2006/relationships"><Relationship Id="rId40" Type="http://schemas.openxmlformats.org/officeDocument/2006/relationships/hyperlink" Target="http://spheresofpower.wikidot.com/time" TargetMode="External"/><Relationship Id="rId42" Type="http://schemas.openxmlformats.org/officeDocument/2006/relationships/hyperlink" Target="http://spheresofpower.wikidot.com/war" TargetMode="External"/><Relationship Id="rId41" Type="http://schemas.openxmlformats.org/officeDocument/2006/relationships/hyperlink" Target="http://spheresofpower.wikidot.com/trap" TargetMode="External"/><Relationship Id="rId44" Type="http://schemas.openxmlformats.org/officeDocument/2006/relationships/hyperlink" Target="http://spheresofpower.wikidot.com/warp" TargetMode="External"/><Relationship Id="rId43" Type="http://schemas.openxmlformats.org/officeDocument/2006/relationships/hyperlink" Target="http://spheresofpower.wikidot.com/warleader-sphere" TargetMode="External"/><Relationship Id="rId46" Type="http://schemas.openxmlformats.org/officeDocument/2006/relationships/hyperlink" Target="http://spheresofpower.wikidot.com/weather" TargetMode="External"/><Relationship Id="rId45" Type="http://schemas.openxmlformats.org/officeDocument/2006/relationships/hyperlink" Target="http://spheresofpower.wikidot.com/wrestling" TargetMode="External"/><Relationship Id="rId1" Type="http://schemas.openxmlformats.org/officeDocument/2006/relationships/hyperlink" Target="http://spheresofpower.wikidot.com/alchemy" TargetMode="External"/><Relationship Id="rId2" Type="http://schemas.openxmlformats.org/officeDocument/2006/relationships/hyperlink" Target="http://spheresofpower.wikidot.com/alteration" TargetMode="External"/><Relationship Id="rId3" Type="http://schemas.openxmlformats.org/officeDocument/2006/relationships/hyperlink" Target="http://spheresofpower.wikidot.com/athletics" TargetMode="External"/><Relationship Id="rId4" Type="http://schemas.openxmlformats.org/officeDocument/2006/relationships/hyperlink" Target="http://spheresofpower.wikidot.com/blood" TargetMode="External"/><Relationship Id="rId9" Type="http://schemas.openxmlformats.org/officeDocument/2006/relationships/hyperlink" Target="http://spheresofpower.wikidot.com/beastmastery" TargetMode="External"/><Relationship Id="rId48" Type="http://schemas.openxmlformats.org/officeDocument/2006/relationships/hyperlink" Target="http://spheresofpower.wikidot.com/bear" TargetMode="External"/><Relationship Id="rId47" Type="http://schemas.openxmlformats.org/officeDocument/2006/relationships/hyperlink" Target="http://spheresofpower.wikidot.com/leadership" TargetMode="External"/><Relationship Id="rId49" Type="http://schemas.openxmlformats.org/officeDocument/2006/relationships/hyperlink" Target="http://spheresofpower.wikidot.com/pilot" TargetMode="External"/><Relationship Id="rId5" Type="http://schemas.openxmlformats.org/officeDocument/2006/relationships/hyperlink" Target="http://spheresofpower.wikidot.com/barrage" TargetMode="External"/><Relationship Id="rId6" Type="http://schemas.openxmlformats.org/officeDocument/2006/relationships/hyperlink" Target="http://spheresofpower.wikidot.com/conjuration" TargetMode="External"/><Relationship Id="rId7" Type="http://schemas.openxmlformats.org/officeDocument/2006/relationships/hyperlink" Target="http://spheresofpower.wikidot.com/barroom" TargetMode="External"/><Relationship Id="rId8" Type="http://schemas.openxmlformats.org/officeDocument/2006/relationships/hyperlink" Target="http://spheresofpower.wikidot.com/creation" TargetMode="External"/><Relationship Id="rId31" Type="http://schemas.openxmlformats.org/officeDocument/2006/relationships/hyperlink" Target="http://spheresofpower.wikidot.com/open-hand" TargetMode="External"/><Relationship Id="rId30" Type="http://schemas.openxmlformats.org/officeDocument/2006/relationships/hyperlink" Target="http://spheresofpower.wikidot.com/mana" TargetMode="External"/><Relationship Id="rId33" Type="http://schemas.openxmlformats.org/officeDocument/2006/relationships/hyperlink" Target="http://spheresofpower.wikidot.com/scoundrel" TargetMode="External"/><Relationship Id="rId32" Type="http://schemas.openxmlformats.org/officeDocument/2006/relationships/hyperlink" Target="http://spheresofpower.wikidot.com/mind" TargetMode="External"/><Relationship Id="rId35" Type="http://schemas.openxmlformats.org/officeDocument/2006/relationships/hyperlink" Target="http://spheresofpower.wikidot.com/scout" TargetMode="External"/><Relationship Id="rId34" Type="http://schemas.openxmlformats.org/officeDocument/2006/relationships/hyperlink" Target="http://spheresofpower.wikidot.com/nature" TargetMode="External"/><Relationship Id="rId37" Type="http://schemas.openxmlformats.org/officeDocument/2006/relationships/hyperlink" Target="http://spheresofpower.wikidot.com/shield" TargetMode="External"/><Relationship Id="rId36" Type="http://schemas.openxmlformats.org/officeDocument/2006/relationships/hyperlink" Target="http://spheresofpower.wikidot.com/protection" TargetMode="External"/><Relationship Id="rId39" Type="http://schemas.openxmlformats.org/officeDocument/2006/relationships/hyperlink" Target="http://spheresofpower.wikidot.com/sniper" TargetMode="External"/><Relationship Id="rId38" Type="http://schemas.openxmlformats.org/officeDocument/2006/relationships/hyperlink" Target="http://spheresofpower.wikidot.com/telekinesis" TargetMode="External"/><Relationship Id="rId20" Type="http://schemas.openxmlformats.org/officeDocument/2006/relationships/hyperlink" Target="http://spheresofpower.wikidot.com/fallen-fey" TargetMode="External"/><Relationship Id="rId22" Type="http://schemas.openxmlformats.org/officeDocument/2006/relationships/hyperlink" Target="http://spheresofpower.wikidot.com/fate" TargetMode="External"/><Relationship Id="rId21" Type="http://schemas.openxmlformats.org/officeDocument/2006/relationships/hyperlink" Target="http://spheresofpower.wikidot.com/equipment-sphere" TargetMode="External"/><Relationship Id="rId24" Type="http://schemas.openxmlformats.org/officeDocument/2006/relationships/hyperlink" Target="http://spheresofpower.wikidot.com/illusion" TargetMode="External"/><Relationship Id="rId23" Type="http://schemas.openxmlformats.org/officeDocument/2006/relationships/hyperlink" Target="http://spheresofpower.wikidot.com/fencing" TargetMode="External"/><Relationship Id="rId26" Type="http://schemas.openxmlformats.org/officeDocument/2006/relationships/hyperlink" Target="http://spheresofpower.wikidot.com/life" TargetMode="External"/><Relationship Id="rId25" Type="http://schemas.openxmlformats.org/officeDocument/2006/relationships/hyperlink" Target="http://spheresofpower.wikidot.com/gladiator" TargetMode="External"/><Relationship Id="rId28" Type="http://schemas.openxmlformats.org/officeDocument/2006/relationships/hyperlink" Target="http://spheresofpower.wikidot.com/light" TargetMode="External"/><Relationship Id="rId27" Type="http://schemas.openxmlformats.org/officeDocument/2006/relationships/hyperlink" Target="http://spheresofpower.wikidot.com/guardian" TargetMode="External"/><Relationship Id="rId29" Type="http://schemas.openxmlformats.org/officeDocument/2006/relationships/hyperlink" Target="http://spheresofpower.wikidot.com/lancer" TargetMode="External"/><Relationship Id="rId51" Type="http://schemas.openxmlformats.org/officeDocument/2006/relationships/hyperlink" Target="http://spheresofpower.wikidot.com/tech" TargetMode="External"/><Relationship Id="rId50" Type="http://schemas.openxmlformats.org/officeDocument/2006/relationships/hyperlink" Target="http://spheresofpower.wikidot.com/technomancy" TargetMode="External"/><Relationship Id="rId53" Type="http://schemas.openxmlformats.org/officeDocument/2006/relationships/drawing" Target="../drawings/drawing7.xml"/><Relationship Id="rId52" Type="http://schemas.openxmlformats.org/officeDocument/2006/relationships/hyperlink" Target="http://spheresofpower.wikidot.com/veilweaving" TargetMode="External"/><Relationship Id="rId11" Type="http://schemas.openxmlformats.org/officeDocument/2006/relationships/hyperlink" Target="http://spheresofpower.wikidot.com/berserker" TargetMode="External"/><Relationship Id="rId10" Type="http://schemas.openxmlformats.org/officeDocument/2006/relationships/hyperlink" Target="http://spheresofpower.wikidot.com/dark" TargetMode="External"/><Relationship Id="rId13" Type="http://schemas.openxmlformats.org/officeDocument/2006/relationships/hyperlink" Target="http://spheresofpower.wikidot.com/boxing" TargetMode="External"/><Relationship Id="rId12" Type="http://schemas.openxmlformats.org/officeDocument/2006/relationships/hyperlink" Target="http://spheresofpower.wikidot.com/death" TargetMode="External"/><Relationship Id="rId15" Type="http://schemas.openxmlformats.org/officeDocument/2006/relationships/hyperlink" Target="http://spheresofpower.wikidot.com/brute" TargetMode="External"/><Relationship Id="rId14" Type="http://schemas.openxmlformats.org/officeDocument/2006/relationships/hyperlink" Target="http://spheresofpower.wikidot.com/destruction" TargetMode="External"/><Relationship Id="rId17" Type="http://schemas.openxmlformats.org/officeDocument/2006/relationships/hyperlink" Target="http://spheresofpower.wikidot.com/dual-wielding" TargetMode="External"/><Relationship Id="rId16" Type="http://schemas.openxmlformats.org/officeDocument/2006/relationships/hyperlink" Target="http://spheresofpower.wikidot.com/divination" TargetMode="External"/><Relationship Id="rId19" Type="http://schemas.openxmlformats.org/officeDocument/2006/relationships/hyperlink" Target="http://spheresofpower.wikidot.com/duelist" TargetMode="External"/><Relationship Id="rId18" Type="http://schemas.openxmlformats.org/officeDocument/2006/relationships/hyperlink" Target="http://spheresofpower.wikidot.com/enhancement"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showGridLines="0" workbookViewId="0"/>
  </sheetViews>
  <sheetFormatPr customHeight="1" defaultColWidth="12.63" defaultRowHeight="15.75"/>
  <cols>
    <col customWidth="1" min="1" max="1" width="3.13"/>
  </cols>
  <sheetData>
    <row r="1" ht="10.5" customHeight="1">
      <c r="A1" s="1"/>
      <c r="B1" s="1"/>
      <c r="C1" s="1"/>
      <c r="D1" s="1"/>
      <c r="E1" s="1"/>
      <c r="F1" s="1"/>
      <c r="G1" s="1"/>
      <c r="H1" s="1"/>
      <c r="I1" s="1"/>
      <c r="J1" s="1"/>
      <c r="K1" s="1"/>
      <c r="L1" s="1"/>
      <c r="M1" s="2" t="s">
        <v>0</v>
      </c>
      <c r="S1" s="1"/>
      <c r="T1" s="1"/>
      <c r="U1" s="1"/>
      <c r="V1" s="1"/>
      <c r="W1" s="1"/>
      <c r="X1" s="1"/>
      <c r="Y1" s="1"/>
      <c r="Z1" s="1"/>
      <c r="AA1" s="1"/>
      <c r="AB1" s="1"/>
      <c r="AC1" s="1"/>
      <c r="AD1" s="1"/>
      <c r="AE1" s="1"/>
      <c r="AF1" s="1"/>
      <c r="AG1" s="1"/>
      <c r="AH1" s="1"/>
      <c r="AI1" s="1"/>
    </row>
    <row r="2" ht="54.75" customHeight="1">
      <c r="A2" s="1"/>
      <c r="B2" s="4" t="s">
        <v>1</v>
      </c>
      <c r="C2" s="1"/>
      <c r="D2" s="1"/>
      <c r="E2" s="1"/>
      <c r="F2" s="1"/>
      <c r="G2" s="1"/>
      <c r="H2" s="1"/>
      <c r="I2" s="1"/>
      <c r="J2" s="1"/>
      <c r="K2" s="1"/>
      <c r="L2" s="1"/>
      <c r="S2" s="1"/>
      <c r="T2" s="1"/>
      <c r="U2" s="1"/>
      <c r="V2" s="1"/>
      <c r="W2" s="1"/>
      <c r="X2" s="1"/>
      <c r="Y2" s="1"/>
      <c r="Z2" s="1"/>
      <c r="AA2" s="1"/>
      <c r="AB2" s="1"/>
      <c r="AC2" s="1"/>
      <c r="AD2" s="1"/>
      <c r="AE2" s="1"/>
      <c r="AF2" s="1"/>
      <c r="AG2" s="1"/>
      <c r="AH2" s="1"/>
      <c r="AI2" s="1"/>
    </row>
    <row r="3">
      <c r="A3" s="1"/>
      <c r="B3" s="6" t="s">
        <v>2</v>
      </c>
      <c r="C3" s="1"/>
      <c r="D3" s="1"/>
      <c r="E3" s="1"/>
      <c r="F3" s="1"/>
      <c r="G3" s="1"/>
      <c r="H3" s="1"/>
      <c r="I3" s="1"/>
      <c r="J3" s="1"/>
      <c r="K3" s="1"/>
      <c r="L3" s="1"/>
      <c r="M3" s="7" t="s">
        <v>3</v>
      </c>
      <c r="N3" s="8" t="s">
        <v>4</v>
      </c>
      <c r="O3" s="8"/>
      <c r="P3" s="7" t="s">
        <v>5</v>
      </c>
      <c r="Q3" s="8" t="s">
        <v>6</v>
      </c>
      <c r="R3" s="8"/>
      <c r="S3" s="1"/>
      <c r="T3" s="1"/>
      <c r="U3" s="1"/>
      <c r="V3" s="1"/>
      <c r="W3" s="1"/>
      <c r="X3" s="1"/>
      <c r="Y3" s="1"/>
      <c r="Z3" s="1"/>
      <c r="AA3" s="1"/>
      <c r="AB3" s="1"/>
      <c r="AC3" s="1"/>
      <c r="AD3" s="1"/>
      <c r="AE3" s="1"/>
      <c r="AF3" s="1"/>
      <c r="AG3" s="1"/>
      <c r="AH3" s="1"/>
      <c r="AI3" s="1"/>
    </row>
    <row r="4">
      <c r="A4" s="1"/>
      <c r="B4" s="1"/>
      <c r="C4" s="1"/>
      <c r="D4" s="1"/>
      <c r="E4" s="1"/>
      <c r="F4" s="1"/>
      <c r="G4" s="1"/>
      <c r="H4" s="1"/>
      <c r="I4" s="6"/>
      <c r="J4" s="9"/>
      <c r="K4" s="1"/>
      <c r="L4" s="1"/>
      <c r="M4" s="7" t="s">
        <v>7</v>
      </c>
      <c r="N4" s="17" t="s">
        <v>8</v>
      </c>
      <c r="S4" s="1"/>
      <c r="T4" s="1"/>
      <c r="U4" s="1"/>
      <c r="V4" s="1"/>
      <c r="W4" s="1"/>
      <c r="X4" s="1"/>
      <c r="Y4" s="1"/>
      <c r="Z4" s="1"/>
      <c r="AA4" s="1"/>
      <c r="AB4" s="1"/>
      <c r="AC4" s="1"/>
      <c r="AD4" s="1"/>
      <c r="AE4" s="1"/>
      <c r="AF4" s="1"/>
      <c r="AG4" s="1"/>
      <c r="AH4" s="1"/>
      <c r="AI4" s="1"/>
    </row>
    <row r="5">
      <c r="A5" s="1"/>
      <c r="B5" s="20" t="s">
        <v>18</v>
      </c>
      <c r="C5" s="22"/>
      <c r="D5" s="26" t="s">
        <v>21</v>
      </c>
      <c r="E5" s="28"/>
      <c r="F5" s="29"/>
      <c r="G5" s="6"/>
      <c r="H5" s="34" t="str">
        <f>HYPERLINK("https://docs.google.com/spreadsheets/d/1ZCnFreS_IkbePoHv80NFlIB8QQgTygF6BXTC43NI7s8/copy","CLICK HERE 
TO MAKE A COPY")</f>
        <v>CLICK HERE 
TO MAKE A COPY</v>
      </c>
      <c r="I5" s="35"/>
      <c r="J5" s="9"/>
      <c r="K5" s="36"/>
      <c r="L5" s="35"/>
      <c r="M5" s="1"/>
      <c r="N5" s="5" t="s">
        <v>27</v>
      </c>
      <c r="O5" s="19"/>
      <c r="P5" s="19"/>
      <c r="Q5" s="1"/>
      <c r="R5" s="1"/>
      <c r="S5" s="1"/>
      <c r="T5" s="1"/>
      <c r="U5" s="1"/>
      <c r="V5" s="1"/>
      <c r="W5" s="1"/>
      <c r="X5" s="1"/>
      <c r="Y5" s="1"/>
      <c r="Z5" s="1"/>
      <c r="AA5" s="1"/>
      <c r="AB5" s="1"/>
      <c r="AC5" s="1"/>
      <c r="AD5" s="1"/>
      <c r="AE5" s="1"/>
      <c r="AF5" s="1"/>
      <c r="AG5" s="1"/>
      <c r="AH5" s="1"/>
      <c r="AI5" s="1"/>
    </row>
    <row r="6">
      <c r="A6" s="1"/>
      <c r="B6" s="38"/>
      <c r="C6" s="39" t="str">
        <f>IFERROR(__xludf.DUMMYFUNCTION("IMPORTRANGE(""1ZCnFreS_IkbePoHv80NFlIB8QQgTygF6BXTC43NI7s8"",""Welcome Page!C7"")"),"v6.2.1")</f>
        <v>v6.2.1</v>
      </c>
      <c r="D6" s="40" t="s">
        <v>28</v>
      </c>
      <c r="E6" s="28"/>
      <c r="F6" s="29"/>
      <c r="G6" s="6"/>
      <c r="H6" s="42"/>
      <c r="I6" s="43"/>
      <c r="J6" s="9"/>
      <c r="K6" s="42"/>
      <c r="L6" s="43"/>
      <c r="M6" s="1"/>
      <c r="N6" s="45" t="s">
        <v>29</v>
      </c>
      <c r="O6" s="23"/>
      <c r="P6" s="46" t="s">
        <v>30</v>
      </c>
      <c r="Q6" s="1"/>
      <c r="R6" s="1"/>
      <c r="S6" s="1"/>
      <c r="T6" s="1"/>
      <c r="U6" s="1"/>
      <c r="V6" s="1"/>
      <c r="W6" s="1"/>
      <c r="X6" s="1"/>
      <c r="Y6" s="1"/>
      <c r="Z6" s="1"/>
      <c r="AA6" s="1"/>
      <c r="AB6" s="1"/>
      <c r="AC6" s="1"/>
      <c r="AD6" s="1"/>
      <c r="AE6" s="1"/>
      <c r="AF6" s="1"/>
      <c r="AG6" s="1"/>
      <c r="AH6" s="1"/>
      <c r="AI6" s="1"/>
    </row>
    <row r="7">
      <c r="A7" s="1"/>
      <c r="B7" s="49" t="s">
        <v>31</v>
      </c>
      <c r="C7" s="51" t="s">
        <v>32</v>
      </c>
      <c r="D7" s="54" t="s">
        <v>33</v>
      </c>
      <c r="E7" s="28"/>
      <c r="F7" s="29"/>
      <c r="G7" s="6"/>
      <c r="H7" s="42"/>
      <c r="I7" s="43"/>
      <c r="J7" s="9"/>
      <c r="K7" s="42"/>
      <c r="L7" s="43"/>
      <c r="M7" s="1"/>
      <c r="N7" s="45" t="s">
        <v>36</v>
      </c>
      <c r="O7" s="23"/>
      <c r="P7" s="57" t="s">
        <v>37</v>
      </c>
      <c r="Q7" s="1"/>
      <c r="R7" s="1"/>
      <c r="S7" s="1"/>
      <c r="T7" s="1"/>
      <c r="U7" s="1"/>
      <c r="V7" s="1"/>
      <c r="W7" s="1"/>
      <c r="X7" s="1"/>
      <c r="Y7" s="1"/>
      <c r="Z7" s="1"/>
      <c r="AA7" s="1"/>
      <c r="AB7" s="1"/>
      <c r="AC7" s="1"/>
      <c r="AD7" s="1"/>
      <c r="AE7" s="1"/>
      <c r="AF7" s="1"/>
      <c r="AG7" s="1"/>
      <c r="AH7" s="1"/>
      <c r="AI7" s="1"/>
    </row>
    <row r="8">
      <c r="A8" s="1"/>
      <c r="B8" s="62" t="str">
        <f>IF(C7=C6,"This Sheet is up to Date!",hyperlink("https://docs.google.com/spreadsheets/d/1ZCnFreS_IkbePoHv80NFlIB8QQgTygF6BXTC43NI7s8/edit#gid=1828856411","Click here for the Changelog!"))</f>
        <v>This Sheet is up to Date!</v>
      </c>
      <c r="C8" s="68"/>
      <c r="D8" s="75" t="s">
        <v>47</v>
      </c>
      <c r="E8" s="28"/>
      <c r="F8" s="29"/>
      <c r="G8" s="6"/>
      <c r="H8" s="77"/>
      <c r="I8" s="82"/>
      <c r="J8" s="9"/>
      <c r="K8" s="77"/>
      <c r="L8" s="82"/>
      <c r="M8" s="1"/>
      <c r="N8" s="45" t="s">
        <v>50</v>
      </c>
      <c r="O8" s="23"/>
      <c r="P8" s="57" t="s">
        <v>37</v>
      </c>
      <c r="Q8" s="1"/>
      <c r="R8" s="1"/>
      <c r="S8" s="1"/>
      <c r="T8" s="1"/>
      <c r="U8" s="1"/>
      <c r="V8" s="1"/>
      <c r="W8" s="1"/>
      <c r="X8" s="1"/>
      <c r="Y8" s="1"/>
      <c r="Z8" s="1"/>
      <c r="AA8" s="1"/>
      <c r="AB8" s="1"/>
      <c r="AC8" s="1"/>
      <c r="AD8" s="1"/>
      <c r="AE8" s="1"/>
      <c r="AF8" s="1"/>
      <c r="AG8" s="1"/>
      <c r="AH8" s="1"/>
      <c r="AI8" s="1"/>
    </row>
    <row r="9">
      <c r="A9" s="1"/>
      <c r="B9" s="88"/>
      <c r="C9" s="6"/>
      <c r="D9" s="6"/>
      <c r="E9" s="6"/>
      <c r="F9" s="6"/>
      <c r="G9" s="9"/>
      <c r="H9" s="9"/>
      <c r="I9" s="9"/>
      <c r="J9" s="9"/>
      <c r="K9" s="97" t="s">
        <v>53</v>
      </c>
      <c r="L9" s="9"/>
      <c r="M9" s="1"/>
      <c r="N9" s="1"/>
      <c r="O9" s="1"/>
      <c r="P9" s="1"/>
      <c r="Q9" s="1"/>
      <c r="R9" s="1"/>
      <c r="S9" s="1"/>
      <c r="T9" s="1"/>
      <c r="U9" s="1"/>
      <c r="V9" s="1"/>
      <c r="W9" s="1"/>
      <c r="X9" s="1"/>
      <c r="Y9" s="1"/>
      <c r="Z9" s="1"/>
      <c r="AA9" s="1"/>
      <c r="AB9" s="1"/>
      <c r="AC9" s="1"/>
      <c r="AD9" s="1"/>
      <c r="AE9" s="1"/>
      <c r="AF9" s="1"/>
      <c r="AG9" s="1"/>
      <c r="AH9" s="1"/>
      <c r="AI9" s="1"/>
    </row>
    <row r="10">
      <c r="A10" s="1"/>
      <c r="B10" s="88" t="s">
        <v>56</v>
      </c>
      <c r="C10" s="6"/>
      <c r="D10" s="6"/>
      <c r="E10" s="6"/>
      <c r="F10" s="6"/>
      <c r="G10" s="9"/>
      <c r="H10" s="100" t="s">
        <v>58</v>
      </c>
      <c r="I10" s="100"/>
      <c r="J10" s="100"/>
      <c r="K10" s="100"/>
      <c r="L10" s="101" t="s">
        <v>61</v>
      </c>
      <c r="M10" s="1"/>
      <c r="N10" s="100" t="s">
        <v>63</v>
      </c>
      <c r="O10" s="100"/>
      <c r="P10" s="100"/>
      <c r="Q10" s="100"/>
      <c r="R10" s="100"/>
      <c r="S10" s="1"/>
      <c r="T10" s="1"/>
      <c r="U10" s="1"/>
      <c r="V10" s="1"/>
      <c r="W10" s="1"/>
      <c r="X10" s="1"/>
      <c r="Y10" s="1"/>
      <c r="Z10" s="1"/>
      <c r="AA10" s="1"/>
      <c r="AB10" s="1"/>
      <c r="AC10" s="1"/>
      <c r="AD10" s="1"/>
      <c r="AE10" s="1"/>
      <c r="AF10" s="1"/>
      <c r="AG10" s="1"/>
      <c r="AH10" s="1"/>
      <c r="AI10" s="1"/>
    </row>
    <row r="11">
      <c r="A11" s="1"/>
      <c r="B11" s="102" t="s">
        <v>64</v>
      </c>
      <c r="G11" s="6"/>
      <c r="H11" s="6"/>
      <c r="I11" s="1"/>
      <c r="J11" s="107" t="s">
        <v>65</v>
      </c>
      <c r="M11" s="1"/>
      <c r="N11" s="109" t="s">
        <v>68</v>
      </c>
      <c r="S11" s="1"/>
      <c r="T11" s="1"/>
      <c r="U11" s="1"/>
      <c r="V11" s="1"/>
      <c r="W11" s="1"/>
      <c r="X11" s="1"/>
      <c r="Y11" s="1"/>
      <c r="Z11" s="1"/>
      <c r="AA11" s="1"/>
      <c r="AB11" s="1"/>
      <c r="AC11" s="1"/>
      <c r="AD11" s="1"/>
      <c r="AE11" s="1"/>
      <c r="AF11" s="1"/>
      <c r="AG11" s="1"/>
      <c r="AH11" s="1"/>
      <c r="AI11" s="1"/>
    </row>
    <row r="12">
      <c r="A12" s="1"/>
      <c r="G12" s="6"/>
      <c r="H12" s="112" t="str">
        <f>hyperlink("https://docs.google.com/spreadsheets/d/10b3sYEcrGAybAWJEVJzm7jdDWlaxRXnkDF1IRDOVYis/edit#gid=1919188920","AutoSpellcasting Sheet")</f>
        <v>AutoSpellcasting Sheet</v>
      </c>
      <c r="I12" s="1"/>
      <c r="M12" s="1"/>
      <c r="S12" s="1"/>
      <c r="T12" s="1"/>
      <c r="U12" s="1"/>
      <c r="V12" s="1"/>
      <c r="W12" s="1"/>
      <c r="X12" s="1"/>
      <c r="Y12" s="1"/>
      <c r="Z12" s="1"/>
      <c r="AA12" s="1"/>
      <c r="AB12" s="1"/>
      <c r="AC12" s="1"/>
      <c r="AD12" s="1"/>
      <c r="AE12" s="1"/>
      <c r="AF12" s="1"/>
      <c r="AG12" s="1"/>
      <c r="AH12" s="1"/>
      <c r="AI12" s="1"/>
    </row>
    <row r="13">
      <c r="A13" s="1"/>
      <c r="B13" s="115" t="s">
        <v>69</v>
      </c>
      <c r="G13" s="6"/>
      <c r="H13" s="116"/>
      <c r="I13" s="1"/>
      <c r="M13" s="1"/>
      <c r="N13" s="117" t="s">
        <v>72</v>
      </c>
      <c r="S13" s="1"/>
      <c r="T13" s="1"/>
      <c r="U13" s="1"/>
      <c r="V13" s="1"/>
      <c r="W13" s="1"/>
      <c r="X13" s="1"/>
      <c r="Y13" s="1"/>
      <c r="Z13" s="1"/>
      <c r="AA13" s="1"/>
      <c r="AB13" s="1"/>
      <c r="AC13" s="1"/>
      <c r="AD13" s="1"/>
      <c r="AE13" s="1"/>
      <c r="AF13" s="1"/>
      <c r="AG13" s="1"/>
      <c r="AH13" s="1"/>
      <c r="AI13" s="1"/>
    </row>
    <row r="14">
      <c r="A14" s="1"/>
      <c r="G14" s="6"/>
      <c r="H14" s="116"/>
      <c r="I14" s="6"/>
      <c r="J14" s="119" t="s">
        <v>73</v>
      </c>
      <c r="M14" s="1"/>
      <c r="S14" s="1"/>
      <c r="T14" s="1"/>
      <c r="U14" s="1"/>
      <c r="V14" s="1"/>
      <c r="W14" s="1"/>
      <c r="X14" s="1"/>
      <c r="Y14" s="1"/>
      <c r="Z14" s="1"/>
      <c r="AA14" s="1"/>
      <c r="AB14" s="1"/>
      <c r="AC14" s="1"/>
      <c r="AD14" s="1"/>
      <c r="AE14" s="1"/>
      <c r="AF14" s="1"/>
      <c r="AG14" s="1"/>
      <c r="AH14" s="1"/>
      <c r="AI14" s="1"/>
    </row>
    <row r="15">
      <c r="A15" s="1"/>
      <c r="G15" s="6"/>
      <c r="H15" s="112" t="str">
        <f>hyperlink("https://docs.google.com/spreadsheets/d/1rWBgTIy3lCH1-l5D29KfuyMGgP0MWEyleF5Fxeiddyg/edit#gid=641126097","Equipment Tracker")</f>
        <v>Equipment Tracker</v>
      </c>
      <c r="I15" s="1"/>
      <c r="M15" s="1"/>
      <c r="S15" s="1"/>
      <c r="T15" s="1"/>
      <c r="U15" s="1"/>
      <c r="V15" s="1"/>
      <c r="W15" s="1"/>
      <c r="X15" s="1"/>
      <c r="Y15" s="1"/>
      <c r="Z15" s="1"/>
      <c r="AA15" s="1"/>
      <c r="AB15" s="1"/>
      <c r="AC15" s="1"/>
      <c r="AD15" s="1"/>
      <c r="AE15" s="1"/>
      <c r="AF15" s="1"/>
      <c r="AG15" s="1"/>
      <c r="AH15" s="1"/>
      <c r="AI15" s="1"/>
    </row>
    <row r="16">
      <c r="A16" s="1"/>
      <c r="G16" s="6"/>
      <c r="H16" s="116"/>
      <c r="I16" s="1"/>
      <c r="M16" s="1"/>
      <c r="N16" s="117" t="s">
        <v>76</v>
      </c>
      <c r="S16" s="1"/>
      <c r="T16" s="1"/>
      <c r="U16" s="1"/>
      <c r="V16" s="1"/>
      <c r="W16" s="1"/>
      <c r="X16" s="1"/>
      <c r="Y16" s="1"/>
      <c r="Z16" s="1"/>
      <c r="AA16" s="1"/>
      <c r="AB16" s="1"/>
      <c r="AC16" s="1"/>
      <c r="AD16" s="1"/>
      <c r="AE16" s="1"/>
      <c r="AF16" s="1"/>
      <c r="AG16" s="1"/>
      <c r="AH16" s="1"/>
      <c r="AI16" s="1"/>
    </row>
    <row r="17">
      <c r="A17" s="1"/>
      <c r="B17" s="2" t="s">
        <v>78</v>
      </c>
      <c r="G17" s="6"/>
      <c r="H17" s="125" t="str">
        <f>Hyperlink("https://docs.google.com/spreadsheets/d/1jRs4ilch6pSaXnAAnap_8lSWxMsKiPKuh864yXR6e1Y/edit?usp=sharing","Party Treasure, XP, and GM Reference")</f>
        <v>Party Treasure, XP, and GM Reference</v>
      </c>
      <c r="J17" s="119" t="s">
        <v>81</v>
      </c>
      <c r="M17" s="1"/>
      <c r="S17" s="1"/>
      <c r="T17" s="1"/>
      <c r="U17" s="1"/>
      <c r="V17" s="1"/>
      <c r="W17" s="1"/>
      <c r="X17" s="1"/>
      <c r="Y17" s="1"/>
      <c r="Z17" s="1"/>
      <c r="AA17" s="1"/>
      <c r="AB17" s="1"/>
      <c r="AC17" s="1"/>
      <c r="AD17" s="1"/>
      <c r="AE17" s="1"/>
      <c r="AF17" s="1"/>
      <c r="AG17" s="1"/>
      <c r="AH17" s="1"/>
      <c r="AI17" s="1"/>
    </row>
    <row r="18">
      <c r="A18" s="1"/>
      <c r="G18" s="6"/>
      <c r="M18" s="1"/>
      <c r="N18" s="109" t="s">
        <v>83</v>
      </c>
      <c r="S18" s="1"/>
      <c r="T18" s="1"/>
      <c r="U18" s="1"/>
      <c r="V18" s="1"/>
      <c r="W18" s="1"/>
      <c r="X18" s="1"/>
      <c r="Y18" s="1"/>
      <c r="Z18" s="1"/>
      <c r="AA18" s="1"/>
      <c r="AB18" s="1"/>
      <c r="AC18" s="1"/>
      <c r="AD18" s="1"/>
      <c r="AE18" s="1"/>
      <c r="AF18" s="1"/>
      <c r="AG18" s="1"/>
      <c r="AH18" s="1"/>
      <c r="AI18" s="1"/>
    </row>
    <row r="19">
      <c r="A19" s="1"/>
      <c r="G19" s="6"/>
      <c r="M19" s="1"/>
      <c r="S19" s="1"/>
      <c r="T19" s="1"/>
      <c r="U19" s="1"/>
      <c r="V19" s="1"/>
      <c r="W19" s="1"/>
      <c r="X19" s="1"/>
      <c r="Y19" s="1"/>
      <c r="Z19" s="1"/>
      <c r="AA19" s="1"/>
      <c r="AB19" s="1"/>
      <c r="AC19" s="1"/>
      <c r="AD19" s="1"/>
      <c r="AE19" s="1"/>
      <c r="AF19" s="1"/>
      <c r="AG19" s="1"/>
      <c r="AH19" s="1"/>
      <c r="AI19" s="1"/>
    </row>
    <row r="20">
      <c r="A20" s="1"/>
      <c r="G20" s="6"/>
      <c r="H20" s="116"/>
      <c r="I20" s="1"/>
      <c r="J20" s="119" t="s">
        <v>84</v>
      </c>
      <c r="M20" s="1"/>
      <c r="S20" s="1"/>
      <c r="T20" s="1"/>
      <c r="U20" s="1"/>
      <c r="V20" s="1"/>
      <c r="W20" s="1"/>
      <c r="X20" s="1"/>
      <c r="Y20" s="1"/>
      <c r="Z20" s="1"/>
      <c r="AA20" s="1"/>
      <c r="AB20" s="1"/>
      <c r="AC20" s="1"/>
      <c r="AD20" s="1"/>
      <c r="AE20" s="1"/>
      <c r="AF20" s="1"/>
      <c r="AG20" s="1"/>
      <c r="AH20" s="1"/>
      <c r="AI20" s="1"/>
    </row>
    <row r="21">
      <c r="A21" s="1"/>
      <c r="G21" s="1"/>
      <c r="H21" s="112" t="str">
        <f>Hyperlink("https://drive.google.com/open?id=1vhwAw2KgXBohwIwTGGuga5SaddjMf4ul0P5CXWag6HU","My Personal Houserule Doc")</f>
        <v>My Personal Houserule Doc</v>
      </c>
      <c r="I21" s="1"/>
      <c r="M21" s="1"/>
      <c r="S21" s="1"/>
      <c r="T21" s="1"/>
      <c r="U21" s="1"/>
      <c r="V21" s="1"/>
      <c r="W21" s="1"/>
      <c r="X21" s="1"/>
      <c r="Y21" s="1"/>
      <c r="Z21" s="1"/>
      <c r="AA21" s="1"/>
      <c r="AB21" s="1"/>
      <c r="AC21" s="1"/>
      <c r="AD21" s="1"/>
      <c r="AE21" s="1"/>
      <c r="AF21" s="1"/>
      <c r="AG21" s="1"/>
      <c r="AH21" s="1"/>
      <c r="AI21" s="1"/>
    </row>
    <row r="22">
      <c r="A22" s="1"/>
      <c r="G22" s="1"/>
      <c r="H22" s="1"/>
      <c r="I22" s="1"/>
      <c r="M22" s="1"/>
      <c r="S22" s="1"/>
      <c r="T22" s="1"/>
      <c r="U22" s="1"/>
      <c r="V22" s="1"/>
      <c r="W22" s="1"/>
      <c r="X22" s="1"/>
      <c r="Y22" s="1"/>
      <c r="Z22" s="1"/>
      <c r="AA22" s="1"/>
      <c r="AB22" s="1"/>
      <c r="AC22" s="1"/>
      <c r="AD22" s="1"/>
      <c r="AE22" s="1"/>
      <c r="AF22" s="1"/>
      <c r="AG22" s="1"/>
      <c r="AH22" s="1"/>
      <c r="AI22" s="1"/>
    </row>
    <row r="23">
      <c r="A23" s="1"/>
      <c r="B23" s="133" t="s">
        <v>85</v>
      </c>
      <c r="C23" s="1"/>
      <c r="D23" s="1"/>
      <c r="E23" s="1"/>
      <c r="F23" s="1"/>
      <c r="G23" s="1"/>
      <c r="H23" s="116"/>
      <c r="I23" s="1"/>
      <c r="J23" s="119" t="s">
        <v>87</v>
      </c>
      <c r="M23" s="1"/>
      <c r="S23" s="1"/>
      <c r="T23" s="1"/>
      <c r="U23" s="1"/>
      <c r="V23" s="1"/>
      <c r="W23" s="1"/>
      <c r="X23" s="1"/>
      <c r="Y23" s="1"/>
      <c r="Z23" s="1"/>
      <c r="AA23" s="1"/>
      <c r="AB23" s="1"/>
      <c r="AC23" s="1"/>
      <c r="AD23" s="1"/>
      <c r="AE23" s="1"/>
      <c r="AF23" s="1"/>
      <c r="AG23" s="1"/>
      <c r="AH23" s="1"/>
      <c r="AI23" s="1"/>
    </row>
    <row r="24">
      <c r="A24" s="1"/>
      <c r="B24" s="2" t="s">
        <v>88</v>
      </c>
      <c r="G24" s="1"/>
      <c r="H24" s="112" t="str">
        <f>Hyperlink("https://drive.google.com/open?id=1Fv86mdaBe2QPKiUMUWea1Mhnv9PRIX4tWIYz6cgQkzI","Starfinder Autosheet")</f>
        <v>Starfinder Autosheet</v>
      </c>
      <c r="I24" s="1"/>
      <c r="M24" s="1"/>
      <c r="S24" s="1"/>
      <c r="T24" s="1"/>
      <c r="U24" s="1"/>
      <c r="V24" s="1"/>
      <c r="W24" s="1"/>
      <c r="X24" s="1"/>
      <c r="Y24" s="1"/>
      <c r="Z24" s="1"/>
      <c r="AA24" s="1"/>
      <c r="AB24" s="1"/>
      <c r="AC24" s="1"/>
      <c r="AD24" s="1"/>
      <c r="AE24" s="1"/>
      <c r="AF24" s="1"/>
      <c r="AG24" s="1"/>
      <c r="AH24" s="1"/>
      <c r="AI24" s="1"/>
    </row>
    <row r="25">
      <c r="A25" s="1"/>
      <c r="G25" s="1"/>
      <c r="H25" s="140" t="s">
        <v>90</v>
      </c>
      <c r="I25" s="1"/>
      <c r="M25" s="1"/>
      <c r="S25" s="1"/>
      <c r="T25" s="1"/>
      <c r="U25" s="1"/>
      <c r="V25" s="1"/>
      <c r="W25" s="1"/>
      <c r="X25" s="1"/>
      <c r="Y25" s="1"/>
      <c r="Z25" s="1"/>
      <c r="AA25" s="1"/>
      <c r="AB25" s="1"/>
      <c r="AC25" s="1"/>
      <c r="AD25" s="1"/>
      <c r="AE25" s="1"/>
      <c r="AF25" s="1"/>
      <c r="AG25" s="1"/>
      <c r="AH25" s="1"/>
      <c r="AI25" s="1"/>
    </row>
    <row r="26">
      <c r="A26" s="1"/>
      <c r="B26" s="133" t="s">
        <v>92</v>
      </c>
      <c r="C26" s="1"/>
      <c r="D26" s="1"/>
      <c r="E26" s="1"/>
      <c r="F26" s="1"/>
      <c r="G26" s="1"/>
      <c r="H26" s="1"/>
      <c r="I26" s="1"/>
      <c r="J26" s="119" t="s">
        <v>93</v>
      </c>
      <c r="M26" s="1"/>
      <c r="N26" s="145" t="s">
        <v>94</v>
      </c>
      <c r="S26" s="1"/>
      <c r="T26" s="1"/>
      <c r="U26" s="1"/>
      <c r="V26" s="1"/>
      <c r="W26" s="1"/>
      <c r="X26" s="1"/>
      <c r="Y26" s="1"/>
      <c r="Z26" s="1"/>
      <c r="AA26" s="1"/>
      <c r="AB26" s="1"/>
      <c r="AC26" s="1"/>
      <c r="AD26" s="1"/>
      <c r="AE26" s="1"/>
      <c r="AF26" s="1"/>
      <c r="AG26" s="1"/>
      <c r="AH26" s="1"/>
      <c r="AI26" s="1"/>
    </row>
    <row r="27">
      <c r="A27" s="1"/>
      <c r="B27" s="2" t="s">
        <v>96</v>
      </c>
      <c r="G27" s="1"/>
      <c r="H27" s="149" t="str">
        <f>HYPERLINK("https://drive.google.com/open?id=1V6l7A0kaPkPUjNlwFEqziMnE5NWnCELZ42yW4ePbexE","Pathfinder Autosheet v5")</f>
        <v>Pathfinder Autosheet v5</v>
      </c>
      <c r="I27" s="1"/>
      <c r="M27" s="1"/>
      <c r="S27" s="1"/>
      <c r="T27" s="1"/>
      <c r="U27" s="1"/>
      <c r="V27" s="1"/>
      <c r="W27" s="1"/>
      <c r="X27" s="1"/>
      <c r="Y27" s="1"/>
      <c r="Z27" s="1"/>
      <c r="AA27" s="1"/>
      <c r="AB27" s="1"/>
      <c r="AC27" s="1"/>
      <c r="AD27" s="1"/>
      <c r="AE27" s="1"/>
      <c r="AF27" s="1"/>
      <c r="AG27" s="1"/>
      <c r="AH27" s="1"/>
      <c r="AI27" s="1"/>
    </row>
    <row r="28">
      <c r="A28" s="1"/>
      <c r="G28" s="1"/>
      <c r="H28" s="1"/>
      <c r="I28" s="1"/>
      <c r="M28" s="1"/>
      <c r="S28" s="1"/>
      <c r="T28" s="1"/>
      <c r="U28" s="1"/>
      <c r="V28" s="1"/>
      <c r="W28" s="1"/>
      <c r="X28" s="1"/>
      <c r="Y28" s="1"/>
      <c r="Z28" s="1"/>
      <c r="AA28" s="1"/>
      <c r="AB28" s="1"/>
      <c r="AC28" s="1"/>
      <c r="AD28" s="1"/>
      <c r="AE28" s="1"/>
      <c r="AF28" s="1"/>
      <c r="AG28" s="1"/>
      <c r="AH28" s="1"/>
      <c r="AI28" s="1"/>
    </row>
    <row r="29">
      <c r="A29" s="1"/>
      <c r="G29" s="1"/>
      <c r="H29" s="1"/>
      <c r="I29" s="1"/>
      <c r="J29" s="1"/>
      <c r="K29" s="1"/>
      <c r="L29" s="1"/>
      <c r="M29" s="1"/>
      <c r="N29" s="117" t="s">
        <v>103</v>
      </c>
      <c r="S29" s="1"/>
      <c r="T29" s="1"/>
      <c r="U29" s="1"/>
      <c r="V29" s="1"/>
      <c r="W29" s="1"/>
      <c r="X29" s="1"/>
      <c r="Y29" s="1"/>
      <c r="Z29" s="1"/>
      <c r="AA29" s="1"/>
      <c r="AB29" s="1"/>
      <c r="AC29" s="1"/>
      <c r="AD29" s="1"/>
      <c r="AE29" s="1"/>
      <c r="AF29" s="1"/>
      <c r="AG29" s="1"/>
      <c r="AH29" s="1"/>
      <c r="AI29" s="1"/>
    </row>
    <row r="30">
      <c r="A30" s="1"/>
      <c r="G30" s="1"/>
      <c r="H30" s="1"/>
      <c r="I30" s="1"/>
      <c r="J30" s="1"/>
      <c r="K30" s="1"/>
      <c r="L30" s="1"/>
      <c r="M30" s="1"/>
      <c r="S30" s="1"/>
      <c r="T30" s="1"/>
      <c r="U30" s="1"/>
      <c r="V30" s="1"/>
      <c r="W30" s="1"/>
      <c r="X30" s="1"/>
      <c r="Y30" s="1"/>
      <c r="Z30" s="1"/>
      <c r="AA30" s="1"/>
      <c r="AB30" s="1"/>
      <c r="AC30" s="1"/>
      <c r="AD30" s="1"/>
      <c r="AE30" s="1"/>
      <c r="AF30" s="1"/>
      <c r="AG30" s="1"/>
      <c r="AH30" s="1"/>
      <c r="AI30" s="1"/>
    </row>
    <row r="31">
      <c r="A31" s="1"/>
      <c r="B31" s="1"/>
      <c r="C31" s="1"/>
      <c r="D31" s="1"/>
      <c r="E31" s="1"/>
      <c r="F31" s="1"/>
      <c r="G31" s="1"/>
      <c r="H31" s="1"/>
      <c r="I31" s="1"/>
      <c r="J31" s="1"/>
      <c r="K31" s="1"/>
      <c r="L31" s="1"/>
      <c r="M31" s="1"/>
      <c r="S31" s="1"/>
      <c r="T31" s="1"/>
      <c r="U31" s="1"/>
      <c r="V31" s="1"/>
      <c r="W31" s="1"/>
      <c r="X31" s="1"/>
      <c r="Y31" s="1"/>
      <c r="Z31" s="1"/>
      <c r="AA31" s="1"/>
      <c r="AB31" s="1"/>
      <c r="AC31" s="1"/>
      <c r="AD31" s="1"/>
      <c r="AE31" s="1"/>
      <c r="AF31" s="1"/>
      <c r="AG31" s="1"/>
      <c r="AH31" s="1"/>
      <c r="AI31" s="1"/>
    </row>
    <row r="32">
      <c r="A32" s="1"/>
      <c r="B32" s="1"/>
      <c r="C32" s="1"/>
      <c r="D32" s="1"/>
      <c r="E32" s="1"/>
      <c r="F32" s="1"/>
      <c r="G32" s="1"/>
      <c r="H32" s="1"/>
      <c r="I32" s="1"/>
      <c r="J32" s="1"/>
      <c r="K32" s="1"/>
      <c r="L32" s="1"/>
      <c r="M32" s="1"/>
      <c r="S32" s="1"/>
      <c r="T32" s="1"/>
      <c r="U32" s="1"/>
      <c r="V32" s="1"/>
      <c r="W32" s="1"/>
      <c r="X32" s="1"/>
      <c r="Y32" s="1"/>
      <c r="Z32" s="1"/>
      <c r="AA32" s="1"/>
      <c r="AB32" s="1"/>
      <c r="AC32" s="1"/>
      <c r="AD32" s="1"/>
      <c r="AE32" s="1"/>
      <c r="AF32" s="1"/>
      <c r="AG32" s="1"/>
      <c r="AH32" s="1"/>
      <c r="AI32" s="1"/>
    </row>
    <row r="33">
      <c r="A33" s="1"/>
      <c r="B33" s="1"/>
      <c r="C33" s="1"/>
      <c r="D33" s="1"/>
      <c r="E33" s="1"/>
      <c r="F33" s="1"/>
      <c r="G33" s="1"/>
      <c r="H33" s="1"/>
      <c r="I33" s="1"/>
      <c r="J33" s="1"/>
      <c r="K33" s="1"/>
      <c r="L33" s="1"/>
      <c r="M33" s="1"/>
      <c r="N33" s="117" t="s">
        <v>108</v>
      </c>
      <c r="S33" s="1"/>
      <c r="T33" s="1"/>
      <c r="U33" s="1"/>
      <c r="V33" s="1"/>
      <c r="W33" s="1"/>
      <c r="X33" s="1"/>
      <c r="Y33" s="1"/>
      <c r="Z33" s="1"/>
      <c r="AA33" s="1"/>
      <c r="AB33" s="1"/>
      <c r="AC33" s="1"/>
      <c r="AD33" s="1"/>
      <c r="AE33" s="1"/>
      <c r="AF33" s="1"/>
      <c r="AG33" s="1"/>
      <c r="AH33" s="1"/>
      <c r="AI33" s="1"/>
    </row>
    <row r="34">
      <c r="A34" s="1"/>
      <c r="B34" s="6" t="s">
        <v>109</v>
      </c>
      <c r="C34" s="1"/>
      <c r="D34" s="1"/>
      <c r="E34" s="1"/>
      <c r="F34" s="1"/>
      <c r="G34" s="1"/>
      <c r="H34" s="1"/>
      <c r="I34" s="1"/>
      <c r="J34" s="1"/>
      <c r="K34" s="140" t="s">
        <v>110</v>
      </c>
      <c r="L34" s="1"/>
      <c r="M34" s="1"/>
      <c r="S34" s="1"/>
      <c r="T34" s="1"/>
      <c r="U34" s="1"/>
      <c r="V34" s="1"/>
      <c r="W34" s="1"/>
      <c r="X34" s="1"/>
      <c r="Y34" s="1"/>
      <c r="Z34" s="1"/>
      <c r="AA34" s="1"/>
      <c r="AB34" s="1"/>
      <c r="AC34" s="1"/>
      <c r="AD34" s="1"/>
      <c r="AE34" s="1"/>
      <c r="AF34" s="1"/>
      <c r="AG34" s="1"/>
      <c r="AH34" s="1"/>
      <c r="AI34" s="1"/>
    </row>
    <row r="35">
      <c r="A35" s="1"/>
      <c r="B35" s="167" t="s">
        <v>111</v>
      </c>
      <c r="C35" s="1"/>
      <c r="D35" s="1"/>
      <c r="E35" s="1"/>
      <c r="F35" s="1"/>
      <c r="G35" s="1"/>
      <c r="H35" s="1"/>
      <c r="I35" s="1"/>
      <c r="J35" s="1"/>
      <c r="K35" s="1"/>
      <c r="L35" s="1"/>
      <c r="M35" s="1"/>
      <c r="S35" s="1"/>
      <c r="T35" s="1"/>
      <c r="U35" s="1"/>
      <c r="V35" s="1"/>
      <c r="W35" s="1"/>
      <c r="X35" s="1"/>
      <c r="Y35" s="1"/>
      <c r="Z35" s="1"/>
      <c r="AA35" s="1"/>
      <c r="AB35" s="1"/>
      <c r="AC35" s="1"/>
      <c r="AD35" s="1"/>
      <c r="AE35" s="1"/>
      <c r="AF35" s="1"/>
      <c r="AG35" s="1"/>
      <c r="AH35" s="1"/>
      <c r="AI35" s="1"/>
    </row>
    <row r="36">
      <c r="A36" s="1"/>
      <c r="B36" s="1"/>
      <c r="C36" s="1"/>
      <c r="D36" s="1"/>
      <c r="E36" s="1"/>
      <c r="F36" s="1"/>
      <c r="G36" s="1"/>
      <c r="H36" s="1"/>
      <c r="I36" s="1"/>
      <c r="J36" s="1"/>
      <c r="K36" s="1"/>
      <c r="L36" s="1"/>
      <c r="M36" s="1"/>
      <c r="S36" s="1"/>
      <c r="T36" s="1"/>
      <c r="U36" s="1"/>
      <c r="V36" s="1"/>
      <c r="W36" s="1"/>
      <c r="X36" s="1"/>
      <c r="Y36" s="1"/>
      <c r="Z36" s="1"/>
      <c r="AA36" s="1"/>
      <c r="AB36" s="1"/>
      <c r="AC36" s="1"/>
      <c r="AD36" s="1"/>
      <c r="AE36" s="1"/>
      <c r="AF36" s="1"/>
      <c r="AG36" s="1"/>
      <c r="AH36" s="1"/>
      <c r="AI36" s="1"/>
    </row>
    <row r="37">
      <c r="A37" s="1"/>
      <c r="B37" s="1"/>
      <c r="C37" s="1"/>
      <c r="D37" s="1"/>
      <c r="E37" s="1"/>
      <c r="F37" s="1"/>
      <c r="G37" s="1"/>
      <c r="H37" s="1"/>
      <c r="I37" s="1"/>
      <c r="J37" s="1"/>
      <c r="K37" s="1"/>
      <c r="L37" s="1"/>
      <c r="M37" s="1"/>
      <c r="N37" s="117" t="s">
        <v>112</v>
      </c>
      <c r="S37" s="1"/>
      <c r="T37" s="1"/>
      <c r="U37" s="1"/>
      <c r="V37" s="1"/>
      <c r="W37" s="1"/>
      <c r="X37" s="1"/>
      <c r="Y37" s="1"/>
      <c r="Z37" s="1"/>
      <c r="AA37" s="1"/>
      <c r="AB37" s="1"/>
      <c r="AC37" s="1"/>
      <c r="AD37" s="1"/>
      <c r="AE37" s="1"/>
      <c r="AF37" s="1"/>
      <c r="AG37" s="1"/>
      <c r="AH37" s="1"/>
      <c r="AI37" s="1"/>
    </row>
    <row r="38">
      <c r="A38" s="1"/>
      <c r="B38" s="1"/>
      <c r="C38" s="1"/>
      <c r="D38" s="1"/>
      <c r="E38" s="1"/>
      <c r="F38" s="1"/>
      <c r="G38" s="1"/>
      <c r="H38" s="1"/>
      <c r="I38" s="1"/>
      <c r="J38" s="1"/>
      <c r="K38" s="1"/>
      <c r="L38" s="1"/>
      <c r="M38" s="1"/>
      <c r="S38" s="1"/>
      <c r="T38" s="1"/>
      <c r="U38" s="1"/>
      <c r="V38" s="1"/>
      <c r="W38" s="1"/>
      <c r="X38" s="1"/>
      <c r="Y38" s="1"/>
      <c r="Z38" s="1"/>
      <c r="AA38" s="1"/>
      <c r="AB38" s="1"/>
      <c r="AC38" s="1"/>
      <c r="AD38" s="1"/>
      <c r="AE38" s="1"/>
      <c r="AF38" s="1"/>
      <c r="AG38" s="1"/>
      <c r="AH38" s="1"/>
      <c r="AI38" s="1"/>
    </row>
    <row r="39">
      <c r="A39" s="1"/>
      <c r="B39" s="1"/>
      <c r="C39" s="1"/>
      <c r="D39" s="1"/>
      <c r="E39" s="1"/>
      <c r="F39" s="1"/>
      <c r="G39" s="1"/>
      <c r="H39" s="1"/>
      <c r="I39" s="1"/>
      <c r="J39" s="1"/>
      <c r="K39" s="1"/>
      <c r="L39" s="1"/>
      <c r="M39" s="1"/>
      <c r="S39" s="1"/>
      <c r="T39" s="1"/>
      <c r="U39" s="1"/>
      <c r="V39" s="1"/>
      <c r="W39" s="1"/>
      <c r="X39" s="1"/>
      <c r="Y39" s="1"/>
      <c r="Z39" s="1"/>
      <c r="AA39" s="1"/>
      <c r="AB39" s="1"/>
      <c r="AC39" s="1"/>
      <c r="AD39" s="1"/>
      <c r="AE39" s="1"/>
      <c r="AF39" s="1"/>
      <c r="AG39" s="1"/>
      <c r="AH39" s="1"/>
      <c r="AI39" s="1"/>
    </row>
    <row r="40">
      <c r="A40" s="1"/>
      <c r="B40" s="1"/>
      <c r="C40" s="1"/>
      <c r="D40" s="1"/>
      <c r="E40" s="1"/>
      <c r="F40" s="1"/>
      <c r="G40" s="1"/>
      <c r="H40" s="1"/>
      <c r="I40" s="1"/>
      <c r="J40" s="1"/>
      <c r="K40" s="1"/>
      <c r="L40" s="1"/>
      <c r="M40" s="1"/>
      <c r="S40" s="1"/>
      <c r="T40" s="1"/>
      <c r="U40" s="1"/>
      <c r="V40" s="1"/>
      <c r="W40" s="1"/>
      <c r="X40" s="1"/>
      <c r="Y40" s="1"/>
      <c r="Z40" s="1"/>
      <c r="AA40" s="1"/>
      <c r="AB40" s="1"/>
      <c r="AC40" s="1"/>
      <c r="AD40" s="1"/>
      <c r="AE40" s="1"/>
      <c r="AF40" s="1"/>
      <c r="AG40" s="1"/>
      <c r="AH40" s="1"/>
      <c r="AI40" s="1"/>
    </row>
    <row r="41">
      <c r="A41" s="1"/>
      <c r="B41" s="1"/>
      <c r="C41" s="1"/>
      <c r="D41" s="1"/>
      <c r="E41" s="1"/>
      <c r="F41" s="1"/>
      <c r="G41" s="1"/>
      <c r="H41" s="1"/>
      <c r="I41" s="1"/>
      <c r="J41" s="1"/>
      <c r="K41" s="1"/>
      <c r="L41" s="1"/>
      <c r="M41" s="1"/>
      <c r="S41" s="1"/>
      <c r="T41" s="1"/>
      <c r="U41" s="1"/>
      <c r="V41" s="1"/>
      <c r="W41" s="1"/>
      <c r="X41" s="1"/>
      <c r="Y41" s="1"/>
      <c r="Z41" s="1"/>
      <c r="AA41" s="1"/>
      <c r="AB41" s="1"/>
      <c r="AC41" s="1"/>
      <c r="AD41" s="1"/>
      <c r="AE41" s="1"/>
      <c r="AF41" s="1"/>
      <c r="AG41" s="1"/>
      <c r="AH41" s="1"/>
      <c r="AI41" s="1"/>
    </row>
    <row r="42">
      <c r="A42" s="1"/>
      <c r="B42" s="1"/>
      <c r="C42" s="1"/>
      <c r="D42" s="1"/>
      <c r="E42" s="1"/>
      <c r="F42" s="1"/>
      <c r="G42" s="1"/>
      <c r="H42" s="1"/>
      <c r="I42" s="1"/>
      <c r="J42" s="1"/>
      <c r="K42" s="1"/>
      <c r="L42" s="1"/>
      <c r="M42" s="1"/>
      <c r="N42" s="117"/>
      <c r="O42" s="117"/>
      <c r="P42" s="117"/>
      <c r="Q42" s="117"/>
      <c r="R42" s="117"/>
      <c r="S42" s="1"/>
      <c r="T42" s="1"/>
      <c r="U42" s="1"/>
      <c r="V42" s="1"/>
      <c r="W42" s="1"/>
      <c r="X42" s="1"/>
      <c r="Y42" s="1"/>
      <c r="Z42" s="1"/>
      <c r="AA42" s="1"/>
      <c r="AB42" s="1"/>
      <c r="AC42" s="1"/>
      <c r="AD42" s="1"/>
      <c r="AE42" s="1"/>
      <c r="AF42" s="1"/>
      <c r="AG42" s="1"/>
      <c r="AH42" s="1"/>
      <c r="AI42" s="1"/>
    </row>
    <row r="43">
      <c r="A43" s="1"/>
      <c r="B43" s="1"/>
      <c r="C43" s="1"/>
      <c r="D43" s="1"/>
      <c r="E43" s="1"/>
      <c r="F43" s="1"/>
      <c r="G43" s="1"/>
      <c r="H43" s="1"/>
      <c r="I43" s="1"/>
      <c r="J43" s="1"/>
      <c r="K43" s="1"/>
      <c r="L43" s="1"/>
      <c r="M43" s="1"/>
      <c r="N43" s="117"/>
      <c r="O43" s="117"/>
      <c r="P43" s="117"/>
      <c r="Q43" s="117"/>
      <c r="R43" s="117"/>
      <c r="S43" s="1"/>
      <c r="T43" s="1"/>
      <c r="U43" s="1"/>
      <c r="V43" s="1"/>
      <c r="W43" s="1"/>
      <c r="X43" s="1"/>
      <c r="Y43" s="1"/>
      <c r="Z43" s="1"/>
      <c r="AA43" s="1"/>
      <c r="AB43" s="1"/>
      <c r="AC43" s="1"/>
      <c r="AD43" s="1"/>
      <c r="AE43" s="1"/>
      <c r="AF43" s="1"/>
      <c r="AG43" s="1"/>
      <c r="AH43" s="1"/>
      <c r="AI43" s="1"/>
    </row>
    <row r="44">
      <c r="A44" s="1"/>
      <c r="B44" s="1"/>
      <c r="C44" s="1"/>
      <c r="D44" s="1"/>
      <c r="E44" s="1"/>
      <c r="F44" s="1"/>
      <c r="G44" s="1"/>
      <c r="H44" s="1"/>
      <c r="I44" s="1"/>
      <c r="J44" s="1"/>
      <c r="K44" s="1"/>
      <c r="L44" s="1"/>
      <c r="M44" s="1"/>
      <c r="N44" s="117"/>
      <c r="O44" s="117"/>
      <c r="P44" s="117"/>
      <c r="Q44" s="117"/>
      <c r="R44" s="117"/>
      <c r="S44" s="1"/>
      <c r="T44" s="1"/>
      <c r="U44" s="1"/>
      <c r="V44" s="1"/>
      <c r="W44" s="1"/>
      <c r="X44" s="1"/>
      <c r="Y44" s="1"/>
      <c r="Z44" s="1"/>
      <c r="AA44" s="1"/>
      <c r="AB44" s="1"/>
      <c r="AC44" s="1"/>
      <c r="AD44" s="1"/>
      <c r="AE44" s="1"/>
      <c r="AF44" s="1"/>
      <c r="AG44" s="1"/>
      <c r="AH44" s="1"/>
      <c r="AI44" s="1"/>
    </row>
    <row r="45">
      <c r="A45" s="1"/>
      <c r="B45" s="1"/>
      <c r="C45" s="1"/>
      <c r="D45" s="1"/>
      <c r="E45" s="1"/>
      <c r="F45" s="1"/>
      <c r="G45" s="1"/>
      <c r="H45" s="1"/>
      <c r="I45" s="1"/>
      <c r="J45" s="1"/>
      <c r="K45" s="1"/>
      <c r="L45" s="1"/>
      <c r="M45" s="1"/>
      <c r="N45" s="117"/>
      <c r="O45" s="117"/>
      <c r="P45" s="117"/>
      <c r="Q45" s="117"/>
      <c r="R45" s="117"/>
      <c r="S45" s="1"/>
      <c r="T45" s="1"/>
      <c r="U45" s="1"/>
      <c r="V45" s="1"/>
      <c r="W45" s="1"/>
      <c r="X45" s="1"/>
      <c r="Y45" s="1"/>
      <c r="Z45" s="1"/>
      <c r="AA45" s="1"/>
      <c r="AB45" s="1"/>
      <c r="AC45" s="1"/>
      <c r="AD45" s="1"/>
      <c r="AE45" s="1"/>
      <c r="AF45" s="1"/>
      <c r="AG45" s="1"/>
      <c r="AH45" s="1"/>
      <c r="AI45" s="1"/>
    </row>
    <row r="46">
      <c r="A46" s="1"/>
      <c r="B46" s="1"/>
      <c r="C46" s="1"/>
      <c r="D46" s="1"/>
      <c r="E46" s="1"/>
      <c r="F46" s="1"/>
      <c r="G46" s="1"/>
      <c r="H46" s="1"/>
      <c r="I46" s="1"/>
      <c r="J46" s="1"/>
      <c r="K46" s="1"/>
      <c r="L46" s="1"/>
      <c r="M46" s="1"/>
      <c r="N46" s="117"/>
      <c r="O46" s="117"/>
      <c r="P46" s="117"/>
      <c r="Q46" s="117"/>
      <c r="R46" s="117"/>
      <c r="S46" s="1"/>
      <c r="T46" s="1"/>
      <c r="U46" s="1"/>
      <c r="V46" s="1"/>
      <c r="W46" s="1"/>
      <c r="X46" s="1"/>
      <c r="Y46" s="1"/>
      <c r="Z46" s="1"/>
      <c r="AA46" s="1"/>
      <c r="AB46" s="1"/>
      <c r="AC46" s="1"/>
      <c r="AD46" s="1"/>
      <c r="AE46" s="1"/>
      <c r="AF46" s="1"/>
      <c r="AG46" s="1"/>
      <c r="AH46" s="1"/>
      <c r="AI46" s="1"/>
    </row>
    <row r="47">
      <c r="A47" s="1"/>
      <c r="B47" s="1"/>
      <c r="C47" s="1"/>
      <c r="D47" s="1"/>
      <c r="E47" s="1"/>
      <c r="F47" s="1"/>
      <c r="G47" s="1"/>
      <c r="H47" s="1"/>
      <c r="I47" s="1"/>
      <c r="J47" s="1"/>
      <c r="K47" s="1"/>
      <c r="L47" s="1"/>
      <c r="M47" s="1"/>
      <c r="N47" s="117"/>
      <c r="O47" s="117"/>
      <c r="P47" s="117"/>
      <c r="Q47" s="117"/>
      <c r="R47" s="117"/>
      <c r="S47" s="1"/>
      <c r="T47" s="1"/>
      <c r="U47" s="1"/>
      <c r="V47" s="1"/>
      <c r="W47" s="1"/>
      <c r="X47" s="1"/>
      <c r="Y47" s="1"/>
      <c r="Z47" s="1"/>
      <c r="AA47" s="1"/>
      <c r="AB47" s="1"/>
      <c r="AC47" s="1"/>
      <c r="AD47" s="1"/>
      <c r="AE47" s="1"/>
      <c r="AF47" s="1"/>
      <c r="AG47" s="1"/>
      <c r="AH47" s="1"/>
      <c r="AI47" s="1"/>
    </row>
    <row r="48">
      <c r="A48" s="1"/>
      <c r="B48" s="1"/>
      <c r="C48" s="1"/>
      <c r="D48" s="1"/>
      <c r="E48" s="1"/>
      <c r="F48" s="1"/>
      <c r="G48" s="1"/>
      <c r="H48" s="1"/>
      <c r="I48" s="1"/>
      <c r="J48" s="1"/>
      <c r="K48" s="1"/>
      <c r="L48" s="1"/>
      <c r="M48" s="1"/>
      <c r="N48" s="117"/>
      <c r="O48" s="117"/>
      <c r="P48" s="117"/>
      <c r="Q48" s="117"/>
      <c r="R48" s="117"/>
      <c r="S48" s="1"/>
      <c r="T48" s="1"/>
      <c r="U48" s="1"/>
      <c r="V48" s="1"/>
      <c r="W48" s="1"/>
      <c r="X48" s="1"/>
      <c r="Y48" s="1"/>
      <c r="Z48" s="1"/>
      <c r="AA48" s="1"/>
      <c r="AB48" s="1"/>
      <c r="AC48" s="1"/>
      <c r="AD48" s="1"/>
      <c r="AE48" s="1"/>
      <c r="AF48" s="1"/>
      <c r="AG48" s="1"/>
      <c r="AH48" s="1"/>
      <c r="AI48" s="1"/>
    </row>
    <row r="49">
      <c r="A49" s="1"/>
      <c r="B49" s="1"/>
      <c r="C49" s="1"/>
      <c r="D49" s="1"/>
      <c r="E49" s="1"/>
      <c r="F49" s="1"/>
      <c r="G49" s="1"/>
      <c r="H49" s="1"/>
      <c r="I49" s="1"/>
      <c r="J49" s="1"/>
      <c r="K49" s="1"/>
      <c r="L49" s="1"/>
      <c r="M49" s="1"/>
      <c r="N49" s="117"/>
      <c r="O49" s="117"/>
      <c r="P49" s="117"/>
      <c r="Q49" s="117"/>
      <c r="R49" s="117"/>
      <c r="S49" s="1"/>
      <c r="T49" s="1"/>
      <c r="U49" s="1"/>
      <c r="V49" s="1"/>
      <c r="W49" s="1"/>
      <c r="X49" s="1"/>
      <c r="Y49" s="1"/>
      <c r="Z49" s="1"/>
      <c r="AA49" s="1"/>
      <c r="AB49" s="1"/>
      <c r="AC49" s="1"/>
      <c r="AD49" s="1"/>
      <c r="AE49" s="1"/>
      <c r="AF49" s="1"/>
      <c r="AG49" s="1"/>
      <c r="AH49" s="1"/>
      <c r="AI49" s="1"/>
    </row>
    <row r="50">
      <c r="A50" s="1"/>
      <c r="B50" s="1"/>
      <c r="C50" s="1"/>
      <c r="D50" s="1"/>
      <c r="E50" s="1"/>
      <c r="F50" s="1"/>
      <c r="G50" s="1"/>
      <c r="H50" s="1"/>
      <c r="I50" s="1"/>
      <c r="J50" s="1"/>
      <c r="K50" s="1"/>
      <c r="L50" s="1"/>
      <c r="M50" s="1"/>
      <c r="N50" s="117"/>
      <c r="O50" s="117"/>
      <c r="P50" s="117"/>
      <c r="Q50" s="117"/>
      <c r="R50" s="117"/>
      <c r="S50" s="1"/>
      <c r="T50" s="1"/>
      <c r="U50" s="1"/>
      <c r="V50" s="1"/>
      <c r="W50" s="1"/>
      <c r="X50" s="1"/>
      <c r="Y50" s="1"/>
      <c r="Z50" s="1"/>
      <c r="AA50" s="1"/>
      <c r="AB50" s="1"/>
      <c r="AC50" s="1"/>
      <c r="AD50" s="1"/>
      <c r="AE50" s="1"/>
      <c r="AF50" s="1"/>
      <c r="AG50" s="1"/>
      <c r="AH50" s="1"/>
      <c r="AI50" s="1"/>
    </row>
  </sheetData>
  <mergeCells count="33">
    <mergeCell ref="D6:F6"/>
    <mergeCell ref="D7:F7"/>
    <mergeCell ref="B11:F12"/>
    <mergeCell ref="B13:F16"/>
    <mergeCell ref="B17:F22"/>
    <mergeCell ref="B24:F25"/>
    <mergeCell ref="B27:F30"/>
    <mergeCell ref="B5:B6"/>
    <mergeCell ref="B8:C8"/>
    <mergeCell ref="M1:R2"/>
    <mergeCell ref="N4:R4"/>
    <mergeCell ref="D5:F5"/>
    <mergeCell ref="H5:I8"/>
    <mergeCell ref="K5:L8"/>
    <mergeCell ref="N6:O6"/>
    <mergeCell ref="D8:F8"/>
    <mergeCell ref="H17:I19"/>
    <mergeCell ref="J17:L19"/>
    <mergeCell ref="J14:L16"/>
    <mergeCell ref="J20:L22"/>
    <mergeCell ref="J26:L28"/>
    <mergeCell ref="N18:R25"/>
    <mergeCell ref="N26:R28"/>
    <mergeCell ref="N29:R32"/>
    <mergeCell ref="N33:R36"/>
    <mergeCell ref="N37:R41"/>
    <mergeCell ref="N7:O7"/>
    <mergeCell ref="N8:O8"/>
    <mergeCell ref="J11:L13"/>
    <mergeCell ref="N11:R12"/>
    <mergeCell ref="N13:R15"/>
    <mergeCell ref="N16:R17"/>
    <mergeCell ref="J23:L25"/>
  </mergeCells>
  <conditionalFormatting sqref="P7:P8">
    <cfRule type="cellIs" dxfId="0" priority="1" operator="equal">
      <formula>"ACTIVE"</formula>
    </cfRule>
  </conditionalFormatting>
  <conditionalFormatting sqref="P7:P8">
    <cfRule type="containsText" dxfId="1" priority="2" operator="containsText" text="INACTIVE">
      <formula>NOT(ISERROR(SEARCH(("INACTIVE"),(P7))))</formula>
    </cfRule>
  </conditionalFormatting>
  <dataValidations>
    <dataValidation type="list" allowBlank="1" sqref="P7:P8">
      <formula1>"ACTIVE,INACTIVE"</formula1>
    </dataValidation>
    <dataValidation type="list" allowBlank="1" sqref="P6">
      <formula1>'Formula References'!$A$271:$E$271</formula1>
    </dataValidation>
  </dataValidations>
  <hyperlinks>
    <hyperlink r:id="rId2" ref="N4"/>
  </hyperlinks>
  <drawing r:id="rId3"/>
  <legacy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pageSetUpPr/>
  </sheetPr>
  <sheetViews>
    <sheetView showGridLines="0" workbookViewId="0"/>
  </sheetViews>
  <sheetFormatPr customHeight="1" defaultColWidth="12.63" defaultRowHeight="15.75"/>
  <cols>
    <col customWidth="1" min="1" max="1" width="1.25"/>
    <col customWidth="1" min="2" max="23" width="3.25"/>
    <col customWidth="1" min="24" max="24" width="17.63"/>
    <col customWidth="1" min="25" max="72" width="3.25"/>
  </cols>
  <sheetData>
    <row r="1" ht="3.0" customHeight="1">
      <c r="A1" s="3"/>
      <c r="B1" s="5"/>
      <c r="C1" s="5"/>
      <c r="D1" s="5"/>
      <c r="E1" s="5"/>
      <c r="F1" s="5"/>
      <c r="G1" s="5"/>
      <c r="H1" s="5"/>
      <c r="I1" s="5"/>
      <c r="J1" s="5"/>
      <c r="K1" s="5"/>
      <c r="L1" s="5"/>
      <c r="M1" s="5"/>
      <c r="N1" s="5"/>
      <c r="O1" s="5"/>
      <c r="P1" s="5"/>
      <c r="Q1" s="5"/>
      <c r="R1" s="5"/>
      <c r="S1" s="5"/>
      <c r="T1" s="5"/>
      <c r="U1" s="5"/>
      <c r="V1" s="5"/>
      <c r="W1" s="5"/>
      <c r="X1" s="5"/>
      <c r="Y1" s="5"/>
      <c r="Z1" s="10"/>
      <c r="AA1" s="10"/>
      <c r="AB1" s="10"/>
      <c r="AC1" s="10"/>
      <c r="AD1" s="11" t="s">
        <v>9</v>
      </c>
      <c r="AE1" s="12"/>
      <c r="AF1" s="12"/>
      <c r="AG1" s="13" t="s">
        <v>10</v>
      </c>
      <c r="AH1" s="12"/>
      <c r="AI1" s="12"/>
      <c r="AJ1" s="12"/>
      <c r="AK1" s="13" t="s">
        <v>11</v>
      </c>
      <c r="AL1" s="13" t="s">
        <v>12</v>
      </c>
      <c r="AM1" s="14" t="s">
        <v>13</v>
      </c>
      <c r="AN1" s="14" t="s">
        <v>14</v>
      </c>
      <c r="AO1" s="13" t="s">
        <v>15</v>
      </c>
      <c r="AP1" s="13" t="s">
        <v>16</v>
      </c>
      <c r="AQ1" s="14" t="s">
        <v>17</v>
      </c>
      <c r="AR1" s="15"/>
      <c r="AS1" s="16"/>
      <c r="BP1" s="18"/>
      <c r="BQ1" s="19"/>
      <c r="BR1" s="19"/>
      <c r="BS1" s="19"/>
      <c r="BT1" s="19"/>
    </row>
    <row r="2">
      <c r="A2" s="15"/>
      <c r="B2" s="21" t="s">
        <v>19</v>
      </c>
      <c r="C2" s="23"/>
      <c r="D2" s="23"/>
      <c r="E2" s="23"/>
      <c r="F2" s="23"/>
      <c r="G2" s="23"/>
      <c r="H2" s="24"/>
      <c r="I2" s="25"/>
      <c r="J2" s="21" t="s">
        <v>20</v>
      </c>
      <c r="K2" s="23"/>
      <c r="L2" s="24"/>
      <c r="M2" s="25"/>
      <c r="N2" s="27" t="s">
        <v>22</v>
      </c>
      <c r="O2" s="23"/>
      <c r="P2" s="24"/>
      <c r="Q2" s="25"/>
      <c r="R2" s="27"/>
      <c r="S2" s="23"/>
      <c r="T2" s="24"/>
      <c r="U2" s="25"/>
      <c r="V2" s="27" t="s">
        <v>23</v>
      </c>
      <c r="W2" s="23"/>
      <c r="X2" s="24"/>
      <c r="Y2" s="15"/>
      <c r="Z2" s="18"/>
      <c r="AA2" s="30" t="s">
        <v>24</v>
      </c>
      <c r="AB2" s="15"/>
      <c r="AC2" s="10"/>
      <c r="AD2" s="31" t="s">
        <v>25</v>
      </c>
      <c r="AE2" s="32" t="s">
        <v>26</v>
      </c>
      <c r="AF2" s="33"/>
      <c r="AG2" s="33"/>
      <c r="AH2" s="33"/>
      <c r="AI2" s="33"/>
      <c r="AJ2" s="33"/>
      <c r="AK2" s="37">
        <f>if($AQ2&gt;0, int(vlookup($AE2, 'Class Charts'!$B:$N,2,False)),)</f>
        <v>6</v>
      </c>
      <c r="AL2" s="41">
        <f>if('Welcome Page'!$P$6="Consolidated", 
    if($AQ2&gt;0,   
       MAX(1,int((vlookup($AE2, 'Class Charts'!$B:$N,7,False)+Intelligence)/2)),
      ),
    if($AQ2&gt;0, 
       MAX(1,if('Welcome Page'!$P$8="ACTIVE",
          Max(4,vlookup($AE2, 'Class Charts'!$B:$N,7,False))+Intelligence,
                vlookup($AE2, 'Class Charts'!$B:$N,7,False)+Intelligence)),
      )
    )</f>
        <v>14</v>
      </c>
      <c r="AM2" s="44">
        <f>if($AQ2&gt;0, int(vlookup($AE2, 'Class Charts'!$B:$N,3,False)*$AQ2),)</f>
        <v>1</v>
      </c>
      <c r="AN2" s="48">
        <f>if($AQ2&gt;0,
    if(vlookup($AE2,'Class Charts'!$B:$N,4,false)="Good",2+INT($AQ2/2),
    if(vlookup($AE2,'Class Charts'!$B:$N,4,false)="Poor",  int($AQ2/3),
    if(vlookup($AE2,'Class Charts'!$B:$N,4,false)="Prestige Good",INT(($AQ2+1)/2),
    if(vlookup($AE2,'Class Charts'!$B:$N,4,false)="Prestige Poor",INT(($AQ2+1)/3),)))),)</f>
        <v>3</v>
      </c>
      <c r="AO2" s="48">
        <f>if($AQ2&gt;0,
    if(vlookup($AE2,'Class Charts'!$B:$N,5,false)="Good",2+INT($AQ2/2),
    if(vlookup($AE2,'Class Charts'!$B:$N,5,false)="Poor",  int($AQ2/3),
    if(vlookup($AE2,'Class Charts'!$B:$N,5,false)="Prestige Good",INT(($AQ2+1)/2),
    if(vlookup($AE2,'Class Charts'!$B:$N,5,false)="Prestige Poor",INT(($AQ2+1)/3),)))),)</f>
        <v>1</v>
      </c>
      <c r="AP2" s="48">
        <f>if($AQ2&gt;0,
    if(vlookup($AE2,'Class Charts'!$B:$N,6,false)="Good",2+INT($AQ2/2),
    if(vlookup($AE2,'Class Charts'!$B:$N,6,false)="Poor",  int($AQ2/3),
    if(vlookup($AE2,'Class Charts'!$B:$N,6,false)="Prestige Good",INT(($AQ2+1)/2),
    if(vlookup($AE2,'Class Charts'!$B:$N,6,false)="Prestige Poor",INT(($AQ2+1)/3),)))),)</f>
        <v>3</v>
      </c>
      <c r="AQ2" s="53">
        <v>3.0</v>
      </c>
      <c r="AR2" s="15"/>
      <c r="BP2" s="18"/>
      <c r="BQ2" s="5"/>
      <c r="BR2" s="5"/>
      <c r="BS2" s="5"/>
      <c r="BT2" s="5"/>
    </row>
    <row r="3" ht="10.5" customHeight="1">
      <c r="A3" s="15"/>
      <c r="B3" s="58" t="s">
        <v>35</v>
      </c>
      <c r="C3" s="23"/>
      <c r="D3" s="23"/>
      <c r="E3" s="23"/>
      <c r="F3" s="23"/>
      <c r="G3" s="23"/>
      <c r="H3" s="24"/>
      <c r="I3" s="25"/>
      <c r="J3" s="58" t="s">
        <v>38</v>
      </c>
      <c r="K3" s="23"/>
      <c r="L3" s="24"/>
      <c r="M3" s="25"/>
      <c r="N3" s="58" t="s">
        <v>39</v>
      </c>
      <c r="O3" s="23"/>
      <c r="P3" s="24"/>
      <c r="Q3" s="25"/>
      <c r="R3" s="58" t="s">
        <v>40</v>
      </c>
      <c r="S3" s="23"/>
      <c r="T3" s="24"/>
      <c r="U3" s="25"/>
      <c r="V3" s="58" t="s">
        <v>41</v>
      </c>
      <c r="W3" s="23"/>
      <c r="X3" s="24"/>
      <c r="Y3" s="15"/>
      <c r="Z3" s="61"/>
      <c r="AA3" s="5" t="s">
        <v>42</v>
      </c>
      <c r="AB3" s="10"/>
      <c r="AC3" s="10"/>
      <c r="AD3" s="65" t="s">
        <v>43</v>
      </c>
      <c r="AE3" s="71" t="s">
        <v>46</v>
      </c>
      <c r="AF3" s="23"/>
      <c r="AG3" s="23"/>
      <c r="AH3" s="23"/>
      <c r="AI3" s="23"/>
      <c r="AJ3" s="23"/>
      <c r="AK3" s="74">
        <f>if($AQ3&gt;0, int(vlookup($AE3, 'Class Charts'!$B:$N,2,False)),)</f>
        <v>8</v>
      </c>
      <c r="AL3" s="79">
        <f>if('Welcome Page'!$P$6="Consolidated", 
    if($AQ3&gt;0,   
       MAX(1,int((vlookup($AE3, 'Class Charts'!$B:$N,7,False)+Intelligence)/2)),
      ),
    if($AQ3&gt;0, 
       MAX(1,if('Welcome Page'!$P$8="ACTIVE",
          Max(4,vlookup($AE3, 'Class Charts'!$B:$N,7,False))+Intelligence,
                vlookup($AE3, 'Class Charts'!$B:$N,7,False)+Intelligence)),
      )
    )</f>
        <v>14</v>
      </c>
      <c r="AM3" s="81">
        <f>if($AQ3&gt;0, int(vlookup($AE3, 'Class Charts'!$B:$N,3,False)*$AQ3),)</f>
        <v>2</v>
      </c>
      <c r="AN3" s="85">
        <f>if($AQ3&gt;0,
    if(vlookup($AE3,'Class Charts'!$B:$N,4,false)="Good",2+INT($AQ3/2),
    if(vlookup($AE3,'Class Charts'!$B:$N,4,false)="Poor",  int($AQ3/3),
    if(vlookup($AE3,'Class Charts'!$B:$N,4,false)="Prestige Good",INT(($AQ3+1)/2),
    if(vlookup($AE3,'Class Charts'!$B:$N,4,false)="Prestige Poor",INT(($AQ3+1)/3),)))),)</f>
        <v>1</v>
      </c>
      <c r="AO3" s="85">
        <f>if($AQ3&gt;0,
    if(vlookup($AE3,'Class Charts'!$B:$N,5,false)="Good",2+INT($AQ3/2),
    if(vlookup($AE3,'Class Charts'!$B:$N,5,false)="Poor",  int($AQ3/3),
    if(vlookup($AE3,'Class Charts'!$B:$N,5,false)="Prestige Good",INT(($AQ3+1)/2),
    if(vlookup($AE3,'Class Charts'!$B:$N,5,false)="Prestige Poor",INT(($AQ3+1)/3),)))),)</f>
        <v>1</v>
      </c>
      <c r="AP3" s="85">
        <f>if($AQ3&gt;0,
    if(vlookup($AE3,'Class Charts'!$B:$N,6,false)="Good",2+INT($AQ3/2),
    if(vlookup($AE3,'Class Charts'!$B:$N,6,false)="Poor",  int($AQ3/3),
    if(vlookup($AE3,'Class Charts'!$B:$N,6,false)="Prestige Good",INT(($AQ3+1)/2),
    if(vlookup($AE3,'Class Charts'!$B:$N,6,false)="Prestige Poor",INT(($AQ3+1)/3),)))),)</f>
        <v>3</v>
      </c>
      <c r="AQ3" s="92">
        <v>3.0</v>
      </c>
      <c r="AR3" s="15"/>
      <c r="BP3" s="18"/>
      <c r="BQ3" s="5"/>
      <c r="BR3" s="5"/>
      <c r="BS3" s="5"/>
      <c r="BT3" s="5"/>
    </row>
    <row r="4" ht="10.5" customHeight="1">
      <c r="A4" s="15"/>
      <c r="B4" s="25"/>
      <c r="C4" s="25"/>
      <c r="D4" s="25"/>
      <c r="E4" s="25"/>
      <c r="F4" s="25"/>
      <c r="G4" s="25"/>
      <c r="H4" s="25"/>
      <c r="I4" s="25"/>
      <c r="J4" s="15"/>
      <c r="U4" s="25"/>
      <c r="V4" s="25"/>
      <c r="W4" s="25" t="str">
        <f>iferror((HLOOKUP(V2,'Formula References'!B114:D134,AQ6+2,false)-V5)/1000&amp;"k XP to next level","")</f>
        <v>9k XP to next level</v>
      </c>
      <c r="X4" s="25"/>
      <c r="Y4" s="25"/>
      <c r="Z4" s="99"/>
      <c r="AA4" s="5" t="s">
        <v>59</v>
      </c>
      <c r="AB4" s="10"/>
      <c r="AC4" s="10"/>
      <c r="AD4" s="65" t="s">
        <v>62</v>
      </c>
      <c r="AE4" s="71"/>
      <c r="AF4" s="23"/>
      <c r="AG4" s="23"/>
      <c r="AH4" s="23"/>
      <c r="AI4" s="23"/>
      <c r="AJ4" s="23"/>
      <c r="AK4" s="74" t="str">
        <f>if($AQ4&gt;0, int(vlookup($AE4, 'Class Charts'!$B:$N,2,False)),)</f>
        <v/>
      </c>
      <c r="AL4" s="79" t="str">
        <f>if('Welcome Page'!$P$6="Consolidated", 
    if($AQ4&gt;0,   
       MAX(1,int((vlookup($AE4, 'Class Charts'!$B:$N,7,False)+Intelligence)/2)),
      ),
    if($AQ4&gt;0, 
       MAX(1,if('Welcome Page'!$P$8="ACTIVE",
          Max(4,vlookup($AE4, 'Class Charts'!$B:$N,7,False))+Intelligence,
                vlookup($AE4, 'Class Charts'!$B:$N,7,False)+Intelligence)),
      )
    )</f>
        <v/>
      </c>
      <c r="AM4" s="81" t="str">
        <f>if($AQ4&gt;0, int(vlookup($AE4, 'Class Charts'!$B:$N,3,False)*$AQ4),)</f>
        <v/>
      </c>
      <c r="AN4" s="85" t="str">
        <f>if($AQ4&gt;0,
    if(vlookup($AE4,'Class Charts'!$B:$N,4,false)="Good",2+INT($AQ4/2),
    if(vlookup($AE4,'Class Charts'!$B:$N,4,false)="Poor",  int($AQ4/3),
    if(vlookup($AE4,'Class Charts'!$B:$N,4,false)="Prestige Good",INT(($AQ4+1)/2),
    if(vlookup($AE4,'Class Charts'!$B:$N,4,false)="Prestige Poor",INT(($AQ4+1)/3),)))),)</f>
        <v/>
      </c>
      <c r="AO4" s="85" t="str">
        <f>if($AQ4&gt;0,
    if(vlookup($AE4,'Class Charts'!$B:$N,5,false)="Good",2+INT($AQ4/2),
    if(vlookup($AE4,'Class Charts'!$B:$N,5,false)="Poor",  int($AQ4/3),
    if(vlookup($AE4,'Class Charts'!$B:$N,5,false)="Prestige Good",INT(($AQ4+1)/2),
    if(vlookup($AE4,'Class Charts'!$B:$N,5,false)="Prestige Poor",INT(($AQ4+1)/3),)))),)</f>
        <v/>
      </c>
      <c r="AP4" s="85" t="str">
        <f>if($AQ4&gt;0,
    if(vlookup($AE4,'Class Charts'!$B:$N,6,false)="Good",2+INT($AQ4/2),
    if(vlookup($AE4,'Class Charts'!$B:$N,6,false)="Poor",  int($AQ4/3),
    if(vlookup($AE4,'Class Charts'!$B:$N,6,false)="Prestige Good",INT(($AQ4+1)/2),
    if(vlookup($AE4,'Class Charts'!$B:$N,6,false)="Prestige Poor",INT(($AQ4+1)/3),)))),)</f>
        <v/>
      </c>
      <c r="AQ4" s="92"/>
      <c r="AR4" s="15"/>
      <c r="BP4" s="18"/>
      <c r="BQ4" s="5"/>
      <c r="BR4" s="5"/>
      <c r="BS4" s="5"/>
      <c r="BT4" s="5"/>
    </row>
    <row r="5">
      <c r="A5" s="15"/>
      <c r="B5" s="27" t="s">
        <v>23</v>
      </c>
      <c r="C5" s="23"/>
      <c r="D5" s="120" t="str">
        <f>iferror(OFFSET('Formula References'!$A$137,MIN(MAX(1,MATCH($B$5,'Formula References'!$B$138:$B$146,0)+AK74),9),0),
         OFFSET('Formula References'!$A$137,MIN(MAX(1,MATCH("Medium",'Formula References'!$B$138:$B$146,0)+AK74),9),0)
)</f>
        <v>M</v>
      </c>
      <c r="E5" s="25"/>
      <c r="F5" s="27" t="s">
        <v>75</v>
      </c>
      <c r="G5" s="24"/>
      <c r="H5" s="122"/>
      <c r="I5" s="25"/>
      <c r="U5" s="10"/>
      <c r="V5" s="27"/>
      <c r="W5" s="23"/>
      <c r="X5" s="24"/>
      <c r="Y5" s="10"/>
      <c r="Z5" s="124"/>
      <c r="AA5" s="5" t="s">
        <v>80</v>
      </c>
      <c r="AB5" s="10"/>
      <c r="AC5" s="10"/>
      <c r="AD5" s="127"/>
      <c r="AE5" s="67"/>
      <c r="AF5" s="67"/>
      <c r="AG5" s="67"/>
      <c r="AH5" s="67"/>
      <c r="AI5" s="67"/>
      <c r="AJ5" s="67"/>
      <c r="AK5" s="129"/>
      <c r="AL5" s="132"/>
      <c r="AM5" s="137"/>
      <c r="AN5" s="141"/>
      <c r="AO5" s="147"/>
      <c r="AP5" s="141"/>
      <c r="AQ5" s="150"/>
      <c r="AR5" s="15"/>
      <c r="BP5" s="18"/>
      <c r="BQ5" s="5"/>
      <c r="BR5" s="5"/>
      <c r="BS5" s="5"/>
      <c r="BT5" s="5"/>
    </row>
    <row r="6" ht="12.0" customHeight="1">
      <c r="A6" s="15"/>
      <c r="B6" s="58" t="s">
        <v>99</v>
      </c>
      <c r="C6" s="23"/>
      <c r="D6" s="24"/>
      <c r="E6" s="25"/>
      <c r="F6" s="58" t="s">
        <v>100</v>
      </c>
      <c r="G6" s="23"/>
      <c r="H6" s="24"/>
      <c r="I6" s="25"/>
      <c r="U6" s="10"/>
      <c r="V6" s="58" t="s">
        <v>101</v>
      </c>
      <c r="W6" s="23"/>
      <c r="X6" s="24"/>
      <c r="Y6" s="10"/>
      <c r="Z6" s="58" t="s">
        <v>102</v>
      </c>
      <c r="AA6" s="23"/>
      <c r="AB6" s="24"/>
      <c r="AC6" s="154" t="b">
        <v>1</v>
      </c>
      <c r="AD6" s="155" t="s">
        <v>105</v>
      </c>
      <c r="AE6" s="156"/>
      <c r="AF6" s="156"/>
      <c r="AG6" s="156"/>
      <c r="AH6" s="156"/>
      <c r="AI6" s="156"/>
      <c r="AJ6" s="156"/>
      <c r="AK6" s="160">
        <f>if(AC6=FALSE, HLOOKUP($V$8,'Formula References'!H3:M4,2,false)+Z3,MAX(HLOOKUP($V$8,'Formula References'!H3:M8,3,false)+Z3,HLOOKUP($V$8,'Formula References'!H3:M8,4,false)+Z3,HLOOKUP($V$8,'Formula References'!H3:M8,5,false)+Z3))</f>
        <v>36</v>
      </c>
      <c r="AL6" s="163">
        <f t="array" ref="AL6">if(AC6=FALSE, SUM(AL2:AL4*AQ2:AQ4,AS2:AS4)+Z4,MAX(AL2:AL4*AQ2:AQ4)+Z4)</f>
        <v>42</v>
      </c>
      <c r="AM6" s="164">
        <f>if(AC6=FALSE,SUM(AM2:AM5),MAX(AM2:AM5))</f>
        <v>2</v>
      </c>
      <c r="AN6" s="164">
        <f>if(AC6=FALSE,SUM(AN2:AN5),MAX(AN2:AN5))</f>
        <v>3</v>
      </c>
      <c r="AO6" s="164">
        <f>if(AC6=FALSE,SUM(AO2:AO5),MAX(AO2:AO5))</f>
        <v>1</v>
      </c>
      <c r="AP6" s="164">
        <f>if(AC6=FALSE,SUM(AP2:AP5), MAX(AP2:AP5))</f>
        <v>3</v>
      </c>
      <c r="AQ6" s="171">
        <f>if(AC6=TRUE,Max(AQ2:AQ4), SUM(AQ2:AQ4))</f>
        <v>3</v>
      </c>
      <c r="AR6" s="15"/>
      <c r="BP6" s="18"/>
      <c r="BQ6" s="5"/>
      <c r="BR6" s="5"/>
      <c r="BS6" s="5"/>
      <c r="BT6" s="5"/>
    </row>
    <row r="7" ht="12.75" customHeight="1">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76" t="s">
        <v>115</v>
      </c>
      <c r="AL7" s="176" t="s">
        <v>116</v>
      </c>
      <c r="AM7" s="177" t="s">
        <v>13</v>
      </c>
      <c r="AN7" s="177" t="s">
        <v>14</v>
      </c>
      <c r="AO7" s="176" t="s">
        <v>15</v>
      </c>
      <c r="AP7" s="176" t="s">
        <v>16</v>
      </c>
      <c r="AQ7" s="177" t="s">
        <v>17</v>
      </c>
      <c r="AR7" s="15"/>
      <c r="BP7" s="18"/>
      <c r="BQ7" s="5"/>
      <c r="BR7" s="5"/>
      <c r="BS7" s="5"/>
      <c r="BT7" s="5"/>
    </row>
    <row r="8" ht="14.25" customHeight="1">
      <c r="A8" s="15"/>
      <c r="B8" s="179" t="s">
        <v>117</v>
      </c>
      <c r="C8" s="156"/>
      <c r="D8" s="180"/>
      <c r="E8" s="181"/>
      <c r="F8" s="181" t="s">
        <v>118</v>
      </c>
      <c r="G8" s="181" t="s">
        <v>119</v>
      </c>
      <c r="H8" s="182"/>
      <c r="I8" s="181" t="s">
        <v>120</v>
      </c>
      <c r="J8" s="181" t="s">
        <v>121</v>
      </c>
      <c r="K8" s="181" t="s">
        <v>122</v>
      </c>
      <c r="L8" s="181" t="s">
        <v>123</v>
      </c>
      <c r="M8" s="184" t="s">
        <v>124</v>
      </c>
      <c r="N8" s="15"/>
      <c r="O8" s="179" t="s">
        <v>127</v>
      </c>
      <c r="P8" s="156"/>
      <c r="Q8" s="180"/>
      <c r="R8" s="181"/>
      <c r="S8" s="181"/>
      <c r="T8" s="181"/>
      <c r="U8" s="188" t="s">
        <v>130</v>
      </c>
      <c r="V8" s="190" t="s">
        <v>131</v>
      </c>
      <c r="W8" s="191"/>
      <c r="X8" s="191"/>
      <c r="Y8" s="191"/>
      <c r="Z8" s="181"/>
      <c r="AA8" s="181"/>
      <c r="AB8" s="181"/>
      <c r="AC8" s="194"/>
      <c r="AD8" s="196" t="s">
        <v>136</v>
      </c>
      <c r="AE8" s="197"/>
      <c r="AF8" s="199"/>
      <c r="AG8" s="200"/>
      <c r="AH8" s="200" t="str">
        <f>SUM($AL$9:$AL$45)-if(OR('Welcome Page'!$P$6="Background Skills", 'Welcome Page'!$P$6="Ultimate Psionics + Background Skills")=TRUE,MIN(2*$AQ$6, sum($AL$35:$AL$45)),)&amp;" / "&amp;AL6</f>
        <v>42 / 42</v>
      </c>
      <c r="AI8" s="181"/>
      <c r="AJ8" s="203" t="s">
        <v>141</v>
      </c>
      <c r="AK8" s="204"/>
      <c r="AL8" s="203" t="s">
        <v>116</v>
      </c>
      <c r="AM8" s="203" t="s">
        <v>142</v>
      </c>
      <c r="AN8" s="203" t="s">
        <v>10</v>
      </c>
      <c r="AO8" s="203" t="s">
        <v>137</v>
      </c>
      <c r="AP8" s="203" t="s">
        <v>123</v>
      </c>
      <c r="AQ8" s="184" t="s">
        <v>143</v>
      </c>
      <c r="AR8" s="194"/>
      <c r="BP8" s="18"/>
      <c r="BQ8" s="5"/>
      <c r="BR8" s="5"/>
      <c r="BS8" s="5"/>
      <c r="BT8" s="5"/>
    </row>
    <row r="9" ht="7.5" customHeight="1">
      <c r="A9" s="12"/>
      <c r="B9" s="14"/>
      <c r="C9" s="14"/>
      <c r="D9" s="14"/>
      <c r="E9" s="208" t="s">
        <v>144</v>
      </c>
      <c r="F9" s="212">
        <f>MAX(0,SUM(I9:L9)-ABS(M9)+iferror(vlookup(E9,'Formula References'!$A$28:$F$34,MATCH($F$5,'Formula References'!$A$28:$F$28,0),false),0))</f>
        <v>10</v>
      </c>
      <c r="G9" s="213">
        <f t="shared" ref="G9:G14" si="1">MAX(-5,int((F9-10)/2))</f>
        <v>0</v>
      </c>
      <c r="H9" s="215" t="s">
        <v>145</v>
      </c>
      <c r="I9" s="218">
        <v>10.0</v>
      </c>
      <c r="J9" s="220"/>
      <c r="K9" s="220"/>
      <c r="L9" s="224">
        <f>IFERROR(__xludf.DUMMYFUNCTION("SUM(MAX(IFERROR(FILTER(S76:S116,$K76:$K116 = ""ACTIVE"",$G76:$G116 = ""Alchemical"",S76:S116&gt;0)))+SUM(IFERROR(FILTER(S76:S116,$K76:$K116 = ""ACTIVE"",$G76:$G116 = ""Alchemical"",S76:S116&lt;0))),
MAX(IFERROR(FILTER(S76:S116,$K76:$K116 = ""ACTIVE"",$G76:$G116"&amp;" = ""Armor"",S76:S116&gt;0)))+SUM(IFERROR(FILTER(S76:S116,$K76:$K116 = ""ACTIVE"",$G76:$G116 = ""Armor"",S76:S116&lt;0))),
MAX(IFERROR(FILTER(S76:S116,$K76:$K116 = ""ACTIVE"",$G76:$G116 = ""Competence"",S76:S116&gt;0)))+SUM(IFERROR(FILTER(S76:S116,$K76:$K116 = ""A"&amp;"CTIVE"",$G76:$G116 = ""Competence"",S76:S116&lt;0))),
MAX(0,-$J$9+IFERROR(FILTER(S76:S116,$K76:$K116 = ""ACTIVE"",$G76:$G116 = ""Deflect/Enhance/Resist"",S76:S116&gt;0)))+SUM(IFERROR(FILTER(S76:S116,$K76:$K116 = ""ACTIVE"",$G76:$G116 = ""Deflect/Enhance/Resist"&amp;""",S76:S116&lt;0))),
MAX(IFERROR(FILTER(S76:S116,$K76:$K116 = ""ACTIVE"",$G76:$G116 = ""Insight"",S76:S116&gt;0)))+SUM(IFERROR(FILTER(S76:S116,$K76:$K116 = ""ACTIVE"",$G76:$G116 = ""Insight"",S76:S116&lt;0))),
MAX(IFERROR(FILTER(S76:S116,$K76:$K116 = ""ACTIVE"",$G"&amp;"76:$G116 = ""Luck"",S76:S116&gt;0)))+SUM(IFERROR(FILTER(S76:S116,$K76:$K116 = ""ACTIVE"",$G76:$G116 = ""Luck"",S76:S116&lt;0))),
MAX(IFERROR(FILTER(S76:S116,$K76:$K116 = ""ACTIVE"",$G76:$G116 = ""Morale"",S76:S116&gt;0)))+SUM(IFERROR(FILTER(S76:S116,$K76:$K116 = "&amp;"""ACTIVE"",$G76:$G116 = ""Morale"",S76:S116&lt;0))),
MAX(IFERROR(FILTER(S76:S116,$K76:$K116 = ""ACTIVE"",$G76:$G116 = ""Precision Damage"",S76:S116&gt;0)))+SUM(IFERROR(FILTER(S76:S116,$K76:$K116 = ""ACTIVE"",$G76:$G116 = ""Precision Damage"",S76:S116&lt;0))),
MAX("&amp;"IFERROR(FILTER(S76:S116,$K76:$K116 = ""ACTIVE"",$G76:$G116 = ""Sacred / Profane"",S76:S116&gt;0)))+SUM(IFERROR(FILTER(S76:S116,$K76:$K116 = ""ACTIVE"",$G76:$G116 = ""Sacred / Profane"",S76:S116&lt;0))),
MAX(IFERROR(FILTER(S76:S116,$K76:$K116 = ""ACTIVE"",$G76:$"&amp;"G116 = ""Size"",S76:S116&gt;0)))+SUM(IFERROR(FILTER(S76:S116,$K76:$K116 = ""ACTIVE"",$G76:$G116 = ""Size"",S76:S116&lt;0))),
SUM(IFERROR(FILTER(S76:S116,$K76:$K116 = ""ACTIVE"",$G76:$G116 = ""Untyped (stacks)"")),),
SUM(IFERROR(FILTER(S76:S116,$K76:$K116 = ""AC"&amp;"TIVE"",$G76:$G116 = ""Dodge (stacks)"")),),
SUM(IFERROR(FILTER(S76:S116,$K76:$K116 = ""ACTIVE"",$G76:$G116 = ""Circumstance (stacks)"")),))
"),0.0)</f>
        <v>0</v>
      </c>
      <c r="M9" s="225"/>
      <c r="N9" s="15"/>
      <c r="O9" s="15"/>
      <c r="P9" s="227" t="s">
        <v>150</v>
      </c>
      <c r="Q9" s="15"/>
      <c r="R9" s="15"/>
      <c r="S9" s="231" t="str">
        <f>$AK$6-abs($S$13)-abs($Z$14)-iferror(5*$Y$39,"") &amp; " / " &amp; $AK$6-iferror(5*$Y$39,"")</f>
        <v>36 / 36</v>
      </c>
      <c r="T9" s="67"/>
      <c r="U9" s="67"/>
      <c r="V9" s="67"/>
      <c r="W9" s="67"/>
      <c r="X9" s="67"/>
      <c r="Y9" s="67"/>
      <c r="Z9" s="235" t="s">
        <v>152</v>
      </c>
      <c r="AA9" s="67"/>
      <c r="AB9" s="69"/>
      <c r="AC9" s="194"/>
      <c r="AD9" s="244" t="str">
        <f>IF(OR(
  iferror(vlookup($AE$2, 'Class Skills'!$A:$BE,MATCH(AE9,'Class Skills'!$1:$1,0),false),"")="X",
  iferror(vlookup($AE$3, 'Class Skills'!$A:$BE,MATCH(AE9,'Class Skills'!$1:$1,0),false),"")="X",
  iferror(vlookup($AE$4, 'Class Skills'!$A:$BE,MATCH(AE9,'Class Skills'!$1:$1,0),false),"")="X",
  iferror(vlookup(#REF!, 'Class Skills'!$A:$BE,MATCH(AE9,'Class Skills'!$1:$1,0),false),"")="X"),"X",)</f>
        <v>X</v>
      </c>
      <c r="AE9" s="249" t="str">
        <f>Offset('Formula References'!A271,1,Match('Welcome Page'!P6,'Formula References'!A271:E271,0)-1,34)</f>
        <v>Acrobatics</v>
      </c>
      <c r="AF9" s="251"/>
      <c r="AG9" s="251"/>
      <c r="AH9" s="254"/>
      <c r="AI9" s="257" t="str">
        <f>HLOOKUP(AE9,'Class Skills'!$1:$3,3,false)</f>
        <v>Dex</v>
      </c>
      <c r="AJ9" s="260">
        <f>if(AND(HLOOKUP(AE9,'Class Skills'!$1:$2,2,false)="Trained Only",AL9&lt;1),,SUM(AL9:AQ9))</f>
        <v>9</v>
      </c>
      <c r="AK9" s="263" t="s">
        <v>166</v>
      </c>
      <c r="AL9" s="266">
        <v>3.0</v>
      </c>
      <c r="AM9" s="270">
        <f>IFERROR(__xludf.DUMMYFUNCTION("offset($E$8,match(AI9,ARRAYFORMULA(Proper(lower(REGEXEXTRACT($E$9:$E$14,""\w\w\w"")))),0),2)"),3.0)</f>
        <v>3</v>
      </c>
      <c r="AN9" s="270">
        <f t="shared" ref="AN9:AN32" si="2">if(AND(AL9 &gt; 0,AD9 ="X"), 3, )</f>
        <v>3</v>
      </c>
      <c r="AO9" s="220"/>
      <c r="AP9" s="276">
        <f>IFERROR(__xludf.DUMMYFUNCTION("if(
or(arrayformula(regexmatch($AR$76:$AR$110,AE9))),
   sum(arrayformula(iferror(value(regexextract(filter(
      $AR$76:$AR$110,
         $K$76:$K$110=""ACTIVE"",
         regexmatch($AR$76:$AR$110,AE9)),
       ""[-\d]+"")))))+tSkill,tSkill)"),0.0)</f>
        <v>0</v>
      </c>
      <c r="AQ9" s="288" t="str">
        <f>iferror(if(
if(hlookup(AE9,'Class Skills'!$1:$4,4,false)="Armor Penalty",'Formula References'!$Q$156,)
+if(AND(isnumber($C$38),AE9="Climb"),8,)
+if(AND(isnumber($C$39),AE9="Swim"),8,)
+if(AE9="Fly", Vlookup(Size,SizeTable,5,False),)
+if(AE9="Fly",if($M$37="Clumsy",-8,if($M$37="Poor",-4,if($M$37="Average",0,if($M$37="Good",4,if($M$37="Perfect",8,0))))))
+if(AE9="Stealth",Vlookup(Size,SizeTable,6,False))
=0,,
if(hlookup(AE9,'Class Skills'!$1:$4,4,false)="Armor Penalty",'Formula References'!$Q$156,)
+if(AND(isnumber($C$38),AE9="Climb"),8,)
+if(AND(isnumber($C$39),AE9="Swim"),8,)
+if(AE9="Fly", Vlookup(Size,SizeTable,5,False),)
+if(AE9="Fly",if($M$37="Clumsy",-8,if($M$37="Poor",-4,if($M$37="Average",0,if($M$37="Good",4,if($M$37="Perfect",8,0))))))
+if(AE9="Stealth",Vlookup(Size,SizeTable,6,False))),"")</f>
        <v/>
      </c>
      <c r="AR9" s="194"/>
      <c r="BP9" s="18"/>
      <c r="BQ9" s="5"/>
      <c r="BR9" s="5"/>
      <c r="BS9" s="5"/>
      <c r="BT9" s="5"/>
    </row>
    <row r="10">
      <c r="A10" s="15"/>
      <c r="B10" s="208"/>
      <c r="C10" s="208"/>
      <c r="D10" s="208"/>
      <c r="E10" s="208" t="s">
        <v>198</v>
      </c>
      <c r="F10" s="212">
        <f>MAX(0,SUM(I10:L10)-ABS(M10)+iferror(vlookup(E10,'Formula References'!$A$28:$F$34,MATCH($F$5,'Formula References'!$A$28:$F$28,0),false),0))</f>
        <v>16</v>
      </c>
      <c r="G10" s="213">
        <f t="shared" si="1"/>
        <v>3</v>
      </c>
      <c r="H10" s="215" t="s">
        <v>145</v>
      </c>
      <c r="I10" s="218">
        <v>16.0</v>
      </c>
      <c r="J10" s="220"/>
      <c r="K10" s="220"/>
      <c r="L10" s="224">
        <f>IFERROR(__xludf.DUMMYFUNCTION("SUM(MAX(IFERROR(FILTER(T76:T116,$K76:$K116 = ""ACTIVE"",$G76:$G116 = ""Alchemical"",T76:T116&gt;0)))+SUM(IFERROR(FILTER(T76:T116,$K76:$K116 = ""ACTIVE"",$G76:$G116 = ""Alchemical"",T76:T116&lt;0))),
MAX(IFERROR(FILTER(T76:T116,$K76:$K116 = ""ACTIVE"",$G76:$G116"&amp;" = ""Armor"",T76:T116&gt;0)))+SUM(IFERROR(FILTER(T76:T116,$K76:$K116 = ""ACTIVE"",$G76:$G116 = ""Armor"",T76:T116&lt;0))),
MAX(IFERROR(FILTER(T76:T116,$K76:$K116 = ""ACTIVE"",$G76:$G116 = ""Competence"",T76:T116&gt;0)))+SUM(IFERROR(FILTER(T76:T116,$K76:$K116 = ""A"&amp;"CTIVE"",$G76:$G116 = ""Competence"",T76:T116&lt;0))),
MAX(0,-$J$10+IFERROR(FILTER(T76:T116,$K76:$K116 = ""ACTIVE"",$G76:$G116 = ""Deflect/Enhance/Resist"",T76:T116&gt;0)))+SUM(IFERROR(FILTER(T76:T116,$K76:$K116 = ""ACTIVE"",$G76:$G116 = ""Deflect/Enhance/Resist"&amp;""",T76:T116&lt;0))),
MAX(IFERROR(FILTER(T76:T116,$K76:$K116 = ""ACTIVE"",$G76:$G116 = ""Insight"",T76:T116&gt;0)))+SUM(IFERROR(FILTER(T76:T116,$K76:$K116 = ""ACTIVE"",$G76:$G116 = ""Insight"",T76:T116&lt;0))),
MAX(IFERROR(FILTER(T76:T116,$K76:$K116 = ""ACTIVE"",$G"&amp;"76:$G116 = ""Luck"",T76:T116&gt;0)))+SUM(IFERROR(FILTER(T76:T116,$K76:$K116 = ""ACTIVE"",$G76:$G116 = ""Luck"",T76:T116&lt;0))),
MAX(IFERROR(FILTER(T76:T116,$K76:$K116 = ""ACTIVE"",$G76:$G116 = ""Morale"",T76:T116&gt;0)))+SUM(IFERROR(FILTER(T76:T116,$K76:$K116 = "&amp;"""ACTIVE"",$G76:$G116 = ""Morale"",T76:T116&lt;0))),
MAX(IFERROR(FILTER(T76:T116,$K76:$K116 = ""ACTIVE"",$G76:$G116 = ""Precision Damage"",T76:T116&gt;0)))+SUM(IFERROR(FILTER(T76:T116,$K76:$K116 = ""ACTIVE"",$G76:$G116 = ""Precision Damage"",T76:T116&lt;0))),
MAX("&amp;"IFERROR(FILTER(T76:T116,$K76:$K116 = ""ACTIVE"",$G76:$G116 = ""Sacred / Profane"",T76:T116&gt;0)))+SUM(IFERROR(FILTER(T76:T116,$K76:$K116 = ""ACTIVE"",$G76:$G116 = ""Sacred / Profane"",T76:T116&lt;0))),
MAX(IFERROR(FILTER(T76:T116,$K76:$K116 = ""ACTIVE"",$G76:$"&amp;"G116 = ""Size"",T76:T116&gt;0)))+SUM(IFERROR(FILTER(T76:T116,$K76:$K116 = ""ACTIVE"",$G76:$G116 = ""Size"",T76:T116&lt;0))),
SUM(IFERROR(FILTER(T76:T116,$K76:$K116 = ""ACTIVE"",$G76:$G116 = ""Untyped (stacks)"")),),
SUM(IFERROR(FILTER(T76:T116,$K76:$K116 = ""AC"&amp;"TIVE"",$G76:$G116 = ""Dodge (stacks)"")),),
SUM(IFERROR(FILTER(T76:T116,$K76:$K116 = ""ACTIVE"",$G76:$G116 = ""Circumstance (stacks)"")),))
"),0.0)</f>
        <v>0</v>
      </c>
      <c r="M10" s="298"/>
      <c r="N10" s="15"/>
      <c r="O10" s="300" t="str">
        <f>IFERROR(__xludf.DUMMYFUNCTION("""DR "" &amp;  IF(
AND(or(arrayformula(regexmatch($AR$74:$AR$116,""DR"")))),   MAX(arrayformula(iferror(value(regexextract(filter(
      $AR$74:$AR$116,
         $K$74:$K$116=""ACTIVE"",
         regexmatch($AR$74:$AR$116,""DR"")),
       ""[-\d]+"")))))&amp;""/"&amp;"""&amp;arrayformula(iferror(regexextract(filter(
      $AR$74:$AR$116,
         $K$74:$K$116=""ACTIVE"",
         regexmatch($AR$74:$AR$116,""DR"")),
       ""\(([A-Za-z]+)\)""))),""-"") &amp;""
SR "" &amp; IF(
AND(or(arrayformula(regexmatch($AR$74:$AR$116,""SR""))))"&amp;",   MAX(arrayformula(iferror(value(regexextract(filter(
      $AR$74:$AR$116,
         $K$74:$K$116=""ACTIVE"",
         regexmatch($AR$74:$AR$116,""SR"")),
       ""[-\d]+""))))),""-"")
"),"DR -
SR -")</f>
        <v>DR -
SR -</v>
      </c>
      <c r="P10" s="67"/>
      <c r="Q10" s="69"/>
      <c r="R10" s="15"/>
      <c r="S10" s="38"/>
      <c r="Z10" s="38"/>
      <c r="AB10" s="269"/>
      <c r="AC10" s="194"/>
      <c r="AD10" s="212" t="str">
        <f>IF(OR(
  iferror(vlookup($AE$2, 'Class Skills'!$A:$BE,MATCH(AE10,'Class Skills'!$1:$1,0),false),"")="X",
  iferror(vlookup($AE$3, 'Class Skills'!$A:$BE,MATCH(AE10,'Class Skills'!$1:$1,0),false),"")="X",
  iferror(vlookup($AE$4, 'Class Skills'!$A:$BE,MATCH(AE10,'Class Skills'!$1:$1,0),false),"")="X",
  iferror(vlookup(#REF!, 'Class Skills'!$A:$BE,MATCH(AE10,'Class Skills'!$1:$1,0),false),"")="X"),"X",)</f>
        <v>X</v>
      </c>
      <c r="AE10" s="305" t="s">
        <v>231</v>
      </c>
      <c r="AF10" s="251"/>
      <c r="AG10" s="251"/>
      <c r="AH10" s="254"/>
      <c r="AI10" s="257" t="str">
        <f>HLOOKUP(AE10,'Class Skills'!$1:$3,3,false)</f>
        <v>Cha</v>
      </c>
      <c r="AJ10" s="260">
        <f>if(AND(HLOOKUP(AE10,'Class Skills'!$1:$2,2,false)="Trained Only",AL10&lt;1),,SUM(AL10:AQ10))</f>
        <v>6</v>
      </c>
      <c r="AK10" s="263" t="s">
        <v>166</v>
      </c>
      <c r="AL10" s="266">
        <v>3.0</v>
      </c>
      <c r="AM10" s="270">
        <f>IFERROR(__xludf.DUMMYFUNCTION("offset($E$8,match(AI10,ARRAYFORMULA(Proper(lower(REGEXEXTRACT($E$9:$E$14,""\w\w\w"")))),0),2)"),0.0)</f>
        <v>0</v>
      </c>
      <c r="AN10" s="270">
        <f t="shared" si="2"/>
        <v>3</v>
      </c>
      <c r="AO10" s="220"/>
      <c r="AP10" s="276">
        <f>IFERROR(__xludf.DUMMYFUNCTION("if(
or(arrayformula(regexmatch($AR$76:$AR$110,AE10))),
   sum(arrayformula(iferror(value(regexextract(filter(
      $AR$76:$AR$110,
         $K$76:$K$110=""ACTIVE"",
         regexmatch($AR$76:$AR$110,AE10)),
       ""[-\d]+"")))))+tSkill,tSkill)"),0.0)</f>
        <v>0</v>
      </c>
      <c r="AQ10" s="288" t="str">
        <f>iferror(if(
if(hlookup(AE10,'Class Skills'!$1:$4,4,false)="Armor Penalty",'Formula References'!$Q$156,)
+if(AND(isnumber($C$38),AE10="Climb"),8,)
+if(AND(isnumber($C$39),AE10="Swim"),8,)
+if(AE10="Fly", Vlookup(Size,SizeTable,5,False),)
+if(AE10="Fly",if($M$37="Clumsy",-8,if($M$37="Poor",-4,if($M$37="Average",0,if($M$37="Good",4,if($M$37="Perfect",8,0))))))
+if(AE10="Stealth",Vlookup(Size,SizeTable,6,False))
=0,,
if(hlookup(AE10,'Class Skills'!$1:$4,4,false)="Armor Penalty",'Formula References'!$Q$156,)
+if(AND(isnumber($C$38),AE10="Climb"),8,)
+if(AND(isnumber($C$39),AE10="Swim"),8,)
+if(AE10="Fly", Vlookup(Size,SizeTable,5,False),)
+if(AE10="Fly",if($M$37="Clumsy",-8,if($M$37="Poor",-4,if($M$37="Average",0,if($M$37="Good",4,if($M$37="Perfect",8,0))))))
+if(AE10="Stealth",Vlookup(Size,SizeTable,6,False))),"")</f>
        <v/>
      </c>
      <c r="AR10" s="194"/>
      <c r="BP10" s="18"/>
      <c r="BQ10" s="5"/>
      <c r="BR10" s="5"/>
      <c r="BS10" s="5"/>
      <c r="BT10" s="5"/>
    </row>
    <row r="11" ht="9.0" customHeight="1">
      <c r="A11" s="15"/>
      <c r="B11" s="208"/>
      <c r="C11" s="208"/>
      <c r="D11" s="208"/>
      <c r="E11" s="208" t="s">
        <v>248</v>
      </c>
      <c r="F11" s="212">
        <f>MAX(0,SUM(I11:L11)-ABS(M11)+iferror(vlookup(E11,'Formula References'!$A$28:$F$34,MATCH($F$5,'Formula References'!$A$28:$F$28,0),false),0))</f>
        <v>18</v>
      </c>
      <c r="G11" s="213">
        <f t="shared" si="1"/>
        <v>4</v>
      </c>
      <c r="H11" s="215" t="s">
        <v>145</v>
      </c>
      <c r="I11" s="218">
        <v>18.0</v>
      </c>
      <c r="J11" s="220"/>
      <c r="K11" s="220"/>
      <c r="L11" s="224">
        <f>IFERROR(__xludf.DUMMYFUNCTION("SUM(MAX(IFERROR(FILTER(U76:U116,$K76:$K116 = ""ACTIVE"",$G76:$G116 = ""Alchemical"",U76:U116&gt;0)))+SUM(IFERROR(FILTER(U76:U116,$K76:$K116 = ""ACTIVE"",$G76:$G116 = ""Alchemical"",U76:U116&lt;0))),
MAX(IFERROR(FILTER(U76:U116,$K76:$K116 = ""ACTIVE"",$G76:$G116"&amp;" = ""Armor"",U76:U116&gt;0)))+SUM(IFERROR(FILTER(U76:U116,$K76:$K116 = ""ACTIVE"",$G76:$G116 = ""Armor"",U76:U116&lt;0))),
MAX(IFERROR(FILTER(U76:U116,$K76:$K116 = ""ACTIVE"",$G76:$G116 = ""Competence"",U76:U116&gt;0)))+SUM(IFERROR(FILTER(U76:U116,$K76:$K116 = ""A"&amp;"CTIVE"",$G76:$G116 = ""Competence"",U76:U116&lt;0))),
MAX(0,-$J$11+IFERROR(FILTER(U76:U116,$K76:$K116 = ""ACTIVE"",$G76:$G116 = ""Deflect/Enhance/Resist"",U76:U116&gt;0)))+SUM(IFERROR(FILTER(U76:U116,$K76:$K116 = ""ACTIVE"",$G76:$G116 = ""Deflect/Enhance/Resist"&amp;""",U76:U116&lt;0))),
MAX(IFERROR(FILTER(U76:U116,$K76:$K116 = ""ACTIVE"",$G76:$G116 = ""Insight"",U76:U116&gt;0)))+SUM(IFERROR(FILTER(U76:U116,$K76:$K116 = ""ACTIVE"",$G76:$G116 = ""Insight"",U76:U116&lt;0))),
MAX(IFERROR(FILTER(U76:U116,$K76:$K116 = ""ACTIVE"",$G"&amp;"76:$G116 = ""Luck"",U76:U116&gt;0)))+SUM(IFERROR(FILTER(U76:U116,$K76:$K116 = ""ACTIVE"",$G76:$G116 = ""Luck"",U76:U116&lt;0))),
MAX(IFERROR(FILTER(U76:U116,$K76:$K116 = ""ACTIVE"",$G76:$G116 = ""Morale"",U76:U116&gt;0)))+SUM(IFERROR(FILTER(U76:U116,$K76:$K116 = "&amp;"""ACTIVE"",$G76:$G116 = ""Morale"",U76:U116&lt;0))),
MAX(IFERROR(FILTER(U76:U116,$K76:$K116 = ""ACTIVE"",$G76:$G116 = ""Precision Damage"",U76:U116&gt;0)))+SUM(IFERROR(FILTER(U76:U116,$K76:$K116 = ""ACTIVE"",$G76:$G116 = ""Precision Damage"",U76:U116&lt;0))),
MAX("&amp;"IFERROR(FILTER(U76:U116,$K76:$K116 = ""ACTIVE"",$G76:$G116 = ""Sacred / Profane"",U76:U116&gt;0)))+SUM(IFERROR(FILTER(U76:U116,$K76:$K116 = ""ACTIVE"",$G76:$G116 = ""Sacred / Profane"",U76:U116&lt;0))),
MAX(IFERROR(FILTER(U76:U116,$K76:$K116 = ""ACTIVE"",$G76:$"&amp;"G116 = ""Size"",U76:U116&gt;0)))+SUM(IFERROR(FILTER(U76:U116,$K76:$K116 = ""ACTIVE"",$G76:$G116 = ""Size"",U76:U116&lt;0))),
SUM(IFERROR(FILTER(U76:U116,$K76:$K116 = ""ACTIVE"",$G76:$G116 = ""Untyped (stacks)"")),),
SUM(IFERROR(FILTER(U76:U116,$K76:$K116 = ""AC"&amp;"TIVE"",$G76:$G116 = ""Dodge (stacks)"")),),
SUM(IFERROR(FILTER(U76:U116,$K76:$K116 = ""ACTIVE"",$G76:$G116 = ""Circumstance (stacks)"")),))
"),0.0)</f>
        <v>0</v>
      </c>
      <c r="M11" s="225"/>
      <c r="N11" s="15"/>
      <c r="O11" s="111"/>
      <c r="P11" s="114"/>
      <c r="Q11" s="68"/>
      <c r="R11" s="15"/>
      <c r="S11" s="111"/>
      <c r="T11" s="114"/>
      <c r="U11" s="114"/>
      <c r="V11" s="114"/>
      <c r="W11" s="114"/>
      <c r="X11" s="114"/>
      <c r="Y11" s="114"/>
      <c r="Z11" s="111"/>
      <c r="AA11" s="114"/>
      <c r="AB11" s="68"/>
      <c r="AC11" s="194"/>
      <c r="AD11" s="212" t="str">
        <f>IF(OR(
  iferror(vlookup($AE$2, 'Class Skills'!$A:$BE,MATCH(AE11,'Class Skills'!$1:$1,0),false),"")="X",
  iferror(vlookup($AE$3, 'Class Skills'!$A:$BE,MATCH(AE11,'Class Skills'!$1:$1,0),false),"")="X",
  iferror(vlookup($AE$4, 'Class Skills'!$A:$BE,MATCH(AE11,'Class Skills'!$1:$1,0),false),"")="X",
  iferror(vlookup(#REF!, 'Class Skills'!$A:$BE,MATCH(AE11,'Class Skills'!$1:$1,0),false),"")="X"),"X",)</f>
        <v>X</v>
      </c>
      <c r="AE11" s="305" t="s">
        <v>261</v>
      </c>
      <c r="AF11" s="251"/>
      <c r="AG11" s="251"/>
      <c r="AH11" s="254"/>
      <c r="AI11" s="257" t="str">
        <f>HLOOKUP(AE11,'Class Skills'!$1:$3,3,false)</f>
        <v>Str</v>
      </c>
      <c r="AJ11" s="260">
        <f>if(AND(HLOOKUP(AE11,'Class Skills'!$1:$2,2,false)="Trained Only",AL11&lt;1),,SUM(AL11:AQ11))</f>
        <v>0</v>
      </c>
      <c r="AK11" s="263" t="s">
        <v>166</v>
      </c>
      <c r="AL11" s="266"/>
      <c r="AM11" s="270">
        <f>IFERROR(__xludf.DUMMYFUNCTION("offset($E$8,match(AI11,ARRAYFORMULA(Proper(lower(REGEXEXTRACT($E$9:$E$14,""\w\w\w"")))),0),2)"),0.0)</f>
        <v>0</v>
      </c>
      <c r="AN11" s="270" t="str">
        <f t="shared" si="2"/>
        <v/>
      </c>
      <c r="AO11" s="220"/>
      <c r="AP11" s="276">
        <f>IFERROR(__xludf.DUMMYFUNCTION("if(
or(arrayformula(regexmatch($AR$76:$AR$110,AE11))),
   sum(arrayformula(iferror(value(regexextract(filter(
      $AR$76:$AR$110,
         $K$76:$K$110=""ACTIVE"",
         regexmatch($AR$76:$AR$110,AE11)),
       ""[-\d]+"")))))+tSkill,tSkill)"),0.0)</f>
        <v>0</v>
      </c>
      <c r="AQ11" s="288" t="str">
        <f>iferror(if(
if(hlookup(AE11,'Class Skills'!$1:$4,4,false)="Armor Penalty",'Formula References'!$Q$156,)
+if(AND(isnumber($C$38),AE11="Climb"),8,)
+if(AND(isnumber($C$39),AE11="Swim"),8,)
+if(AE11="Fly", Vlookup(Size,SizeTable,5,False),)
+if(AE11="Fly",if($M$37="Clumsy",-8,if($M$37="Poor",-4,if($M$37="Average",0,if($M$37="Good",4,if($M$37="Perfect",8,0))))))
+if(AE11="Stealth",Vlookup(Size,SizeTable,6,False))
=0,,
if(hlookup(AE11,'Class Skills'!$1:$4,4,false)="Armor Penalty",'Formula References'!$Q$156,)
+if(AND(isnumber($C$38),AE11="Climb"),8,)
+if(AND(isnumber($C$39),AE11="Swim"),8,)
+if(AE11="Fly", Vlookup(Size,SizeTable,5,False),)
+if(AE11="Fly",if($M$37="Clumsy",-8,if($M$37="Poor",-4,if($M$37="Average",0,if($M$37="Good",4,if($M$37="Perfect",8,0))))))
+if(AE11="Stealth",Vlookup(Size,SizeTable,6,False))),"")</f>
        <v/>
      </c>
      <c r="AR11" s="194"/>
      <c r="BP11" s="18"/>
      <c r="BQ11" s="5"/>
      <c r="BR11" s="5"/>
      <c r="BS11" s="5"/>
      <c r="BT11" s="5"/>
    </row>
    <row r="12" ht="9.75" customHeight="1">
      <c r="A12" s="15"/>
      <c r="B12" s="208"/>
      <c r="C12" s="208"/>
      <c r="D12" s="208"/>
      <c r="E12" s="208" t="s">
        <v>277</v>
      </c>
      <c r="F12" s="212">
        <f>MAX(0,SUM(I12:L12)-ABS(M12)+iferror(vlookup(E12,'Formula References'!$A$28:$F$34,MATCH($F$5,'Formula References'!$A$28:$F$28,0),false),0))</f>
        <v>26</v>
      </c>
      <c r="G12" s="213">
        <f t="shared" si="1"/>
        <v>8</v>
      </c>
      <c r="H12" s="215" t="s">
        <v>145</v>
      </c>
      <c r="I12" s="218">
        <v>26.0</v>
      </c>
      <c r="J12" s="220"/>
      <c r="K12" s="220"/>
      <c r="L12" s="224">
        <f>IFERROR(__xludf.DUMMYFUNCTION("SUM(MAX(IFERROR(FILTER(V76:V116,$K76:$K116 = ""ACTIVE"",$G76:$G116 = ""Alchemical"",V76:V116&gt;0)))+SUM(IFERROR(FILTER(V76:V116,$K76:$K116 = ""ACTIVE"",$G76:$G116 = ""Alchemical"",V76:V116&lt;0))),
MAX(IFERROR(FILTER(V76:V116,$K76:$K116 = ""ACTIVE"",$G76:$G116"&amp;" = ""Armor"",V76:V116&gt;0)))+SUM(IFERROR(FILTER(V76:V116,$K76:$K116 = ""ACTIVE"",$G76:$G116 = ""Armor"",V76:V116&lt;0))),
MAX(IFERROR(FILTER(V76:V116,$K76:$K116 = ""ACTIVE"",$G76:$G116 = ""Competence"",V76:V116&gt;0)))+SUM(IFERROR(FILTER(V76:V116,$K76:$K116 = ""A"&amp;"CTIVE"",$G76:$G116 = ""Competence"",V76:V116&lt;0))),
MAX(0,-$J$12+IFERROR(FILTER(V76:V116,$K76:$K116 = ""ACTIVE"",$G76:$G116 = ""Deflect/Enhance/Resist"",V76:V116&gt;0)))+SUM(IFERROR(FILTER(V76:V116,$K76:$K116 = ""ACTIVE"",$G76:$G116 = ""Deflect/Enhance/Resist"&amp;""",V76:V116&lt;0))),
MAX(IFERROR(FILTER(V76:V116,$K76:$K116 = ""ACTIVE"",$G76:$G116 = ""Insight"",V76:V116&gt;0)))+SUM(IFERROR(FILTER(V76:V116,$K76:$K116 = ""ACTIVE"",$G76:$G116 = ""Insight"",V76:V116&lt;0))),
MAX(IFERROR(FILTER(V76:V116,$K76:$K116 = ""ACTIVE"",$G"&amp;"76:$G116 = ""Luck"",V76:V116&gt;0)))+SUM(IFERROR(FILTER(V76:V116,$K76:$K116 = ""ACTIVE"",$G76:$G116 = ""Luck"",V76:V116&lt;0))),
MAX(IFERROR(FILTER(V76:V116,$K76:$K116 = ""ACTIVE"",$G76:$G116 = ""Morale"",V76:V116&gt;0)))+SUM(IFERROR(FILTER(V76:V116,$K76:$K116 = "&amp;"""ACTIVE"",$G76:$G116 = ""Morale"",V76:V116&lt;0))),
MAX(IFERROR(FILTER(V76:V116,$K76:$K116 = ""ACTIVE"",$G76:$G116 = ""Precision Damage"",V76:V116&gt;0)))+SUM(IFERROR(FILTER(V76:V116,$K76:$K116 = ""ACTIVE"",$G76:$G116 = ""Precision Damage"",V76:V116&lt;0))),
MAX("&amp;"IFERROR(FILTER(V76:V116,$K76:$K116 = ""ACTIVE"",$G76:$G116 = ""Sacred / Profane"",V76:V116&gt;0)))+SUM(IFERROR(FILTER(V76:V116,$K76:$K116 = ""ACTIVE"",$G76:$G116 = ""Sacred / Profane"",V76:V116&lt;0))),
MAX(IFERROR(FILTER(V76:V116,$K76:$K116 = ""ACTIVE"",$G76:$"&amp;"G116 = ""Size"",V76:V116&gt;0)))+SUM(IFERROR(FILTER(V76:V116,$K76:$K116 = ""ACTIVE"",$G76:$G116 = ""Size"",V76:V116&lt;0))),
SUM(IFERROR(FILTER(V76:V116,$K76:$K116 = ""ACTIVE"",$G76:$G116 = ""Untyped (stacks)"")),),
SUM(IFERROR(FILTER(V76:V116,$K76:$K116 = ""AC"&amp;"TIVE"",$G76:$G116 = ""Dodge (stacks)"")),),
SUM(IFERROR(FILTER(V76:V116,$K76:$K116 = ""ACTIVE"",$G76:$G116 = ""Circumstance (stacks)"")),))
"),0.0)</f>
        <v>0</v>
      </c>
      <c r="M12" s="298"/>
      <c r="N12" s="15"/>
      <c r="O12" s="15"/>
      <c r="P12" s="227" t="s">
        <v>290</v>
      </c>
      <c r="Q12" s="15"/>
      <c r="R12" s="15"/>
      <c r="S12" s="15"/>
      <c r="T12" s="15"/>
      <c r="U12" s="15"/>
      <c r="V12" s="15"/>
      <c r="W12" s="354" t="str">
        <f>IFERROR(__xludf.DUMMYFUNCTION("IF($K$116=""ACTIVE"",
IF(value(REGEXEXTRACT('Main Sheet'!$S$9,""\d+""))/value(regexextract(regexextract('Main Sheet'!$S$9,""/ \d+""),""\d+""))&lt;0.25,""Critical! -3 to all actions and defenses!"",
IF(value(REGEXEXTRACT('Main Sheet'!$S$9,""\d+""))/value(rege"&amp;"xextract(regexextract('Main Sheet'!$S$9,""/ \d+""),""\d+""))&lt;0.5,""Wounded: -2 to all actions and defenses"",
IF(value(REGEXEXTRACT('Main Sheet'!$S$9,""\d+""))/value(regexextract(regexextract('Main Sheet'!$S$9,""/ \d+""),""\d+""))&lt;0.75,""Grazed: -1 to all"&amp;" actions and defenses"",
""Healthy: no penalties""))),)
"),"")</f>
        <v/>
      </c>
      <c r="X12" s="15"/>
      <c r="Y12" s="194"/>
      <c r="Z12" s="194"/>
      <c r="AA12" s="194"/>
      <c r="AB12" s="194"/>
      <c r="AC12" s="194"/>
      <c r="AD12" s="212" t="str">
        <f>IF(OR(
  iferror(vlookup($AE$2, 'Class Skills'!$A:$BE,MATCH(AE12,'Class Skills'!$1:$1,0),false),"")="X",
  iferror(vlookup($AE$3, 'Class Skills'!$A:$BE,MATCH(AE12,'Class Skills'!$1:$1,0),false),"")="X",
  iferror(vlookup($AE$4, 'Class Skills'!$A:$BE,MATCH(AE12,'Class Skills'!$1:$1,0),false),"")="X",
  iferror(vlookup(#REF!, 'Class Skills'!$A:$BE,MATCH(AE12,'Class Skills'!$1:$1,0),false),"")="X"),"X",)</f>
        <v>X</v>
      </c>
      <c r="AE12" s="305" t="s">
        <v>299</v>
      </c>
      <c r="AF12" s="251"/>
      <c r="AG12" s="251"/>
      <c r="AH12" s="254"/>
      <c r="AI12" s="257" t="str">
        <f>HLOOKUP(AE12,'Class Skills'!$1:$3,3,false)</f>
        <v>Cha</v>
      </c>
      <c r="AJ12" s="260">
        <f>if(AND(HLOOKUP(AE12,'Class Skills'!$1:$2,2,false)="Trained Only",AL12&lt;1),,SUM(AL12:AQ12))</f>
        <v>6</v>
      </c>
      <c r="AK12" s="263" t="s">
        <v>166</v>
      </c>
      <c r="AL12" s="266">
        <v>3.0</v>
      </c>
      <c r="AM12" s="270">
        <f>IFERROR(__xludf.DUMMYFUNCTION("offset($E$8,match(AI12,ARRAYFORMULA(Proper(lower(REGEXEXTRACT($E$9:$E$14,""\w\w\w"")))),0),2)"),0.0)</f>
        <v>0</v>
      </c>
      <c r="AN12" s="270">
        <f t="shared" si="2"/>
        <v>3</v>
      </c>
      <c r="AO12" s="220"/>
      <c r="AP12" s="276">
        <f>IFERROR(__xludf.DUMMYFUNCTION("if(
or(arrayformula(regexmatch($AR$76:$AR$110,AE12))),
   sum(arrayformula(iferror(value(regexextract(filter(
      $AR$76:$AR$110,
         $K$76:$K$110=""ACTIVE"",
         regexmatch($AR$76:$AR$110,AE12)),
       ""[-\d]+"")))))+tSkill,tSkill)"),0.0)</f>
        <v>0</v>
      </c>
      <c r="AQ12" s="288" t="str">
        <f>iferror(if(
if(hlookup(AE12,'Class Skills'!$1:$4,4,false)="Armor Penalty",'Formula References'!$Q$156,)
+if(AND(isnumber($C$38),AE12="Climb"),8,)
+if(AND(isnumber($C$39),AE12="Swim"),8,)
+if(AE12="Fly", Vlookup(Size,SizeTable,5,False),)
+if(AE12="Fly",if($M$37="Clumsy",-8,if($M$37="Poor",-4,if($M$37="Average",0,if($M$37="Good",4,if($M$37="Perfect",8,0))))))
+if(AE12="Stealth",Vlookup(Size,SizeTable,6,False))
=0,,
if(hlookup(AE12,'Class Skills'!$1:$4,4,false)="Armor Penalty",'Formula References'!$Q$156,)
+if(AND(isnumber($C$38),AE12="Climb"),8,)
+if(AND(isnumber($C$39),AE12="Swim"),8,)
+if(AE12="Fly", Vlookup(Size,SizeTable,5,False),)
+if(AE12="Fly",if($M$37="Clumsy",-8,if($M$37="Poor",-4,if($M$37="Average",0,if($M$37="Good",4,if($M$37="Perfect",8,0))))))
+if(AE12="Stealth",Vlookup(Size,SizeTable,6,False))),"")</f>
        <v/>
      </c>
      <c r="AR12" s="194"/>
      <c r="BP12" s="18"/>
      <c r="BQ12" s="5"/>
      <c r="BR12" s="5"/>
      <c r="BS12" s="5"/>
      <c r="BT12" s="5"/>
    </row>
    <row r="13" ht="9.0" customHeight="1">
      <c r="A13" s="15"/>
      <c r="B13" s="208"/>
      <c r="C13" s="208"/>
      <c r="D13" s="208"/>
      <c r="E13" s="208" t="s">
        <v>314</v>
      </c>
      <c r="F13" s="212">
        <f>MAX(0,SUM(I13:L13)-ABS(M13)+iferror(vlookup(E13,'Formula References'!$A$28:$F$34,MATCH($F$5,'Formula References'!$A$28:$F$28,0),false),0))</f>
        <v>10</v>
      </c>
      <c r="G13" s="213">
        <f t="shared" si="1"/>
        <v>0</v>
      </c>
      <c r="H13" s="215" t="s">
        <v>145</v>
      </c>
      <c r="I13" s="218">
        <v>10.0</v>
      </c>
      <c r="J13" s="220"/>
      <c r="K13" s="220"/>
      <c r="L13" s="224">
        <f>IFERROR(__xludf.DUMMYFUNCTION("SUM(MAX(IFERROR(FILTER(W76:W116,$K76:$K116 = ""ACTIVE"",$G76:$G116 = ""Alchemical"",W76:W116&gt;0)))+SUM(IFERROR(FILTER(W76:W116,$K76:$K116 = ""ACTIVE"",$G76:$G116 = ""Alchemical"",W76:W116&lt;0))),
MAX(IFERROR(FILTER(W76:W116,$K76:$K116 = ""ACTIVE"",$G76:$G116"&amp;" = ""Armor"",W76:W116&gt;0)))+SUM(IFERROR(FILTER(W76:W116,$K76:$K116 = ""ACTIVE"",$G76:$G116 = ""Armor"",W76:W116&lt;0))),
MAX(IFERROR(FILTER(W76:W116,$K76:$K116 = ""ACTIVE"",$G76:$G116 = ""Competence"",W76:W116&gt;0)))+SUM(IFERROR(FILTER(W76:W116,$K76:$K116 = ""A"&amp;"CTIVE"",$G76:$G116 = ""Competence"",W76:W116&lt;0))),
MAX(0,-$J$13+IFERROR(FILTER(W76:W116,$K76:$K116 = ""ACTIVE"",$G76:$G116 = ""Deflect/Enhance/Resist"",W76:W116&gt;0)))+SUM(IFERROR(FILTER(W76:W116,$K76:$K116 = ""ACTIVE"",$G76:$G116 = ""Deflect/Enhance/Resist"&amp;""",W76:W116&lt;0))),
MAX(IFERROR(FILTER(W76:W116,$K76:$K116 = ""ACTIVE"",$G76:$G116 = ""Insight"",W76:W116&gt;0)))+SUM(IFERROR(FILTER(W76:W116,$K76:$K116 = ""ACTIVE"",$G76:$G116 = ""Insight"",W76:W116&lt;0))),
MAX(IFERROR(FILTER(W76:W116,$K76:$K116 = ""ACTIVE"",$G"&amp;"76:$G116 = ""Luck"",W76:W116&gt;0)))+SUM(IFERROR(FILTER(W76:W116,$K76:$K116 = ""ACTIVE"",$G76:$G116 = ""Luck"",W76:W116&lt;0))),
MAX(IFERROR(FILTER(W76:W116,$K76:$K116 = ""ACTIVE"",$G76:$G116 = ""Morale"",W76:W116&gt;0)))+SUM(IFERROR(FILTER(W76:W116,$K76:$K116 = "&amp;"""ACTIVE"",$G76:$G116 = ""Morale"",W76:W116&lt;0))),
MAX(IFERROR(FILTER(W76:W116,$K76:$K116 = ""ACTIVE"",$G76:$G116 = ""Precision Damage"",W76:W116&gt;0)))+SUM(IFERROR(FILTER(W76:W116,$K76:$K116 = ""ACTIVE"",$G76:$G116 = ""Precision Damage"",W76:W116&lt;0))),
MAX("&amp;"IFERROR(FILTER(W76:W116,$K76:$K116 = ""ACTIVE"",$G76:$G116 = ""Sacred / Profane"",W76:W116&gt;0)))+SUM(IFERROR(FILTER(W76:W116,$K76:$K116 = ""ACTIVE"",$G76:$G116 = ""Sacred / Profane"",W76:W116&lt;0))),
MAX(IFERROR(FILTER(W76:W116,$K76:$K116 = ""ACTIVE"",$G76:$"&amp;"G116 = ""Size"",W76:W116&gt;0)))+SUM(IFERROR(FILTER(W76:W116,$K76:$K116 = ""ACTIVE"",$G76:$G116 = ""Size"",W76:W116&lt;0))),
SUM(IFERROR(FILTER(W76:W116,$K76:$K116 = ""ACTIVE"",$G76:$G116 = ""Untyped (stacks)"")),),
SUM(IFERROR(FILTER(W76:W116,$K76:$K116 = ""AC"&amp;"TIVE"",$G76:$G116 = ""Dodge (stacks)"")),),
SUM(IFERROR(FILTER(W76:W116,$K76:$K116 = ""ACTIVE"",$G76:$G116 = ""Circumstance (stacks)"")),))
"),0.0)</f>
        <v>0</v>
      </c>
      <c r="M13" s="298"/>
      <c r="N13" s="15"/>
      <c r="O13" s="300" t="str">
        <f>IFERROR(__xludf.DUMMYFUNCTION("""Fire "" &amp; IF(
AND(or(arrayformula(regexmatch($AR$74:$AR$116,""Resistance""))), or(arrayformula(regexmatch($AR$74:$AR$116,""Fire"")))),
   MAX(arrayformula(iferror(value(regexextract(filter(
      $AR$74:$AR$116,
         $K$74:$K$116=""ACTIVE"",
       "&amp;"  regexmatch($AR$74:$AR$116,""Resistance""), 
         regexmatch($AR$74:$AR$116,""Fire"")),
       ""[-\d]+""))))),""0"") &amp; ""   Cold "" &amp; IF(
AND(or(arrayformula(regexmatch($AR$74:$AR$116,""Resistance""))), or(arrayformula(regexmatch($AR$74:$AR$116,""Co"&amp;"ld"")))),
   MAX(arrayformula(iferror(value(regexextract(filter(
      $AR$74:$AR$116,
         $K$74:$K$116=""ACTIVE"",
         regexmatch($AR$74:$AR$116,""Resistance""), 
         regexmatch($AR$74:$AR$116,""Cold"")),
       ""[-\d]+""))))),""0"") &amp; """&amp;"
Acid "" &amp; IF(
AND(or(arrayformula(regexmatch($AR$74:$AR$116,""Resistance""))), or(arrayformula(regexmatch($AR$74:$AR$116,""Acid"")))),
   MAX(arrayformula(iferror(value(regexextract(filter(
      $AR$74:$AR$116,
         $K$74:$K$116=""ACTIVE"",
        "&amp;" regexmatch($AR$74:$AR$116,""Resistance""), 
         regexmatch($AR$74:$AR$116,""Acid"")),
       ""[-\d]+""))))),""0"") &amp; ""  Elect "" &amp; IF(
AND(or(arrayformula(regexmatch($AR$74:$AR$116,""Resistance""))), or(arrayformula(regexmatch($AR$74:$AR$116,""Ele"&amp;"ctricity"")))),
   MAX(arrayformula(iferror(value(regexextract(filter(
      $AR$74:$AR$116,
         $K$74:$K$116=""ACTIVE"",
         regexmatch($AR$74:$AR$116,""Resistance""), 
         regexmatch($AR$74:$AR$116,""Electricity"")),
       ""[-\d]+""))))"&amp;"),""0"")"),"Fire 0   Cold 0
Acid 0  Elect 0")</f>
        <v>Fire 0   Cold 0
Acid 0  Elect 0</v>
      </c>
      <c r="P13" s="67"/>
      <c r="Q13" s="69"/>
      <c r="R13" s="15"/>
      <c r="S13" s="389"/>
      <c r="T13" s="67"/>
      <c r="U13" s="67"/>
      <c r="V13" s="67"/>
      <c r="W13" s="391" t="s">
        <v>330</v>
      </c>
      <c r="X13" s="69"/>
      <c r="Y13" s="194"/>
      <c r="Z13" s="389"/>
      <c r="AA13" s="67"/>
      <c r="AB13" s="394" t="s">
        <v>332</v>
      </c>
      <c r="AC13" s="194"/>
      <c r="AD13" s="212" t="str">
        <f>IF(OR(
  iferror(vlookup($AE$2, 'Class Skills'!$A:$BE,MATCH(AE13,'Class Skills'!$1:$1,0),false),"")="X",
  iferror(vlookup($AE$3, 'Class Skills'!$A:$BE,MATCH(AE13,'Class Skills'!$1:$1,0),false),"")="X",
  iferror(vlookup($AE$4, 'Class Skills'!$A:$BE,MATCH(AE13,'Class Skills'!$1:$1,0),false),"")="X",
  iferror(vlookup(#REF!, 'Class Skills'!$A:$BE,MATCH(AE13,'Class Skills'!$1:$1,0),false),"")="X"),"X",)</f>
        <v>X</v>
      </c>
      <c r="AE13" s="249" t="s">
        <v>336</v>
      </c>
      <c r="AF13" s="251"/>
      <c r="AG13" s="251"/>
      <c r="AH13" s="254"/>
      <c r="AI13" s="257" t="str">
        <f>HLOOKUP(AE13,'Class Skills'!$1:$3,3,false)</f>
        <v>Dex</v>
      </c>
      <c r="AJ13" s="260" t="str">
        <f>if(AND(HLOOKUP(AE13,'Class Skills'!$1:$2,2,false)="Trained Only",AL13&lt;1),,SUM(AL13:AQ13))</f>
        <v/>
      </c>
      <c r="AK13" s="263" t="s">
        <v>166</v>
      </c>
      <c r="AL13" s="266"/>
      <c r="AM13" s="270">
        <f>IFERROR(__xludf.DUMMYFUNCTION("offset($E$8,match(AI13,ARRAYFORMULA(Proper(lower(REGEXEXTRACT($E$9:$E$14,""\w\w\w"")))),0),2)"),3.0)</f>
        <v>3</v>
      </c>
      <c r="AN13" s="270" t="str">
        <f t="shared" si="2"/>
        <v/>
      </c>
      <c r="AO13" s="220"/>
      <c r="AP13" s="276">
        <f>IFERROR(__xludf.DUMMYFUNCTION("if(
or(arrayformula(regexmatch($AR$76:$AR$110,AE13))),
   sum(arrayformula(iferror(value(regexextract(filter(
      $AR$76:$AR$110,
         $K$76:$K$110=""ACTIVE"",
         regexmatch($AR$76:$AR$110,AE13)),
       ""[-\d]+"")))))+tSkill,tSkill)"),0.0)</f>
        <v>0</v>
      </c>
      <c r="AQ13" s="288" t="str">
        <f>iferror(if(
if(hlookup(AE13,'Class Skills'!$1:$4,4,false)="Armor Penalty",'Formula References'!$Q$156,)
+if(AND(isnumber($C$38),AE13="Climb"),8,)
+if(AND(isnumber($C$39),AE13="Swim"),8,)
+if(AE13="Fly", Vlookup(Size,SizeTable,5,False),)
+if(AE13="Fly",if($M$37="Clumsy",-8,if($M$37="Poor",-4,if($M$37="Average",0,if($M$37="Good",4,if($M$37="Perfect",8,0))))))
+if(AE13="Stealth",Vlookup(Size,SizeTable,6,False))
=0,,
if(hlookup(AE13,'Class Skills'!$1:$4,4,false)="Armor Penalty",'Formula References'!$Q$156,)
+if(AND(isnumber($C$38),AE13="Climb"),8,)
+if(AND(isnumber($C$39),AE13="Swim"),8,)
+if(AE13="Fly", Vlookup(Size,SizeTable,5,False),)
+if(AE13="Fly",if($M$37="Clumsy",-8,if($M$37="Poor",-4,if($M$37="Average",0,if($M$37="Good",4,if($M$37="Perfect",8,0))))))
+if(AE13="Stealth",Vlookup(Size,SizeTable,6,False))),"")</f>
        <v/>
      </c>
      <c r="AR13" s="194"/>
      <c r="BP13" s="18"/>
      <c r="BQ13" s="5"/>
      <c r="BR13" s="5"/>
      <c r="BS13" s="5"/>
      <c r="BT13" s="5"/>
    </row>
    <row r="14">
      <c r="A14" s="414"/>
      <c r="B14" s="208"/>
      <c r="C14" s="208"/>
      <c r="D14" s="208"/>
      <c r="E14" s="208" t="s">
        <v>360</v>
      </c>
      <c r="F14" s="212">
        <f>MAX(0,SUM(I14:L14)-ABS(M14)+iferror(vlookup(E14,'Formula References'!$A$28:$F$34,MATCH($F$5,'Formula References'!$A$28:$F$28,0),false),0))</f>
        <v>10</v>
      </c>
      <c r="G14" s="213">
        <f t="shared" si="1"/>
        <v>0</v>
      </c>
      <c r="H14" s="215" t="s">
        <v>145</v>
      </c>
      <c r="I14" s="218">
        <v>10.0</v>
      </c>
      <c r="J14" s="220"/>
      <c r="K14" s="220"/>
      <c r="L14" s="224">
        <f>IFERROR(__xludf.DUMMYFUNCTION("SUM(MAX(IFERROR(FILTER(X76:X116,$K76:$K116 = ""ACTIVE"",$G76:$G116 = ""Alchemical"",X76:X116&gt;0)))+SUM(IFERROR(FILTER(X76:X116,$K76:$K116 = ""ACTIVE"",$G76:$G116 = ""Alchemical"",X76:X116&lt;0))),
MAX(IFERROR(FILTER(X76:X116,$K76:$K116 = ""ACTIVE"",$G76:$G116"&amp;" = ""Armor"",X76:X116&gt;0)))+SUM(IFERROR(FILTER(X76:X116,$K76:$K116 = ""ACTIVE"",$G76:$G116 = ""Armor"",X76:X116&lt;0))),
MAX(IFERROR(FILTER(X76:X116,$K76:$K116 = ""ACTIVE"",$G76:$G116 = ""Competence"",X76:X116&gt;0)))+SUM(IFERROR(FILTER(X76:X116,$K76:$K116 = ""A"&amp;"CTIVE"",$G76:$G116 = ""Competence"",X76:X116&lt;0))),
MAX(0,-$J$14+IFERROR(FILTER(X76:X116,$K76:$K116 = ""ACTIVE"",$G76:$G116 = ""Deflect/Enhance/Resist"",X76:X116&gt;0)))+SUM(IFERROR(FILTER(X76:X116,$K76:$K116 = ""ACTIVE"",$G76:$G116 = ""Deflect/Enhance/Resist"&amp;""",X76:X116&lt;0))),
MAX(IFERROR(FILTER(X76:X116,$K76:$K116 = ""ACTIVE"",$G76:$G116 = ""Insight"",X76:X116&gt;0)))+SUM(IFERROR(FILTER(X76:X116,$K76:$K116 = ""ACTIVE"",$G76:$G116 = ""Insight"",X76:X116&lt;0))),
MAX(IFERROR(FILTER(X76:X116,$K76:$K116 = ""ACTIVE"",$G"&amp;"76:$G116 = ""Luck"",X76:X116&gt;0)))+SUM(IFERROR(FILTER(X76:X116,$K76:$K116 = ""ACTIVE"",$G76:$G116 = ""Luck"",X76:X116&lt;0))),
MAX(IFERROR(FILTER(X76:X116,$K76:$K116 = ""ACTIVE"",$G76:$G116 = ""Morale"",X76:X116&gt;0)))+SUM(IFERROR(FILTER(X76:X116,$K76:$K116 = "&amp;"""ACTIVE"",$G76:$G116 = ""Morale"",X76:X116&lt;0))),
MAX(IFERROR(FILTER(X76:X116,$K76:$K116 = ""ACTIVE"",$G76:$G116 = ""Precision Damage"",X76:X116&gt;0)))+SUM(IFERROR(FILTER(X76:X116,$K76:$K116 = ""ACTIVE"",$G76:$G116 = ""Precision Damage"",X76:X116&lt;0))),
MAX("&amp;"IFERROR(FILTER(X76:X116,$K76:$K116 = ""ACTIVE"",$G76:$G116 = ""Sacred / Profane"",X76:X116&gt;0)))+SUM(IFERROR(FILTER(X76:X116,$K76:$K116 = ""ACTIVE"",$G76:$G116 = ""Sacred / Profane"",X76:X116&lt;0))),
MAX(IFERROR(FILTER(X76:X116,$K76:$K116 = ""ACTIVE"",$G76:$"&amp;"G116 = ""Size"",X76:X116&gt;0)))+SUM(IFERROR(FILTER(X76:X116,$K76:$K116 = ""ACTIVE"",$G76:$G116 = ""Size"",X76:X116&lt;0))),
SUM(IFERROR(FILTER(X76:X116,$K76:$K116 = ""ACTIVE"",$G76:$G116 = ""Untyped (stacks)"")),),
SUM(IFERROR(FILTER(X76:X116,$K76:$K116 = ""AC"&amp;"TIVE"",$G76:$G116 = ""Dodge (stacks)"")),),
SUM(IFERROR(FILTER(X76:X116,$K76:$K116 = ""ACTIVE"",$G76:$G116 = ""Circumstance (stacks)"")),))
"),0.0)</f>
        <v>0</v>
      </c>
      <c r="M14" s="424"/>
      <c r="N14" s="15"/>
      <c r="O14" s="111"/>
      <c r="P14" s="114"/>
      <c r="Q14" s="68"/>
      <c r="R14" s="15"/>
      <c r="S14" s="111"/>
      <c r="T14" s="114"/>
      <c r="U14" s="114"/>
      <c r="V14" s="114"/>
      <c r="W14" s="111"/>
      <c r="X14" s="68"/>
      <c r="Y14" s="194"/>
      <c r="Z14" s="111"/>
      <c r="AA14" s="114"/>
      <c r="AB14" s="425"/>
      <c r="AC14" s="194"/>
      <c r="AD14" s="212" t="str">
        <f>IF(OR(
  iferror(vlookup($AE$2, 'Class Skills'!$A:$BE,MATCH(AE14,'Class Skills'!$1:$1,0),false),"")="X",
  iferror(vlookup($AE$3, 'Class Skills'!$A:$BE,MATCH(AE14,'Class Skills'!$1:$1,0),false),"")="X",
  iferror(vlookup($AE$4, 'Class Skills'!$A:$BE,MATCH(AE14,'Class Skills'!$1:$1,0),false),"")="X",
  iferror(vlookup(#REF!, 'Class Skills'!$A:$BE,MATCH(AE14,'Class Skills'!$1:$1,0),false),"")="X"),"X",)</f>
        <v>X</v>
      </c>
      <c r="AE14" s="305" t="s">
        <v>394</v>
      </c>
      <c r="AF14" s="251"/>
      <c r="AG14" s="251"/>
      <c r="AH14" s="254"/>
      <c r="AI14" s="257" t="str">
        <f>HLOOKUP(AE14,'Class Skills'!$1:$3,3,false)</f>
        <v>Cha</v>
      </c>
      <c r="AJ14" s="260">
        <f>if(AND(HLOOKUP(AE14,'Class Skills'!$1:$2,2,false)="Trained Only",AL14&lt;1),,SUM(AL14:AQ14))</f>
        <v>6</v>
      </c>
      <c r="AK14" s="263" t="s">
        <v>166</v>
      </c>
      <c r="AL14" s="266">
        <v>3.0</v>
      </c>
      <c r="AM14" s="270">
        <f>IFERROR(__xludf.DUMMYFUNCTION("offset($E$8,match(AI14,ARRAYFORMULA(Proper(lower(REGEXEXTRACT($E$9:$E$14,""\w\w\w"")))),0),2)"),0.0)</f>
        <v>0</v>
      </c>
      <c r="AN14" s="270">
        <f t="shared" si="2"/>
        <v>3</v>
      </c>
      <c r="AO14" s="427"/>
      <c r="AP14" s="276">
        <f>IFERROR(__xludf.DUMMYFUNCTION("if(
or(arrayformula(regexmatch($AR$76:$AR$110,AE14))),
   sum(arrayformula(iferror(value(regexextract(filter(
      $AR$76:$AR$110,
         $K$76:$K$110=""ACTIVE"",
         regexmatch($AR$76:$AR$110,AE14)),
       ""[-\d]+"")))))+tSkill,tSkill)"),0.0)</f>
        <v>0</v>
      </c>
      <c r="AQ14" s="288" t="str">
        <f>iferror(if(
if(hlookup(AE14,'Class Skills'!$1:$4,4,false)="Armor Penalty",'Formula References'!$Q$156,)
+if(AND(isnumber($C$38),AE14="Climb"),8,)
+if(AND(isnumber($C$39),AE14="Swim"),8,)
+if(AE14="Fly", Vlookup(Size,SizeTable,5,False),)
+if(AE14="Fly",if($M$37="Clumsy",-8,if($M$37="Poor",-4,if($M$37="Average",0,if($M$37="Good",4,if($M$37="Perfect",8,0))))))
+if(AE14="Stealth",Vlookup(Size,SizeTable,6,False))
=0,,
if(hlookup(AE14,'Class Skills'!$1:$4,4,false)="Armor Penalty",'Formula References'!$Q$156,)
+if(AND(isnumber($C$38),AE14="Climb"),8,)
+if(AND(isnumber($C$39),AE14="Swim"),8,)
+if(AE14="Fly", Vlookup(Size,SizeTable,5,False),)
+if(AE14="Fly",if($M$37="Clumsy",-8,if($M$37="Poor",-4,if($M$37="Average",0,if($M$37="Good",4,if($M$37="Perfect",8,0))))))
+if(AE14="Stealth",Vlookup(Size,SizeTable,6,False))),"")</f>
        <v/>
      </c>
      <c r="AR14" s="194"/>
      <c r="BP14" s="18"/>
      <c r="BQ14" s="5"/>
      <c r="BR14" s="5"/>
      <c r="BS14" s="5"/>
      <c r="BT14" s="5"/>
    </row>
    <row r="15" ht="9.0" customHeight="1">
      <c r="A15" s="15"/>
      <c r="B15" s="208"/>
      <c r="C15" s="15"/>
      <c r="D15" s="15"/>
      <c r="E15" s="15"/>
      <c r="F15" s="15"/>
      <c r="G15" s="15"/>
      <c r="H15" s="15"/>
      <c r="I15" s="15"/>
      <c r="J15" s="15"/>
      <c r="K15" s="15"/>
      <c r="L15" s="15"/>
      <c r="M15" s="15"/>
      <c r="N15" s="15"/>
      <c r="O15" s="15"/>
      <c r="P15" s="15"/>
      <c r="Q15" s="15"/>
      <c r="R15" s="15"/>
      <c r="S15" s="15"/>
      <c r="T15" s="15"/>
      <c r="U15" s="15"/>
      <c r="V15" s="15"/>
      <c r="W15" s="15"/>
      <c r="X15" s="15"/>
      <c r="Y15" s="194"/>
      <c r="Z15" s="15"/>
      <c r="AA15" s="15"/>
      <c r="AB15" s="15"/>
      <c r="AC15" s="194"/>
      <c r="AD15" s="212" t="str">
        <f>IF(OR(
  iferror(vlookup($AE$2, 'Class Skills'!$A:$BE,MATCH(AE15,'Class Skills'!$1:$1,0),false),"")="X",
  iferror(vlookup($AE$3, 'Class Skills'!$A:$BE,MATCH(AE15,'Class Skills'!$1:$1,0),false),"")="X",
  iferror(vlookup($AE$4, 'Class Skills'!$A:$BE,MATCH(AE15,'Class Skills'!$1:$1,0),false),"")="X",
  iferror(vlookup(#REF!, 'Class Skills'!$A:$BE,MATCH(AE15,'Class Skills'!$1:$1,0),false),"")="X"),"X",)</f>
        <v>X</v>
      </c>
      <c r="AE15" s="305" t="s">
        <v>437</v>
      </c>
      <c r="AF15" s="251"/>
      <c r="AG15" s="251"/>
      <c r="AH15" s="254"/>
      <c r="AI15" s="257" t="str">
        <f>HLOOKUP(AE15,'Class Skills'!$1:$3,3,false)</f>
        <v>Dex</v>
      </c>
      <c r="AJ15" s="260">
        <f>if(AND(HLOOKUP(AE15,'Class Skills'!$1:$2,2,false)="Trained Only",AL15&lt;1),,SUM(AL15:AQ15))</f>
        <v>9</v>
      </c>
      <c r="AK15" s="263" t="s">
        <v>166</v>
      </c>
      <c r="AL15" s="266">
        <v>3.0</v>
      </c>
      <c r="AM15" s="270">
        <f>IFERROR(__xludf.DUMMYFUNCTION("offset($E$8,match(AI15,ARRAYFORMULA(Proper(lower(REGEXEXTRACT($E$9:$E$14,""\w\w\w"")))),0),2)"),3.0)</f>
        <v>3</v>
      </c>
      <c r="AN15" s="270">
        <f t="shared" si="2"/>
        <v>3</v>
      </c>
      <c r="AO15" s="427"/>
      <c r="AP15" s="276">
        <f>IFERROR(__xludf.DUMMYFUNCTION("if(
or(arrayformula(regexmatch($AR$76:$AR$110,AE15))),
   sum(arrayformula(iferror(value(regexextract(filter(
      $AR$76:$AR$110,
         $K$76:$K$110=""ACTIVE"",
         regexmatch($AR$76:$AR$110,AE15)),
       ""[-\d]+"")))))+tSkill,tSkill)"),0.0)</f>
        <v>0</v>
      </c>
      <c r="AQ15" s="288" t="str">
        <f>iferror(if(
if(hlookup(AE15,'Class Skills'!$1:$4,4,false)="Armor Penalty",'Formula References'!$Q$156,)
+if(AND(isnumber($C$38),AE15="Climb"),8,)
+if(AND(isnumber($C$39),AE15="Swim"),8,)
+if(AE15="Fly", Vlookup(Size,SizeTable,5,False),)
+if(AE15="Fly",if($M$37="Clumsy",-8,if($M$37="Poor",-4,if($M$37="Average",0,if($M$37="Good",4,if($M$37="Perfect",8,0))))))
+if(AE15="Stealth",Vlookup(Size,SizeTable,6,False))
=0,,
if(hlookup(AE15,'Class Skills'!$1:$4,4,false)="Armor Penalty",'Formula References'!$Q$156,)
+if(AND(isnumber($C$38),AE15="Climb"),8,)
+if(AND(isnumber($C$39),AE15="Swim"),8,)
+if(AE15="Fly", Vlookup(Size,SizeTable,5,False),)
+if(AE15="Fly",if($M$37="Clumsy",-8,if($M$37="Poor",-4,if($M$37="Average",0,if($M$37="Good",4,if($M$37="Perfect",8,0))))))
+if(AE15="Stealth",Vlookup(Size,SizeTable,6,False))),"")</f>
        <v/>
      </c>
      <c r="AR15" s="194"/>
      <c r="BP15" s="18"/>
      <c r="BQ15" s="5"/>
      <c r="BR15" s="5"/>
      <c r="BS15" s="5"/>
      <c r="BT15" s="5"/>
    </row>
    <row r="16">
      <c r="A16" s="15"/>
      <c r="B16" s="179" t="s">
        <v>458</v>
      </c>
      <c r="C16" s="156"/>
      <c r="D16" s="180"/>
      <c r="E16" s="181"/>
      <c r="F16" s="203" t="s">
        <v>141</v>
      </c>
      <c r="G16" s="203"/>
      <c r="H16" s="432" t="s">
        <v>120</v>
      </c>
      <c r="I16" s="432" t="s">
        <v>142</v>
      </c>
      <c r="J16" s="432" t="s">
        <v>460</v>
      </c>
      <c r="K16" s="432" t="s">
        <v>137</v>
      </c>
      <c r="L16" s="432" t="s">
        <v>123</v>
      </c>
      <c r="M16" s="184"/>
      <c r="N16" s="15"/>
      <c r="O16" s="179" t="s">
        <v>461</v>
      </c>
      <c r="P16" s="156"/>
      <c r="Q16" s="180"/>
      <c r="R16" s="181" t="s">
        <v>141</v>
      </c>
      <c r="S16" s="181"/>
      <c r="T16" s="203" t="s">
        <v>464</v>
      </c>
      <c r="U16" s="203" t="s">
        <v>465</v>
      </c>
      <c r="V16" s="203" t="s">
        <v>466</v>
      </c>
      <c r="W16" s="203" t="s">
        <v>467</v>
      </c>
      <c r="X16" s="181" t="s">
        <v>468</v>
      </c>
      <c r="Y16" s="181" t="s">
        <v>469</v>
      </c>
      <c r="Z16" s="203" t="s">
        <v>470</v>
      </c>
      <c r="AA16" s="203" t="s">
        <v>137</v>
      </c>
      <c r="AB16" s="203" t="s">
        <v>123</v>
      </c>
      <c r="AC16" s="194"/>
      <c r="AD16" s="212" t="str">
        <f>IF(OR(
  iferror(vlookup($AE$2, 'Class Skills'!$A:$BE,MATCH(AE16,'Class Skills'!$1:$1,0),false),"")="X",
  iferror(vlookup($AE$3, 'Class Skills'!$A:$BE,MATCH(AE16,'Class Skills'!$1:$1,0),false),"")="X",
  iferror(vlookup($AE$4, 'Class Skills'!$A:$BE,MATCH(AE16,'Class Skills'!$1:$1,0),false),"")="X",
  iferror(vlookup(#REF!, 'Class Skills'!$A:$BE,MATCH(AE16,'Class Skills'!$1:$1,0),false),"")="X"),"X",)</f>
        <v/>
      </c>
      <c r="AE16" s="305" t="s">
        <v>478</v>
      </c>
      <c r="AF16" s="251"/>
      <c r="AG16" s="251"/>
      <c r="AH16" s="254"/>
      <c r="AI16" s="257" t="str">
        <f>HLOOKUP(AE16,'Class Skills'!$1:$3,3,false)</f>
        <v>Dex</v>
      </c>
      <c r="AJ16" s="260">
        <f>if(AND(HLOOKUP(AE16,'Class Skills'!$1:$2,2,false)="Trained Only",AL16&lt;1),,SUM(AL16:AQ16))</f>
        <v>3</v>
      </c>
      <c r="AK16" s="263" t="s">
        <v>166</v>
      </c>
      <c r="AL16" s="266"/>
      <c r="AM16" s="270">
        <f>IFERROR(__xludf.DUMMYFUNCTION("offset($E$8,match(AI16,ARRAYFORMULA(Proper(lower(REGEXEXTRACT($E$9:$E$14,""\w\w\w"")))),0),2)"),3.0)</f>
        <v>3</v>
      </c>
      <c r="AN16" s="270" t="str">
        <f t="shared" si="2"/>
        <v/>
      </c>
      <c r="AO16" s="220"/>
      <c r="AP16" s="276">
        <f>IFERROR(__xludf.DUMMYFUNCTION("if(
or(arrayformula(regexmatch($AR$76:$AR$110,AE16))),
   sum(arrayformula(iferror(value(regexextract(filter(
      $AR$76:$AR$110,
         $K$76:$K$110=""ACTIVE"",
         regexmatch($AR$76:$AR$110,AE16)),
       ""[-\d]+"")))))+tSkill,tSkill)"),0.0)</f>
        <v>0</v>
      </c>
      <c r="AQ16" s="288" t="str">
        <f>iferror(if(
if(hlookup(AE16,'Class Skills'!$1:$4,4,false)="Armor Penalty",'Formula References'!$Q$156,)
+if(AND(isnumber($C$38),AE16="Climb"),8,)
+if(AND(isnumber($C$39),AE16="Swim"),8,)
+if(AE16="Fly", Vlookup(Size,SizeTable,5,False),)
+if(AE16="Fly",if($M$37="Clumsy",-8,if($M$37="Poor",-4,if($M$37="Average",0,if($M$37="Good",4,if($M$37="Perfect",8,0))))))
+if(AE16="Stealth",Vlookup(Size,SizeTable,6,False))
=0,,
if(hlookup(AE16,'Class Skills'!$1:$4,4,false)="Armor Penalty",'Formula References'!$Q$156,)
+if(AND(isnumber($C$38),AE16="Climb"),8,)
+if(AND(isnumber($C$39),AE16="Swim"),8,)
+if(AE16="Fly", Vlookup(Size,SizeTable,5,False),)
+if(AE16="Fly",if($M$37="Clumsy",-8,if($M$37="Poor",-4,if($M$37="Average",0,if($M$37="Good",4,if($M$37="Perfect",8,0))))))
+if(AE16="Stealth",Vlookup(Size,SizeTable,6,False))),"")</f>
        <v/>
      </c>
      <c r="AR16" s="194"/>
      <c r="BP16" s="18"/>
      <c r="BQ16" s="5"/>
      <c r="BR16" s="5"/>
      <c r="BS16" s="5"/>
      <c r="BT16" s="5"/>
    </row>
    <row r="17" ht="8.25" customHeight="1">
      <c r="A17" s="15"/>
      <c r="B17" s="15"/>
      <c r="C17" s="15"/>
      <c r="D17" s="15"/>
      <c r="E17" s="438" t="s">
        <v>498</v>
      </c>
      <c r="F17" s="366">
        <f t="shared" ref="F17:F19" si="3">SUM(H17:L17)</f>
        <v>7</v>
      </c>
      <c r="G17" s="215" t="s">
        <v>145</v>
      </c>
      <c r="H17" s="439">
        <f>AN6</f>
        <v>3</v>
      </c>
      <c r="I17" s="270">
        <f>Constitution</f>
        <v>4</v>
      </c>
      <c r="J17" s="440">
        <f>IFERROR(__xludf.DUMMYFUNCTION("SUM(
 MAX(IFERROR(FILTER(P76:P116,$K76:$K116 = ""ACTIVE"",$G76:$G116 = ""Deflect/Enhance/Resist"",P76:P116&gt;0)))
+SUM(IFERROR(FILTER(P76:P116,$K76:$K116 = ""ACTIVE"",$G76:$G116 = ""Deflect/Enhance/Resist"",P76:P116&lt;0)))
)"),0.0)</f>
        <v>0</v>
      </c>
      <c r="K17" s="220"/>
      <c r="L17" s="444">
        <f>IFERROR(__xludf.DUMMYFUNCTION("SUM(MAX(IFERROR(FILTER(P76:P116,$K76:$K116 = ""ACTIVE"",$G76:$G116 = ""Alchemical"",P76:P116&gt;0)))+SUM(IFERROR(FILTER(P76:P116,$K76:$K116 = ""ACTIVE"",$G76:$G116 = ""Alchemical"",P76:P116&lt;0))),
MAX(IFERROR(FILTER(P76:P116,$K76:$K116 = ""ACTIVE"",$G76:$G116"&amp;" = ""Armor"",P76:P116&gt;0)))+SUM(IFERROR(FILTER(P76:P116,$K76:$K116 = ""ACTIVE"",$G76:$G116 = ""Armor"",P76:P116&lt;0))),
MAX(IFERROR(FILTER(P76:P116,$K76:$K116 = ""ACTIVE"",$G76:$G116 = ""Competence"",P76:P116&gt;0)))+SUM(IFERROR(FILTER(P76:P116,$K76:$K116 = ""A"&amp;"CTIVE"",$G76:$G116 = ""Competence"",P76:P116&lt;0))),
MAX(IFERROR(FILTER(P76:P116,$K76:$K116 = ""ACTIVE"",$G76:$G116 = ""Insight"",P76:P116&gt;0)))+SUM(IFERROR(FILTER(P76:P116,$K76:$K116 = ""ACTIVE"",$G76:$G116 = ""Insight"",P76:P116&lt;0))),
MAX(IFERROR(FILTER(P7"&amp;"6:P116,$K76:$K116 = ""ACTIVE"",$G76:$G116 = ""Luck"",P76:P116&gt;0)))+SUM(IFERROR(FILTER(P76:P116,$K76:$K116 = ""ACTIVE"",$G76:$G116 = ""Luck"",P76:P116&lt;0))),
MAX(IFERROR(FILTER(P76:P116,$K76:$K116 = ""ACTIVE"",$G76:$G116 = ""Morale"",P76:P116&gt;0)))+SUM(IFERR"&amp;"OR(FILTER(P76:P116,$K76:$K116 = ""ACTIVE"",$G76:$G116 = ""Morale"",P76:P116&lt;0))),
MAX(IFERROR(FILTER(P76:P116,$K76:$K116 = ""ACTIVE"",$G76:$G116 = ""Precision Damage"",P76:P116&gt;0)))+SUM(IFERROR(FILTER(P76:P116,$K76:$K116 = ""ACTIVE"",$G76:$G116 = ""Precis"&amp;"ion Damage"",P76:P116&lt;0))),
MAX(IFERROR(FILTER(P76:P116,$K76:$K116 = ""ACTIVE"",$G76:$G116 = ""Sacred / Profane"",P76:P116&gt;0)))+SUM(IFERROR(FILTER(P76:P116,$K76:$K116 = ""ACTIVE"",$G76:$G116 = ""Sacred / Profane"",P76:P116&lt;0))),
MAX(IFERROR(FILTER(P76:P11"&amp;"6,$K76:$K116 = ""ACTIVE"",$G76:$G116 = ""Size"",P76:P116&gt;0)))+SUM(IFERROR(FILTER(P76:P116,$K76:$K116 = ""ACTIVE"",$G76:$G116 = ""Size"",P76:P116&lt;0))),
SUM(IFERROR(FILTER(P76:P116,$K76:$K116 = ""ACTIVE"",$G76:$G116 = ""Untyped (stacks)"")),),
SUM(IFERROR(F"&amp;"ILTER(P76:P116,$K76:$K116 = ""ACTIVE"",$G76:$G116 = ""Dodge (stacks)"")),),
SUM(IFERROR(FILTER(P76:P116,$K76:$K116 = ""ACTIVE"",$G76:$G116 = ""Circumstance (stacks)"")),))"),0.0)</f>
        <v>0</v>
      </c>
      <c r="M17" s="15"/>
      <c r="N17" s="15"/>
      <c r="O17" s="447"/>
      <c r="P17" s="447"/>
      <c r="Q17" s="208" t="s">
        <v>520</v>
      </c>
      <c r="R17" s="449">
        <f t="shared" ref="R17:R20" si="4">10+SUM(T17:AB17)</f>
        <v>21</v>
      </c>
      <c r="S17" s="215" t="s">
        <v>145</v>
      </c>
      <c r="T17" s="450">
        <f>IFERROR(__xludf.DUMMYFUNCTION("MAX($O$42,MAX(IFERROR(FILTER(N76:N116,$K76:$K116 = ""ACTIVE"",$G76:$G116 = ""Armor"",N76:N116&gt;0))))
+SUM(IFERROR(FILTER(N76:N116,$K76:$K116 = ""ACTIVE"",$G76:$G116 = ""Armor"",N76:N116&lt;0)))+SUM(IFERROR(FILTER(N76:N116,$K76:$K116 = ""ACTIVE"",$G76:$G116 = "&amp;"""Bonus AC (Stacks)"",N76:N116&gt;0)))"),0.0)</f>
        <v>0</v>
      </c>
      <c r="U17" s="270">
        <f>O43</f>
        <v>0</v>
      </c>
      <c r="V17" s="270">
        <f>Min(Dexterity,'Formula References'!$P$156)</f>
        <v>3</v>
      </c>
      <c r="W17" s="440">
        <f>VLOOKUP(Size,SizeTable,3,false)</f>
        <v>0</v>
      </c>
      <c r="X17" s="451">
        <f>$O$74</f>
        <v>0</v>
      </c>
      <c r="Y17" s="440">
        <f>IFERROR(__xludf.DUMMYFUNCTION("
MAX(IFERROR(FILTER(N76:N116,$K76:$K116 = ""ACTIVE"",$G76:$G116 = ""Deflect/Enhance/Resist"",N76:N116&gt;0)))+SUM(IFERROR(FILTER(N76:N116,$K76:$K116 = ""ACTIVE"",$G76:$G116 = ""Deflect/Enhance/Resist"",N76:N116&lt;0)))"),0.0)</f>
        <v>0</v>
      </c>
      <c r="Z17" s="440">
        <f>IFERROR(__xludf.DUMMYFUNCTION("
SUM(IFERROR(FILTER(N76:N116,$K76:$K116 = ""ACTIVE"",$G76:$G116 = ""Dodge (stacks)"")),)"),8.0)</f>
        <v>8</v>
      </c>
      <c r="AA17" s="453"/>
      <c r="AB17" s="444">
        <f>IFERROR(__xludf.DUMMYFUNCTION("SUM(MAX(IFERROR(FILTER(N76:N116,$K76:$K116 = ""ACTIVE"",$G76:$G116 = ""Alchemical"",N76:N116&gt;0)))+SUM(IFERROR(FILTER(N76:N116,$K76:$K116 = ""ACTIVE"",$G76:$G116 = ""Alchemical"",N76:N116&lt;0))),
MAX(IFERROR(FILTER(N76:N116,$K76:$K116 = ""ACTIVE"",$G76:$G116"&amp;" = ""Competence"",N76:N116&gt;0)))+SUM(IFERROR(FILTER(N76:N116,$K76:$K116 = ""ACTIVE"",$G76:$G116 = ""Competence"",N76:N116&lt;0))),
MAX(IFERROR(FILTER(N76:N116,$K76:$K116 = ""ACTIVE"",$G76:$G116 = ""Insight"",N76:N116&gt;0)))+SUM(IFERROR(FILTER(N76:N116,$K76:$K11"&amp;"6 = ""ACTIVE"",$G76:$G116 = ""Insight"",N76:N116&lt;0))),
MAX(IFERROR(FILTER(N76:N116,$K76:$K116 = ""ACTIVE"",$G76:$G116 = ""Luck"",N76:N116&gt;0)))+SUM(IFERROR(FILTER(N76:N116,$K76:$K116 = ""ACTIVE"",$G76:$G116 = ""Luck"",N76:N116&lt;0))),
MAX(IFERROR(FILTER(N76:"&amp;"N116,$K76:$K116 = ""ACTIVE"",$G76:$G116 = ""Morale"",N76:N116&gt;0)))+SUM(IFERROR(FILTER(N76:N116,$K76:$K116 = ""ACTIVE"",$G76:$G116 = ""Morale"",N76:N116&lt;0))),
MAX(IFERROR(FILTER(N76:N116,$K76:$K116 = ""ACTIVE"",$G76:$G116 = ""Precision Damage"",N76:N116&gt;0)"&amp;"))+SUM(IFERROR(FILTER(N76:N116,$K76:$K116 = ""ACTIVE"",$G76:$G116 = ""Precision Damage"",N76:N116&lt;0))),
MAX(IFERROR(FILTER(N76:N116,$K76:$K116 = ""ACTIVE"",$G76:$G116 = ""Sacred / Profane"",N76:N116&gt;0)))+SUM(IFERROR(FILTER(N76:N116,$K76:$K116 = ""ACTIVE"""&amp;",$G76:$G116 = ""Sacred / Profane"",N76:N116&lt;0))),
SUM(IFERROR(FILTER(N76:N116,$K76:$K116 = ""ACTIVE"",$G76:$G116 = ""Untyped (stacks)"")),),
SUM(IFERROR(FILTER(N76:N116,$K76:$K116 = ""ACTIVE"",$G76:$G116 = ""Circumstance (stacks)"")),))"),0.0)</f>
        <v>0</v>
      </c>
      <c r="AC17" s="194"/>
      <c r="AD17" s="212" t="str">
        <f>IF(OR(
  iferror(vlookup($AE$2, 'Class Skills'!$A:$BE,MATCH(AE17,'Class Skills'!$1:$1,0),false),"")="X",
  iferror(vlookup($AE$3, 'Class Skills'!$A:$BE,MATCH(AE17,'Class Skills'!$1:$1,0),false),"")="X",
  iferror(vlookup($AE$4, 'Class Skills'!$A:$BE,MATCH(AE17,'Class Skills'!$1:$1,0),false),"")="X",
  iferror(vlookup(#REF!, 'Class Skills'!$A:$BE,MATCH(AE17,'Class Skills'!$1:$1,0),false),"")="X"),"X",)</f>
        <v>X</v>
      </c>
      <c r="AE17" s="249" t="s">
        <v>543</v>
      </c>
      <c r="AF17" s="251"/>
      <c r="AG17" s="251"/>
      <c r="AH17" s="254"/>
      <c r="AI17" s="257" t="str">
        <f>HLOOKUP(AE17,'Class Skills'!$1:$3,3,false)</f>
        <v>Wis</v>
      </c>
      <c r="AJ17" s="260">
        <f>if(AND(HLOOKUP(AE17,'Class Skills'!$1:$2,2,false)="Trained Only",AL17&lt;1),,SUM(AL17:AQ17))</f>
        <v>0</v>
      </c>
      <c r="AK17" s="263" t="s">
        <v>166</v>
      </c>
      <c r="AL17" s="266"/>
      <c r="AM17" s="270">
        <f>IFERROR(__xludf.DUMMYFUNCTION("offset($E$8,match(AI17,ARRAYFORMULA(Proper(lower(REGEXEXTRACT($E$9:$E$14,""\w\w\w"")))),0),2)"),0.0)</f>
        <v>0</v>
      </c>
      <c r="AN17" s="270" t="str">
        <f t="shared" si="2"/>
        <v/>
      </c>
      <c r="AO17" s="220"/>
      <c r="AP17" s="276">
        <f>IFERROR(__xludf.DUMMYFUNCTION("if(
or(arrayformula(regexmatch($AR$76:$AR$110,AE17))),
   sum(arrayformula(iferror(value(regexextract(filter(
      $AR$76:$AR$110,
         $K$76:$K$110=""ACTIVE"",
         regexmatch($AR$76:$AR$110,AE17)),
       ""[-\d]+"")))))+tSkill,tSkill)"),0.0)</f>
        <v>0</v>
      </c>
      <c r="AQ17" s="288" t="str">
        <f>iferror(if(
if(hlookup(AE17,'Class Skills'!$1:$4,4,false)="Armor Penalty",'Formula References'!$Q$156,)
+if(AND(isnumber($C$38),AE17="Climb"),8,)
+if(AND(isnumber($C$39),AE17="Swim"),8,)
+if(AE17="Fly", Vlookup(Size,SizeTable,5,False),)
+if(AE17="Fly",if($M$37="Clumsy",-8,if($M$37="Poor",-4,if($M$37="Average",0,if($M$37="Good",4,if($M$37="Perfect",8,0))))))
+if(AE17="Stealth",Vlookup(Size,SizeTable,6,False))
=0,,
if(hlookup(AE17,'Class Skills'!$1:$4,4,false)="Armor Penalty",'Formula References'!$Q$156,)
+if(AND(isnumber($C$38),AE17="Climb"),8,)
+if(AND(isnumber($C$39),AE17="Swim"),8,)
+if(AE17="Fly", Vlookup(Size,SizeTable,5,False),)
+if(AE17="Fly",if($M$37="Clumsy",-8,if($M$37="Poor",-4,if($M$37="Average",0,if($M$37="Good",4,if($M$37="Perfect",8,0))))))
+if(AE17="Stealth",Vlookup(Size,SizeTable,6,False))),"")</f>
        <v/>
      </c>
      <c r="AR17" s="194"/>
      <c r="BP17" s="18"/>
      <c r="BQ17" s="5"/>
      <c r="BR17" s="5"/>
      <c r="BS17" s="5"/>
      <c r="BT17" s="5"/>
    </row>
    <row r="18">
      <c r="A18" s="15"/>
      <c r="B18" s="15"/>
      <c r="C18" s="15"/>
      <c r="D18" s="15"/>
      <c r="E18" s="438" t="s">
        <v>567</v>
      </c>
      <c r="F18" s="366">
        <f t="shared" si="3"/>
        <v>4</v>
      </c>
      <c r="G18" s="215" t="s">
        <v>145</v>
      </c>
      <c r="H18" s="439">
        <f>AO6</f>
        <v>1</v>
      </c>
      <c r="I18" s="270">
        <f>Dexterity</f>
        <v>3</v>
      </c>
      <c r="J18" s="440">
        <f>IFERROR(__xludf.DUMMYFUNCTION("SUM(
 MAX(IFERROR(FILTER(Q76:Q116,$K76:$K116 = ""ACTIVE"",$G76:$G116 = ""Deflect/Enhance/Resist"",Q76:Q116&gt;0)))
+SUM(IFERROR(FILTER(Q76:Q116,$K76:$K116 = ""ACTIVE"",$G76:$G116 = ""Deflect/Enhance/Resist"",Q76:Q116&lt;0)))
)"),0.0)</f>
        <v>0</v>
      </c>
      <c r="K18" s="220"/>
      <c r="L18" s="444">
        <f>IFERROR(__xludf.DUMMYFUNCTION("SUM(MAX(IFERROR(FILTER(Q76:Q116,$K76:$K116 = ""ACTIVE"",$G76:$G116 = ""Alchemical"",Q76:Q116&gt;0)))+SUM(IFERROR(FILTER(Q76:Q116,$K76:$K116 = ""ACTIVE"",$G76:$G116 = ""Alchemical"",Q76:Q116&lt;0))),
MAX(IFERROR(FILTER(Q76:Q116,$K76:$K116 = ""ACTIVE"",$G76:$G116"&amp;" = ""Armor"",Q76:Q116&gt;0)))+SUM(IFERROR(FILTER(Q76:Q116,$K76:$K116 = ""ACTIVE"",$G76:$G116 = ""Armor"",Q76:Q116&lt;0))),
MAX(IFERROR(FILTER(Q76:Q116,$K76:$K116 = ""ACTIVE"",$G76:$G116 = ""Competence"",Q76:Q116&gt;0)))+SUM(IFERROR(FILTER(Q76:Q116,$K76:$K116 = ""A"&amp;"CTIVE"",$G76:$G116 = ""Competence"",Q76:Q116&lt;0))),
MAX(IFERROR(FILTER(Q76:Q116,$K76:$K116 = ""ACTIVE"",$G76:$G116 = ""Insight"",Q76:Q116&gt;0)))+SUM(IFERROR(FILTER(Q76:Q116,$K76:$K116 = ""ACTIVE"",$G76:$G116 = ""Insight"",Q76:Q116&lt;0))),
MAX(IFERROR(FILTER(Q7"&amp;"6:Q116,$K76:$K116 = ""ACTIVE"",$G76:$G116 = ""Luck"",Q76:Q116&gt;0)))+SUM(IFERROR(FILTER(Q76:Q116,$K76:$K116 = ""ACTIVE"",$G76:$G116 = ""Luck"",Q76:Q116&lt;0))),
MAX(IFERROR(FILTER(Q76:Q116,$K76:$K116 = ""ACTIVE"",$G76:$G116 = ""Morale"",Q76:Q116&gt;0)))+SUM(IFERR"&amp;"OR(FILTER(Q76:Q116,$K76:$K116 = ""ACTIVE"",$G76:$G116 = ""Morale"",Q76:Q116&lt;0))),
MAX(IFERROR(FILTER(Q76:Q116,$K76:$K116 = ""ACTIVE"",$G76:$G116 = ""Precision Damage"",Q76:Q116&gt;0)))+SUM(IFERROR(FILTER(Q76:Q116,$K76:$K116 = ""ACTIVE"",$G76:$G116 = ""Precis"&amp;"ion Damage"",Q76:Q116&lt;0))),
MAX(IFERROR(FILTER(Q76:Q116,$K76:$K116 = ""ACTIVE"",$G76:$G116 = ""Sacred / Profane"",Q76:Q116&gt;0)))+SUM(IFERROR(FILTER(Q76:Q116,$K76:$K116 = ""ACTIVE"",$G76:$G116 = ""Sacred / Profane"",Q76:Q116&lt;0))),
MAX(IFERROR(FILTER(Q76:Q11"&amp;"6,$K76:$K116 = ""ACTIVE"",$G76:$G116 = ""Size"",Q76:Q116&gt;0)))+SUM(IFERROR(FILTER(Q76:Q116,$K76:$K116 = ""ACTIVE"",$G76:$G116 = ""Size"",Q76:Q116&lt;0))),
SUM(IFERROR(FILTER(Q76:Q116,$K76:$K116 = ""ACTIVE"",$G76:$G116 = ""Untyped (stacks)"")),),
SUM(IFERROR(F"&amp;"ILTER(Q76:Q116,$K76:$K116 = ""ACTIVE"",$G76:$G116 = ""Dodge (stacks)"")),),
SUM(IFERROR(FILTER(Q76:Q116,$K76:$K116 = ""ACTIVE"",$G76:$G116 = ""Circumstance (stacks)"")),))"),0.0)</f>
        <v>0</v>
      </c>
      <c r="M18" s="15"/>
      <c r="N18" s="15"/>
      <c r="O18" s="455"/>
      <c r="P18" s="456"/>
      <c r="Q18" s="208" t="s">
        <v>575</v>
      </c>
      <c r="R18" s="449">
        <f t="shared" si="4"/>
        <v>18</v>
      </c>
      <c r="S18" s="215" t="s">
        <v>145</v>
      </c>
      <c r="T18" s="450">
        <f t="shared" ref="T18:U18" si="5">T17</f>
        <v>0</v>
      </c>
      <c r="U18" s="270">
        <f t="shared" si="5"/>
        <v>0</v>
      </c>
      <c r="V18" s="457" t="str">
        <f>if(Dexterity&lt;0,Dexterity,)</f>
        <v/>
      </c>
      <c r="W18" s="440">
        <f>VLOOKUP(Size,SizeTable,3,false)</f>
        <v>0</v>
      </c>
      <c r="X18" s="270">
        <f t="shared" ref="X18:Y18" si="6">X17</f>
        <v>0</v>
      </c>
      <c r="Y18" s="440">
        <f t="shared" si="6"/>
        <v>0</v>
      </c>
      <c r="Z18" s="440">
        <f>IFERROR(__xludf.DUMMYFUNCTION("
SUM(IFERROR(FILTER(N77:N117,$K77:$K117 = ""ACTIVE"",$G77:$G117 = ""Dodge (stacks)"")),)"),8.0)</f>
        <v>8</v>
      </c>
      <c r="AA18" s="453"/>
      <c r="AB18" s="444">
        <f t="shared" ref="AB18:AB20" si="8">$AB$17</f>
        <v>0</v>
      </c>
      <c r="AC18" s="194"/>
      <c r="AD18" s="212" t="str">
        <f>IF(OR(
  iferror(vlookup($AE$2, 'Class Skills'!$A:$BE,MATCH(AE18,'Class Skills'!$1:$1,0),false),"")="X",
  iferror(vlookup($AE$3, 'Class Skills'!$A:$BE,MATCH(AE18,'Class Skills'!$1:$1,0),false),"")="X",
  iferror(vlookup($AE$4, 'Class Skills'!$A:$BE,MATCH(AE18,'Class Skills'!$1:$1,0),false),"")="X",
  iferror(vlookup(#REF!, 'Class Skills'!$A:$BE,MATCH(AE18,'Class Skills'!$1:$1,0),false),"")="X"),"X",)</f>
        <v>X</v>
      </c>
      <c r="AE18" s="305" t="s">
        <v>580</v>
      </c>
      <c r="AF18" s="251"/>
      <c r="AG18" s="251"/>
      <c r="AH18" s="254"/>
      <c r="AI18" s="460" t="s">
        <v>581</v>
      </c>
      <c r="AJ18" s="260">
        <f>if(AND(HLOOKUP(AE18,'Class Skills'!$1:$2,2,false)="Trained Only",AL18&lt;1),,SUM(AL18:AQ18))</f>
        <v>14</v>
      </c>
      <c r="AK18" s="263" t="s">
        <v>166</v>
      </c>
      <c r="AL18" s="266">
        <v>3.0</v>
      </c>
      <c r="AM18" s="270">
        <f>IFERROR(__xludf.DUMMYFUNCTION("offset($E$8,match(AI18,ARRAYFORMULA(Proper(lower(REGEXEXTRACT($E$9:$E$14,""\w\w\w"")))),0),2)"),8.0)</f>
        <v>8</v>
      </c>
      <c r="AN18" s="270">
        <f t="shared" si="2"/>
        <v>3</v>
      </c>
      <c r="AO18" s="427"/>
      <c r="AP18" s="276">
        <f>IFERROR(__xludf.DUMMYFUNCTION("if(
or(arrayformula(regexmatch($AR$76:$AR$110,AE18))),
   sum(arrayformula(iferror(value(regexextract(filter(
      $AR$76:$AR$110,
         $K$76:$K$110=""ACTIVE"",
         regexmatch($AR$76:$AR$110,AE18)),
       ""[-\d]+"")))))+tSkill,tSkill)"),0.0)</f>
        <v>0</v>
      </c>
      <c r="AQ18" s="288" t="str">
        <f>iferror(if(
if(hlookup(AE18,'Class Skills'!$1:$4,4,false)="Armor Penalty",'Formula References'!$Q$156,)
+if(AND(isnumber($C$38),AE18="Climb"),8,)
+if(AND(isnumber($C$39),AE18="Swim"),8,)
+if(AE18="Fly", Vlookup(Size,SizeTable,5,False),)
+if(AE18="Fly",if($M$37="Clumsy",-8,if($M$37="Poor",-4,if($M$37="Average",0,if($M$37="Good",4,if($M$37="Perfect",8,0))))))
+if(AE18="Stealth",Vlookup(Size,SizeTable,6,False))
=0,,
if(hlookup(AE18,'Class Skills'!$1:$4,4,false)="Armor Penalty",'Formula References'!$Q$156,)
+if(AND(isnumber($C$38),AE18="Climb"),8,)
+if(AND(isnumber($C$39),AE18="Swim"),8,)
+if(AE18="Fly", Vlookup(Size,SizeTable,5,False),)
+if(AE18="Fly",if($M$37="Clumsy",-8,if($M$37="Poor",-4,if($M$37="Average",0,if($M$37="Good",4,if($M$37="Perfect",8,0))))))
+if(AE18="Stealth",Vlookup(Size,SizeTable,6,False))),"")</f>
        <v/>
      </c>
      <c r="AR18" s="194"/>
      <c r="BP18" s="18"/>
      <c r="BQ18" s="5"/>
      <c r="BR18" s="5"/>
      <c r="BS18" s="5"/>
      <c r="BT18" s="5"/>
    </row>
    <row r="19">
      <c r="A19" s="15"/>
      <c r="B19" s="15"/>
      <c r="C19" s="15"/>
      <c r="D19" s="15"/>
      <c r="E19" s="438" t="s">
        <v>589</v>
      </c>
      <c r="F19" s="366">
        <f t="shared" si="3"/>
        <v>3</v>
      </c>
      <c r="G19" s="215" t="s">
        <v>145</v>
      </c>
      <c r="H19" s="439">
        <f>AP6</f>
        <v>3</v>
      </c>
      <c r="I19" s="270">
        <f>Wisdom</f>
        <v>0</v>
      </c>
      <c r="J19" s="440">
        <f>IFERROR(__xludf.DUMMYFUNCTION("SUM(
 MAX(IFERROR(FILTER(R76:R116,$K76:$K116 = ""ACTIVE"",$G76:$G116 = ""Deflect/Enhance/Resist"",R76:R116&gt;0)))
+SUM(IFERROR(FILTER(R76:R116,$K76:$K116 = ""ACTIVE"",$G76:$G116 = ""Deflect/Enhance/Resist"",R76:R116&lt;0)))
)"),0.0)</f>
        <v>0</v>
      </c>
      <c r="K19" s="220"/>
      <c r="L19" s="444">
        <f>IFERROR(__xludf.DUMMYFUNCTION("SUM(MAX(IFERROR(FILTER(R76:R116,$K76:$K116 = ""ACTIVE"",$G76:$G116 = ""Alchemical"",R76:R116&gt;0)))+SUM(IFERROR(FILTER(R76:R116,$K76:$K116 = ""ACTIVE"",$G76:$G116 = ""Alchemical"",R76:R116&lt;0))),
MAX(IFERROR(FILTER(R76:R116,$K76:$K116 = ""ACTIVE"",$G76:$G116"&amp;" = ""Armor"",R76:R116&gt;0)))+SUM(IFERROR(FILTER(R76:R116,$K76:$K116 = ""ACTIVE"",$G76:$G116 = ""Armor"",R76:R116&lt;0))),
MAX(IFERROR(FILTER(R76:R116,$K76:$K116 = ""ACTIVE"",$G76:$G116 = ""Competence"",R76:R116&gt;0)))+SUM(IFERROR(FILTER(R76:R116,$K76:$K116 = ""A"&amp;"CTIVE"",$G76:$G116 = ""Competence"",R76:R116&lt;0))),
MAX(IFERROR(FILTER(R76:R116,$K76:$K116 = ""ACTIVE"",$G76:$G116 = ""Insight"",R76:R116&gt;0)))+SUM(IFERROR(FILTER(R76:R116,$K76:$K116 = ""ACTIVE"",$G76:$G116 = ""Insight"",R76:R116&lt;0))),
MAX(IFERROR(FILTER(R7"&amp;"6:R116,$K76:$K116 = ""ACTIVE"",$G76:$G116 = ""Luck"",R76:R116&gt;0)))+SUM(IFERROR(FILTER(R76:R116,$K76:$K116 = ""ACTIVE"",$G76:$G116 = ""Luck"",R76:R116&lt;0))),
MAX(IFERROR(FILTER(R76:R116,$K76:$K116 = ""ACTIVE"",$G76:$G116 = ""Morale"",R76:R116&gt;0)))+SUM(IFERR"&amp;"OR(FILTER(R76:R116,$K76:$K116 = ""ACTIVE"",$G76:$G116 = ""Morale"",R76:R116&lt;0))),
MAX(IFERROR(FILTER(R76:R116,$K76:$K116 = ""ACTIVE"",$G76:$G116 = ""Precision Damage"",R76:R116&gt;0)))+SUM(IFERROR(FILTER(R76:R116,$K76:$K116 = ""ACTIVE"",$G76:$G116 = ""Precis"&amp;"ion Damage"",R76:R116&lt;0))),
MAX(IFERROR(FILTER(R76:R116,$K76:$K116 = ""ACTIVE"",$G76:$G116 = ""Sacred / Profane"",R76:R116&gt;0)))+SUM(IFERROR(FILTER(R76:R116,$K76:$K116 = ""ACTIVE"",$G76:$G116 = ""Sacred / Profane"",R76:R116&lt;0))),
MAX(IFERROR(FILTER(R76:R11"&amp;"6,$K76:$K116 = ""ACTIVE"",$G76:$G116 = ""Size"",R76:R116&gt;0)))+SUM(IFERROR(FILTER(R76:R116,$K76:$K116 = ""ACTIVE"",$G76:$G116 = ""Size"",R76:R116&lt;0))),
SUM(IFERROR(FILTER(R76:R116,$K76:$K116 = ""ACTIVE"",$G76:$G116 = ""Untyped (stacks)"")),),
SUM(IFERROR(F"&amp;"ILTER(R76:R116,$K76:$K116 = ""ACTIVE"",$G76:$G116 = ""Dodge (stacks)"")),),
SUM(IFERROR(FILTER(R76:R116,$K76:$K116 = ""ACTIVE"",$G76:$G116 = ""Circumstance (stacks)"")),))"),0.0)</f>
        <v>0</v>
      </c>
      <c r="M19" s="15"/>
      <c r="N19" s="15"/>
      <c r="O19" s="455"/>
      <c r="P19" s="456"/>
      <c r="Q19" s="208" t="s">
        <v>591</v>
      </c>
      <c r="R19" s="449">
        <f t="shared" si="4"/>
        <v>21</v>
      </c>
      <c r="S19" s="215" t="s">
        <v>145</v>
      </c>
      <c r="T19" s="480" t="s">
        <v>13</v>
      </c>
      <c r="U19" s="482" t="s">
        <v>132</v>
      </c>
      <c r="V19" s="270">
        <f>V17</f>
        <v>3</v>
      </c>
      <c r="W19" s="440">
        <f>VLOOKUP(Size,SizeTable,3,false)</f>
        <v>0</v>
      </c>
      <c r="X19" s="485"/>
      <c r="Y19" s="270">
        <f t="shared" ref="Y19:Z19" si="7">Y17</f>
        <v>0</v>
      </c>
      <c r="Z19" s="270">
        <f t="shared" si="7"/>
        <v>8</v>
      </c>
      <c r="AA19" s="453"/>
      <c r="AB19" s="444">
        <f t="shared" si="8"/>
        <v>0</v>
      </c>
      <c r="AC19" s="194"/>
      <c r="AD19" s="486" t="s">
        <v>595</v>
      </c>
      <c r="AE19" s="249" t="s">
        <v>596</v>
      </c>
      <c r="AF19" s="251"/>
      <c r="AG19" s="251"/>
      <c r="AH19" s="254"/>
      <c r="AI19" s="257" t="str">
        <f>HLOOKUP(AE19,'Class Skills'!$1:$3,3,false)</f>
        <v>Int</v>
      </c>
      <c r="AJ19" s="260">
        <f>if(AND(HLOOKUP(AE19,'Class Skills'!$1:$2,2,false)="Trained Only",AL19&lt;1),,SUM(AL19:AQ19))</f>
        <v>22</v>
      </c>
      <c r="AK19" s="263" t="s">
        <v>166</v>
      </c>
      <c r="AL19" s="266">
        <v>3.0</v>
      </c>
      <c r="AM19" s="270">
        <f>IFERROR(__xludf.DUMMYFUNCTION("offset($E$8,match(AI19,ARRAYFORMULA(Proper(lower(REGEXEXTRACT($E$9:$E$14,""\w\w\w"")))),0),2)"),8.0)</f>
        <v>8</v>
      </c>
      <c r="AN19" s="270">
        <f t="shared" si="2"/>
        <v>3</v>
      </c>
      <c r="AO19" s="220">
        <v>8.0</v>
      </c>
      <c r="AP19" s="276">
        <f>IFERROR(__xludf.DUMMYFUNCTION("if(
or(arrayformula(regexmatch($AR$76:$AR$110,AE19))),
   sum(arrayformula(iferror(value(regexextract(filter(
      $AR$76:$AR$110,
         $K$76:$K$110=""ACTIVE"",
         regexmatch($AR$76:$AR$110,AE19)),
       ""[-\d]+"")))))+tSkill,tSkill)"),0.0)</f>
        <v>0</v>
      </c>
      <c r="AQ19" s="288" t="str">
        <f>iferror(if(
if(hlookup(AE19,'Class Skills'!$1:$4,4,false)="Armor Penalty",'Formula References'!$Q$156,)
+if(AND(isnumber($C$38),AE19="Climb"),8,)
+if(AND(isnumber($C$39),AE19="Swim"),8,)
+if(AE19="Fly", Vlookup(Size,SizeTable,5,False),)
+if(AE19="Fly",if($M$37="Clumsy",-8,if($M$37="Poor",-4,if($M$37="Average",0,if($M$37="Good",4,if($M$37="Perfect",8,0))))))
+if(AE19="Stealth",Vlookup(Size,SizeTable,6,False))
=0,,
if(hlookup(AE19,'Class Skills'!$1:$4,4,false)="Armor Penalty",'Formula References'!$Q$156,)
+if(AND(isnumber($C$38),AE19="Climb"),8,)
+if(AND(isnumber($C$39),AE19="Swim"),8,)
+if(AE19="Fly", Vlookup(Size,SizeTable,5,False),)
+if(AE19="Fly",if($M$37="Clumsy",-8,if($M$37="Poor",-4,if($M$37="Average",0,if($M$37="Good",4,if($M$37="Perfect",8,0))))))
+if(AE19="Stealth",Vlookup(Size,SizeTable,6,False))),"")</f>
        <v/>
      </c>
      <c r="AR19" s="194"/>
      <c r="BP19" s="18"/>
      <c r="BQ19" s="5"/>
      <c r="BR19" s="5"/>
      <c r="BS19" s="5"/>
      <c r="BT19" s="5"/>
    </row>
    <row r="20" ht="8.25" customHeight="1">
      <c r="A20" s="15"/>
      <c r="B20" s="15"/>
      <c r="C20" s="15"/>
      <c r="D20" s="15"/>
      <c r="E20" s="15"/>
      <c r="F20" s="15"/>
      <c r="G20" s="15"/>
      <c r="H20" s="15"/>
      <c r="I20" s="15"/>
      <c r="J20" s="15"/>
      <c r="K20" s="455"/>
      <c r="L20" s="455"/>
      <c r="M20" s="455"/>
      <c r="N20" s="455"/>
      <c r="O20" s="455"/>
      <c r="P20" s="456"/>
      <c r="Q20" s="208" t="s">
        <v>605</v>
      </c>
      <c r="R20" s="494">
        <f t="shared" si="4"/>
        <v>23</v>
      </c>
      <c r="S20" s="215" t="s">
        <v>145</v>
      </c>
      <c r="T20" s="439">
        <f>BaseAttack</f>
        <v>2</v>
      </c>
      <c r="U20" s="270">
        <f>G9</f>
        <v>0</v>
      </c>
      <c r="V20" s="270">
        <f>Dexterity</f>
        <v>3</v>
      </c>
      <c r="W20" s="440">
        <f>VLOOKUP(Size,SizeTable,4,false)</f>
        <v>0</v>
      </c>
      <c r="X20" s="485"/>
      <c r="Y20" s="270">
        <f t="shared" ref="Y20:Z20" si="9">Y17</f>
        <v>0</v>
      </c>
      <c r="Z20" s="270">
        <f t="shared" si="9"/>
        <v>8</v>
      </c>
      <c r="AA20" s="453"/>
      <c r="AB20" s="444">
        <f t="shared" si="8"/>
        <v>0</v>
      </c>
      <c r="AC20" s="194"/>
      <c r="AD20" s="212" t="str">
        <f>IF(OR(
  iferror(vlookup($AE$2, 'Class Skills'!$A:$BE,MATCH(AE20,'Class Skills'!$1:$1,0),false),"")="X",
  iferror(vlookup($AE$3, 'Class Skills'!$A:$BE,MATCH(AE20,'Class Skills'!$1:$1,0),false),"")="X",
  iferror(vlookup($AE$4, 'Class Skills'!$A:$BE,MATCH(AE20,'Class Skills'!$1:$1,0),false),"")="X",
  iferror(vlookup(#REF!, 'Class Skills'!$A:$BE,MATCH(AE20,'Class Skills'!$1:$1,0),false),"")="X"),"X",)</f>
        <v/>
      </c>
      <c r="AE20" s="249" t="s">
        <v>609</v>
      </c>
      <c r="AF20" s="251"/>
      <c r="AG20" s="251"/>
      <c r="AH20" s="254"/>
      <c r="AI20" s="257" t="str">
        <f>HLOOKUP(AE20,'Class Skills'!$1:$3,3,false)</f>
        <v>Int</v>
      </c>
      <c r="AJ20" s="260" t="str">
        <f>if(AND(HLOOKUP(AE20,'Class Skills'!$1:$2,2,false)="Trained Only",AL20&lt;1),,SUM(AL20:AQ20))</f>
        <v/>
      </c>
      <c r="AK20" s="263" t="s">
        <v>166</v>
      </c>
      <c r="AL20" s="266"/>
      <c r="AM20" s="270">
        <f>IFERROR(__xludf.DUMMYFUNCTION("offset($E$8,match(AI20,ARRAYFORMULA(Proper(lower(REGEXEXTRACT($E$9:$E$14,""\w\w\w"")))),0),2)"),8.0)</f>
        <v>8</v>
      </c>
      <c r="AN20" s="270" t="str">
        <f t="shared" si="2"/>
        <v/>
      </c>
      <c r="AO20" s="427"/>
      <c r="AP20" s="276">
        <f>IFERROR(__xludf.DUMMYFUNCTION("if(
or(arrayformula(regexmatch($AR$76:$AR$110,AE20))),
   sum(arrayformula(iferror(value(regexextract(filter(
      $AR$76:$AR$110,
         $K$76:$K$110=""ACTIVE"",
         regexmatch($AR$76:$AR$110,AE20)),
       ""[-\d]+"")))))+tSkill,tSkill)"),0.0)</f>
        <v>0</v>
      </c>
      <c r="AQ20" s="288" t="str">
        <f>iferror(if(
if(hlookup(AE20,'Class Skills'!$1:$4,4,false)="Armor Penalty",'Formula References'!$Q$156,)
+if(AND(isnumber($C$38),AE20="Climb"),8,)
+if(AND(isnumber($C$39),AE20="Swim"),8,)
+if(AE20="Fly", Vlookup(Size,SizeTable,5,False),)
+if(AE20="Fly",if($M$37="Clumsy",-8,if($M$37="Poor",-4,if($M$37="Average",0,if($M$37="Good",4,if($M$37="Perfect",8,0))))))
+if(AE20="Stealth",Vlookup(Size,SizeTable,6,False))
=0,,
if(hlookup(AE20,'Class Skills'!$1:$4,4,false)="Armor Penalty",'Formula References'!$Q$156,)
+if(AND(isnumber($C$38),AE20="Climb"),8,)
+if(AND(isnumber($C$39),AE20="Swim"),8,)
+if(AE20="Fly", Vlookup(Size,SizeTable,5,False),)
+if(AE20="Fly",if($M$37="Clumsy",-8,if($M$37="Poor",-4,if($M$37="Average",0,if($M$37="Good",4,if($M$37="Perfect",8,0))))))
+if(AE20="Stealth",Vlookup(Size,SizeTable,6,False))),"")</f>
        <v/>
      </c>
      <c r="AR20" s="194"/>
      <c r="BP20" s="18"/>
      <c r="BQ20" s="5"/>
      <c r="BR20" s="5"/>
      <c r="BS20" s="5"/>
      <c r="BT20" s="5"/>
    </row>
    <row r="21">
      <c r="A21" s="15"/>
      <c r="B21" s="15"/>
      <c r="C21" s="15"/>
      <c r="D21" s="15"/>
      <c r="E21" s="15"/>
      <c r="F21" s="15"/>
      <c r="G21" s="15"/>
      <c r="H21" s="227" t="s">
        <v>615</v>
      </c>
      <c r="I21" s="15"/>
      <c r="J21" s="15"/>
      <c r="K21" s="15"/>
      <c r="L21" s="15"/>
      <c r="M21" s="15"/>
      <c r="N21" s="15"/>
      <c r="O21" s="15"/>
      <c r="P21" s="507"/>
      <c r="Q21" s="15"/>
      <c r="R21" s="15"/>
      <c r="S21" s="15"/>
      <c r="T21" s="15"/>
      <c r="U21" s="15"/>
      <c r="V21" s="227" t="s">
        <v>617</v>
      </c>
      <c r="W21" s="15"/>
      <c r="X21" s="227"/>
      <c r="Y21" s="15"/>
      <c r="Z21" s="15"/>
      <c r="AA21" s="15"/>
      <c r="AB21" s="15"/>
      <c r="AC21" s="194"/>
      <c r="AD21" s="212" t="str">
        <f>IF(OR(
  iferror(vlookup($AE$2, 'Class Skills'!$A:$BE,MATCH(AE21,'Class Skills'!$1:$1,0),false),"")="X",
  iferror(vlookup($AE$3, 'Class Skills'!$A:$BE,MATCH(AE21,'Class Skills'!$1:$1,0),false),"")="X",
  iferror(vlookup($AE$4, 'Class Skills'!$A:$BE,MATCH(AE21,'Class Skills'!$1:$1,0),false),"")="X",
  iferror(vlookup(#REF!, 'Class Skills'!$A:$BE,MATCH(AE21,'Class Skills'!$1:$1,0),false),"")="X"),"X",)</f>
        <v>X</v>
      </c>
      <c r="AE21" s="249" t="s">
        <v>620</v>
      </c>
      <c r="AF21" s="251"/>
      <c r="AG21" s="251"/>
      <c r="AH21" s="254"/>
      <c r="AI21" s="257" t="str">
        <f>HLOOKUP(AE21,'Class Skills'!$1:$3,3,false)</f>
        <v>Int</v>
      </c>
      <c r="AJ21" s="260">
        <f>if(AND(HLOOKUP(AE21,'Class Skills'!$1:$2,2,false)="Trained Only",AL21&lt;1),,SUM(AL21:AQ21))</f>
        <v>14</v>
      </c>
      <c r="AK21" s="263" t="s">
        <v>166</v>
      </c>
      <c r="AL21" s="266">
        <v>3.0</v>
      </c>
      <c r="AM21" s="270">
        <f>IFERROR(__xludf.DUMMYFUNCTION("offset($E$8,match(AI21,ARRAYFORMULA(Proper(lower(REGEXEXTRACT($E$9:$E$14,""\w\w\w"")))),0),2)"),8.0)</f>
        <v>8</v>
      </c>
      <c r="AN21" s="270">
        <f t="shared" si="2"/>
        <v>3</v>
      </c>
      <c r="AO21" s="427"/>
      <c r="AP21" s="276">
        <f>IFERROR(__xludf.DUMMYFUNCTION("if(
or(arrayformula(regexmatch($AR$76:$AR$110,AE21))),
   sum(arrayformula(iferror(value(regexextract(filter(
      $AR$76:$AR$110,
         $K$76:$K$110=""ACTIVE"",
         regexmatch($AR$76:$AR$110,AE21)),
       ""[-\d]+"")))))+tSkill,tSkill)"),0.0)</f>
        <v>0</v>
      </c>
      <c r="AQ21" s="288" t="str">
        <f>iferror(if(
if(hlookup(AE21,'Class Skills'!$1:$4,4,false)="Armor Penalty",'Formula References'!$Q$156,)
+if(AND(isnumber($C$38),AE21="Climb"),8,)
+if(AND(isnumber($C$39),AE21="Swim"),8,)
+if(AE21="Fly", Vlookup(Size,SizeTable,5,False),)
+if(AE21="Fly",if($M$37="Clumsy",-8,if($M$37="Poor",-4,if($M$37="Average",0,if($M$37="Good",4,if($M$37="Perfect",8,0))))))
+if(AE21="Stealth",Vlookup(Size,SizeTable,6,False))
=0,,
if(hlookup(AE21,'Class Skills'!$1:$4,4,false)="Armor Penalty",'Formula References'!$Q$156,)
+if(AND(isnumber($C$38),AE21="Climb"),8,)
+if(AND(isnumber($C$39),AE21="Swim"),8,)
+if(AE21="Fly", Vlookup(Size,SizeTable,5,False),)
+if(AE21="Fly",if($M$37="Clumsy",-8,if($M$37="Poor",-4,if($M$37="Average",0,if($M$37="Good",4,if($M$37="Perfect",8,0))))))
+if(AE21="Stealth",Vlookup(Size,SizeTable,6,False))),"")</f>
        <v/>
      </c>
      <c r="AR21" s="194"/>
      <c r="BP21" s="18"/>
      <c r="BQ21" s="5"/>
      <c r="BR21" s="5"/>
      <c r="BS21" s="5"/>
      <c r="BT21" s="5"/>
    </row>
    <row r="22">
      <c r="A22" s="15"/>
      <c r="B22" s="514"/>
      <c r="C22" s="67"/>
      <c r="D22" s="67"/>
      <c r="E22" s="67"/>
      <c r="F22" s="67"/>
      <c r="G22" s="67"/>
      <c r="H22" s="67"/>
      <c r="I22" s="67"/>
      <c r="J22" s="67"/>
      <c r="K22" s="67"/>
      <c r="L22" s="67"/>
      <c r="M22" s="67"/>
      <c r="N22" s="69"/>
      <c r="O22" s="15"/>
      <c r="P22" s="514"/>
      <c r="Q22" s="67"/>
      <c r="R22" s="67"/>
      <c r="S22" s="67"/>
      <c r="T22" s="67"/>
      <c r="U22" s="67"/>
      <c r="V22" s="67"/>
      <c r="W22" s="67"/>
      <c r="X22" s="67"/>
      <c r="Y22" s="67"/>
      <c r="Z22" s="67"/>
      <c r="AA22" s="67"/>
      <c r="AB22" s="69"/>
      <c r="AC22" s="194"/>
      <c r="AD22" s="212" t="str">
        <f>IF(OR(
  iferror(vlookup($AE$2, 'Class Skills'!$A:$BE,MATCH(AE22,'Class Skills'!$1:$1,0),false),"")="X",
  iferror(vlookup($AE$3, 'Class Skills'!$A:$BE,MATCH(AE22,'Class Skills'!$1:$1,0),false),"")="X",
  iferror(vlookup($AE$4, 'Class Skills'!$A:$BE,MATCH(AE22,'Class Skills'!$1:$1,0),false),"")="X",
  iferror(vlookup(#REF!, 'Class Skills'!$A:$BE,MATCH(AE22,'Class Skills'!$1:$1,0),false),"")="X"),"X",)</f>
        <v>X</v>
      </c>
      <c r="AE22" s="249" t="s">
        <v>629</v>
      </c>
      <c r="AF22" s="251"/>
      <c r="AG22" s="251"/>
      <c r="AH22" s="254"/>
      <c r="AI22" s="257" t="str">
        <f>HLOOKUP(AE22,'Class Skills'!$1:$3,3,false)</f>
        <v>Int</v>
      </c>
      <c r="AJ22" s="260">
        <f>if(AND(HLOOKUP(AE22,'Class Skills'!$1:$2,2,false)="Trained Only",AL22&lt;1),,SUM(AL22:AQ22))</f>
        <v>14</v>
      </c>
      <c r="AK22" s="263" t="s">
        <v>166</v>
      </c>
      <c r="AL22" s="266">
        <v>3.0</v>
      </c>
      <c r="AM22" s="270">
        <f>IFERROR(__xludf.DUMMYFUNCTION("offset($E$8,match(AI22,ARRAYFORMULA(Proper(lower(REGEXEXTRACT($E$9:$E$14,""\w\w\w"")))),0),2)"),8.0)</f>
        <v>8</v>
      </c>
      <c r="AN22" s="270">
        <f t="shared" si="2"/>
        <v>3</v>
      </c>
      <c r="AO22" s="427"/>
      <c r="AP22" s="276">
        <f>IFERROR(__xludf.DUMMYFUNCTION("if(
or(arrayformula(regexmatch($AR$76:$AR$110,AE22))),
   sum(arrayformula(iferror(value(regexextract(filter(
      $AR$76:$AR$110,
         $K$76:$K$110=""ACTIVE"",
         regexmatch($AR$76:$AR$110,AE22)),
       ""[-\d]+"")))))+tSkill,tSkill)"),0.0)</f>
        <v>0</v>
      </c>
      <c r="AQ22" s="288" t="str">
        <f>iferror(if(
if(hlookup(AE22,'Class Skills'!$1:$4,4,false)="Armor Penalty",'Formula References'!$Q$156,)
+if(AND(isnumber($C$38),AE22="Climb"),8,)
+if(AND(isnumber($C$39),AE22="Swim"),8,)
+if(AE22="Fly", Vlookup(Size,SizeTable,5,False),)
+if(AE22="Fly",if($M$37="Clumsy",-8,if($M$37="Poor",-4,if($M$37="Average",0,if($M$37="Good",4,if($M$37="Perfect",8,0))))))
+if(AE22="Stealth",Vlookup(Size,SizeTable,6,False))
=0,,
if(hlookup(AE22,'Class Skills'!$1:$4,4,false)="Armor Penalty",'Formula References'!$Q$156,)
+if(AND(isnumber($C$38),AE22="Climb"),8,)
+if(AND(isnumber($C$39),AE22="Swim"),8,)
+if(AE22="Fly", Vlookup(Size,SizeTable,5,False),)
+if(AE22="Fly",if($M$37="Clumsy",-8,if($M$37="Poor",-4,if($M$37="Average",0,if($M$37="Good",4,if($M$37="Perfect",8,0))))))
+if(AE22="Stealth",Vlookup(Size,SizeTable,6,False))),"")</f>
        <v/>
      </c>
      <c r="AR22" s="194"/>
      <c r="BP22" s="18"/>
      <c r="BQ22" s="5"/>
      <c r="BR22" s="5"/>
      <c r="BS22" s="5"/>
      <c r="BT22" s="5"/>
    </row>
    <row r="23">
      <c r="A23" s="523"/>
      <c r="B23" s="111"/>
      <c r="C23" s="114"/>
      <c r="D23" s="114"/>
      <c r="E23" s="114"/>
      <c r="F23" s="114"/>
      <c r="G23" s="114"/>
      <c r="H23" s="114"/>
      <c r="I23" s="114"/>
      <c r="J23" s="114"/>
      <c r="K23" s="114"/>
      <c r="L23" s="114"/>
      <c r="M23" s="114"/>
      <c r="N23" s="68"/>
      <c r="O23" s="15"/>
      <c r="P23" s="111"/>
      <c r="Q23" s="114"/>
      <c r="R23" s="114"/>
      <c r="S23" s="114"/>
      <c r="T23" s="114"/>
      <c r="U23" s="114"/>
      <c r="V23" s="114"/>
      <c r="W23" s="114"/>
      <c r="X23" s="114"/>
      <c r="Y23" s="114"/>
      <c r="Z23" s="114"/>
      <c r="AA23" s="114"/>
      <c r="AB23" s="68"/>
      <c r="AC23" s="194"/>
      <c r="AD23" s="212" t="str">
        <f>IF(OR(
  iferror(vlookup($AE$2, 'Class Skills'!$A:$BE,MATCH(AE23,'Class Skills'!$1:$1,0),false),"")="X",
  iferror(vlookup($AE$3, 'Class Skills'!$A:$BE,MATCH(AE23,'Class Skills'!$1:$1,0),false),"")="X",
  iferror(vlookup($AE$4, 'Class Skills'!$A:$BE,MATCH(AE23,'Class Skills'!$1:$1,0),false),"")="X",
  iferror(vlookup(#REF!, 'Class Skills'!$A:$BE,MATCH(AE23,'Class Skills'!$1:$1,0),false),"")="X"),"X",)</f>
        <v/>
      </c>
      <c r="AE23" s="249" t="s">
        <v>638</v>
      </c>
      <c r="AF23" s="251"/>
      <c r="AG23" s="251"/>
      <c r="AH23" s="254"/>
      <c r="AI23" s="257" t="str">
        <f>HLOOKUP(AE23,'Class Skills'!$1:$3,3,false)</f>
        <v>Int</v>
      </c>
      <c r="AJ23" s="260" t="str">
        <f>if(AND(HLOOKUP(AE23,'Class Skills'!$1:$2,2,false)="Trained Only",AL23&lt;1),,SUM(AL23:AQ23))</f>
        <v/>
      </c>
      <c r="AK23" s="263" t="s">
        <v>166</v>
      </c>
      <c r="AL23" s="266"/>
      <c r="AM23" s="270">
        <f>IFERROR(__xludf.DUMMYFUNCTION("offset($E$8,match(AI23,ARRAYFORMULA(Proper(lower(REGEXEXTRACT($E$9:$E$14,""\w\w\w"")))),0),2)"),8.0)</f>
        <v>8</v>
      </c>
      <c r="AN23" s="270" t="str">
        <f t="shared" si="2"/>
        <v/>
      </c>
      <c r="AO23" s="427"/>
      <c r="AP23" s="276">
        <f>IFERROR(__xludf.DUMMYFUNCTION("if(
or(arrayformula(regexmatch($AR$76:$AR$110,AE23))),
   sum(arrayformula(iferror(value(regexextract(filter(
      $AR$76:$AR$110,
         $K$76:$K$110=""ACTIVE"",
         regexmatch($AR$76:$AR$110,AE23)),
       ""[-\d]+"")))))+tSkill,tSkill)"),0.0)</f>
        <v>0</v>
      </c>
      <c r="AQ23" s="288" t="str">
        <f>iferror(if(
if(hlookup(AE23,'Class Skills'!$1:$4,4,false)="Armor Penalty",'Formula References'!$Q$156,)
+if(AND(isnumber($C$38),AE23="Climb"),8,)
+if(AND(isnumber($C$39),AE23="Swim"),8,)
+if(AE23="Fly", Vlookup(Size,SizeTable,5,False),)
+if(AE23="Fly",if($M$37="Clumsy",-8,if($M$37="Poor",-4,if($M$37="Average",0,if($M$37="Good",4,if($M$37="Perfect",8,0))))))
+if(AE23="Stealth",Vlookup(Size,SizeTable,6,False))
=0,,
if(hlookup(AE23,'Class Skills'!$1:$4,4,false)="Armor Penalty",'Formula References'!$Q$156,)
+if(AND(isnumber($C$38),AE23="Climb"),8,)
+if(AND(isnumber($C$39),AE23="Swim"),8,)
+if(AE23="Fly", Vlookup(Size,SizeTable,5,False),)
+if(AE23="Fly",if($M$37="Clumsy",-8,if($M$37="Poor",-4,if($M$37="Average",0,if($M$37="Good",4,if($M$37="Perfect",8,0))))))
+if(AE23="Stealth",Vlookup(Size,SizeTable,6,False))),"")</f>
        <v/>
      </c>
      <c r="AR23" s="194"/>
      <c r="BP23" s="18"/>
      <c r="BQ23" s="5"/>
      <c r="BR23" s="5"/>
      <c r="BS23" s="5"/>
      <c r="BT23" s="5"/>
    </row>
    <row r="24" ht="3.0" customHeight="1">
      <c r="A24" s="523"/>
      <c r="B24" s="15"/>
      <c r="C24" s="15"/>
      <c r="D24" s="15"/>
      <c r="E24" s="15"/>
      <c r="F24" s="15"/>
      <c r="G24" s="15"/>
      <c r="H24" s="15"/>
      <c r="I24" s="15"/>
      <c r="J24" s="15"/>
      <c r="K24" s="15"/>
      <c r="L24" s="15"/>
      <c r="M24" s="15"/>
      <c r="N24" s="15"/>
      <c r="O24" s="15"/>
      <c r="P24" s="15"/>
      <c r="Q24" s="15"/>
      <c r="R24" s="15"/>
      <c r="S24" s="15"/>
      <c r="T24" s="15"/>
      <c r="U24" s="15"/>
      <c r="V24" s="15"/>
      <c r="W24" s="15"/>
      <c r="X24" s="15"/>
      <c r="Y24" s="15"/>
      <c r="Z24" s="15"/>
      <c r="AA24" s="15"/>
      <c r="AB24" s="15"/>
      <c r="AC24" s="194"/>
      <c r="AD24" s="212" t="str">
        <f>IF(OR(
  iferror(vlookup($AE$2, 'Class Skills'!$A:$BE,MATCH(AE24,'Class Skills'!$1:$1,0),false),"")="X",
  iferror(vlookup($AE$3, 'Class Skills'!$A:$BE,MATCH(AE24,'Class Skills'!$1:$1,0),false),"")="X",
  iferror(vlookup($AE$4, 'Class Skills'!$A:$BE,MATCH(AE24,'Class Skills'!$1:$1,0),false),"")="X",
  iferror(vlookup(#REF!, 'Class Skills'!$A:$BE,MATCH(AE24,'Class Skills'!$1:$1,0),false),"")="X"),"X",)</f>
        <v>X</v>
      </c>
      <c r="AE24" s="249" t="s">
        <v>642</v>
      </c>
      <c r="AF24" s="251"/>
      <c r="AG24" s="251"/>
      <c r="AH24" s="254"/>
      <c r="AI24" s="257" t="str">
        <f>HLOOKUP(AE24,'Class Skills'!$1:$3,3,false)</f>
        <v>Int</v>
      </c>
      <c r="AJ24" s="260">
        <f>if(AND(HLOOKUP(AE24,'Class Skills'!$1:$2,2,false)="Trained Only",AL24&lt;1),,SUM(AL24:AQ24))</f>
        <v>14</v>
      </c>
      <c r="AK24" s="263" t="s">
        <v>166</v>
      </c>
      <c r="AL24" s="266">
        <v>3.0</v>
      </c>
      <c r="AM24" s="270">
        <f>IFERROR(__xludf.DUMMYFUNCTION("offset($E$8,match(AI24,ARRAYFORMULA(Proper(lower(REGEXEXTRACT($E$9:$E$14,""\w\w\w"")))),0),2)"),8.0)</f>
        <v>8</v>
      </c>
      <c r="AN24" s="270">
        <f t="shared" si="2"/>
        <v>3</v>
      </c>
      <c r="AO24" s="427"/>
      <c r="AP24" s="276">
        <f>IFERROR(__xludf.DUMMYFUNCTION("if(
or(arrayformula(regexmatch($AR$76:$AR$110,AE24))),
   sum(arrayformula(iferror(value(regexextract(filter(
      $AR$76:$AR$110,
         $K$76:$K$110=""ACTIVE"",
         regexmatch($AR$76:$AR$110,AE24)),
       ""[-\d]+"")))))+tSkill,tSkill)"),0.0)</f>
        <v>0</v>
      </c>
      <c r="AQ24" s="288" t="str">
        <f>iferror(if(
if(hlookup(AE24,'Class Skills'!$1:$4,4,false)="Armor Penalty",'Formula References'!$Q$156,)
+if(AND(isnumber($C$38),AE24="Climb"),8,)
+if(AND(isnumber($C$39),AE24="Swim"),8,)
+if(AE24="Fly", Vlookup(Size,SizeTable,5,False),)
+if(AE24="Fly",if($M$37="Clumsy",-8,if($M$37="Poor",-4,if($M$37="Average",0,if($M$37="Good",4,if($M$37="Perfect",8,0))))))
+if(AE24="Stealth",Vlookup(Size,SizeTable,6,False))
=0,,
if(hlookup(AE24,'Class Skills'!$1:$4,4,false)="Armor Penalty",'Formula References'!$Q$156,)
+if(AND(isnumber($C$38),AE24="Climb"),8,)
+if(AND(isnumber($C$39),AE24="Swim"),8,)
+if(AE24="Fly", Vlookup(Size,SizeTable,5,False),)
+if(AE24="Fly",if($M$37="Clumsy",-8,if($M$37="Poor",-4,if($M$37="Average",0,if($M$37="Good",4,if($M$37="Perfect",8,0))))))
+if(AE24="Stealth",Vlookup(Size,SizeTable,6,False))),"")</f>
        <v/>
      </c>
      <c r="AR24" s="194"/>
      <c r="BP24" s="18"/>
      <c r="BQ24" s="5"/>
      <c r="BR24" s="5"/>
      <c r="BS24" s="5"/>
      <c r="BT24" s="5"/>
    </row>
    <row r="25">
      <c r="A25" s="15"/>
      <c r="B25" s="432" t="s">
        <v>646</v>
      </c>
      <c r="C25" s="432" t="s">
        <v>647</v>
      </c>
      <c r="D25" s="540" t="s">
        <v>648</v>
      </c>
      <c r="E25" s="541" t="s">
        <v>649</v>
      </c>
      <c r="F25" s="542"/>
      <c r="G25" s="542"/>
      <c r="H25" s="542"/>
      <c r="I25" s="542"/>
      <c r="J25" s="542"/>
      <c r="K25" s="542"/>
      <c r="L25" s="542"/>
      <c r="M25" s="543" t="s">
        <v>650</v>
      </c>
      <c r="N25" s="432"/>
      <c r="O25" s="432"/>
      <c r="P25" s="432"/>
      <c r="Q25" s="432" t="s">
        <v>651</v>
      </c>
      <c r="R25" s="432"/>
      <c r="S25" s="432"/>
      <c r="T25" s="432"/>
      <c r="U25" s="184" t="s">
        <v>652</v>
      </c>
      <c r="V25" s="545"/>
      <c r="W25" s="545" t="s">
        <v>330</v>
      </c>
      <c r="X25" s="545"/>
      <c r="Y25" s="204" t="s">
        <v>653</v>
      </c>
      <c r="Z25" s="432" t="s">
        <v>654</v>
      </c>
      <c r="AA25" s="203" t="s">
        <v>655</v>
      </c>
      <c r="AB25" s="203" t="s">
        <v>656</v>
      </c>
      <c r="AC25" s="194"/>
      <c r="AD25" s="212" t="str">
        <f>IF(OR(
  iferror(vlookup($AE$2, 'Class Skills'!$A:$BE,MATCH(AE25,'Class Skills'!$1:$1,0),false),"")="X",
  iferror(vlookup($AE$3, 'Class Skills'!$A:$BE,MATCH(AE25,'Class Skills'!$1:$1,0),false),"")="X",
  iferror(vlookup($AE$4, 'Class Skills'!$A:$BE,MATCH(AE25,'Class Skills'!$1:$1,0),false),"")="X",
  iferror(vlookup(#REF!, 'Class Skills'!$A:$BE,MATCH(AE25,'Class Skills'!$1:$1,0),false),"")="X"),"X",)</f>
        <v>X</v>
      </c>
      <c r="AE25" s="305" t="s">
        <v>657</v>
      </c>
      <c r="AF25" s="251"/>
      <c r="AG25" s="251"/>
      <c r="AH25" s="254"/>
      <c r="AI25" s="257" t="str">
        <f>HLOOKUP(AE25,'Class Skills'!$1:$3,3,false)</f>
        <v>Wis</v>
      </c>
      <c r="AJ25" s="260">
        <f>if(AND(HLOOKUP(AE25,'Class Skills'!$1:$2,2,false)="Trained Only",AL25&lt;1),,SUM(AL25:AQ25))</f>
        <v>6</v>
      </c>
      <c r="AK25" s="263" t="s">
        <v>166</v>
      </c>
      <c r="AL25" s="266">
        <v>3.0</v>
      </c>
      <c r="AM25" s="270">
        <f>IFERROR(__xludf.DUMMYFUNCTION("offset($E$8,match(AI25,ARRAYFORMULA(Proper(lower(REGEXEXTRACT($E$9:$E$14,""\w\w\w"")))),0),2)"),0.0)</f>
        <v>0</v>
      </c>
      <c r="AN25" s="270">
        <f t="shared" si="2"/>
        <v>3</v>
      </c>
      <c r="AO25" s="427"/>
      <c r="AP25" s="276">
        <f>IFERROR(__xludf.DUMMYFUNCTION("if(
or(arrayformula(regexmatch($AR$76:$AR$110,AE25))),
   sum(arrayformula(iferror(value(regexextract(filter(
      $AR$76:$AR$110,
         $K$76:$K$110=""ACTIVE"",
         regexmatch($AR$76:$AR$110,AE25)),
       ""[-\d]+"")))))+tSkill,tSkill)"),0.0)</f>
        <v>0</v>
      </c>
      <c r="AQ25" s="288" t="str">
        <f>iferror(if(
if(hlookup(AE25,'Class Skills'!$1:$4,4,false)="Armor Penalty",'Formula References'!$Q$156,)
+if(AND(isnumber($C$38),AE25="Climb"),8,)
+if(AND(isnumber($C$39),AE25="Swim"),8,)
+if(AE25="Fly", Vlookup(Size,SizeTable,5,False),)
+if(AE25="Fly",if($M$37="Clumsy",-8,if($M$37="Poor",-4,if($M$37="Average",0,if($M$37="Good",4,if($M$37="Perfect",8,0))))))
+if(AE25="Stealth",Vlookup(Size,SizeTable,6,False))
=0,,
if(hlookup(AE25,'Class Skills'!$1:$4,4,false)="Armor Penalty",'Formula References'!$Q$156,)
+if(AND(isnumber($C$38),AE25="Climb"),8,)
+if(AND(isnumber($C$39),AE25="Swim"),8,)
+if(AE25="Fly", Vlookup(Size,SizeTable,5,False),)
+if(AE25="Fly",if($M$37="Clumsy",-8,if($M$37="Poor",-4,if($M$37="Average",0,if($M$37="Good",4,if($M$37="Perfect",8,0))))))
+if(AE25="Stealth",Vlookup(Size,SizeTable,6,False))),"")</f>
        <v/>
      </c>
      <c r="AR25" s="194"/>
      <c r="BP25" s="18"/>
      <c r="BQ25" s="5"/>
      <c r="BR25" s="5"/>
      <c r="BS25" s="5"/>
      <c r="BT25" s="5"/>
    </row>
    <row r="26">
      <c r="A26" s="15"/>
      <c r="B26" s="560"/>
      <c r="C26" s="561"/>
      <c r="D26" s="562"/>
      <c r="E26" s="563" t="s">
        <v>628</v>
      </c>
      <c r="F26" s="23"/>
      <c r="G26" s="23"/>
      <c r="H26" s="23"/>
      <c r="I26" s="23"/>
      <c r="J26" s="23"/>
      <c r="K26" s="23"/>
      <c r="L26" s="564"/>
      <c r="M26" s="565" t="s">
        <v>663</v>
      </c>
      <c r="N26" s="565" t="s">
        <v>664</v>
      </c>
      <c r="O26" s="573" t="str">
        <f>IFERROR(__xludf.DUMMYFUNCTION("if(istext(N26),
if(M26 = ""Melee Attack"",""+""&amp;
   if(Vlookup(M26,INDIRECT('Formula References'!$B71),3,FALSE)&gt;0, VLOOKUP(N26,INDIRECT('Formula References'!$B71),2,False)+$B26+if($D26 = ""Masterwork"", 1, $D26),)+$AC$74&amp;
                                 "&amp;"                    if($AI$74&gt;0, "" / +"" &amp; VLOOKUP(N26,INDIRECT('Formula References'!$B71),2,False)+$B26+if($D26 = ""Masterwork"", 1, $D26),)&amp;
   if(Vlookup(M26,INDIRECT('Formula References'!$B71),3,FALSE)&gt;1, "" / +"" &amp; VLOOKUP(N26,INDIRECT('Formula Refe"&amp;"rences'!$B71),2,False)+$B26+if($D26 = ""Masterwork"", 1, $D26)-5,) &amp;
   if(Vlookup(M26,INDIRECT('Formula References'!$B71),3,FALSE)&gt;2, "" / +"" &amp; VLOOKUP(N26,INDIRECT('Formula References'!$B71),2,False)+$B26+if($D26 = ""Masterwork"", 1, $D26)-10,) &amp;
   if"&amp;"(Vlookup(M26,INDIRECT('Formula References'!$B71),3,FALSE)&gt;3, "" / +"" &amp; VLOOKUP(N26,INDIRECT('Formula References'!$B71),2,False)+$B26+if($D26 = ""Masterwork"", 1, $D26)-15,)
,)&amp;
if(M26 = ""Ranged Attack"",
   if($AJ$74&gt;0, ""+""&amp;VLOOKUP(N26,INDIRECT('Form"&amp;"ula References'!$B71),2,False)+$B26+if($D26 = ""Masterwork"", 1, $D26)&amp; "" / "",) &amp;
   if($AJ$74&gt;1, ""+""&amp;VLOOKUP(N26,INDIRECT('Formula References'!$B71),2,False)+$B26+if($D26 = ""Masterwork"", 1, $D26)&amp; "" / "",) &amp;
   if(Vlookup(M26,INDIRECT('Formula Ref"&amp;"erences'!$B71),3,FALSE)&gt;0, ""+""&amp;VLOOKUP(N26,INDIRECT('Formula References'!$B71),2,False)+$B26+if($D26 = ""Masterwork"", 1, $D26),) &amp;
   if(Vlookup(M26,INDIRECT('Formula References'!$B71),3,FALSE)&gt;1, "" / +"" &amp; VLOOKUP(N26,INDIRECT('Formula References'!$B"&amp;"71),2,False)+$B26+if($D26 = ""Masterwork"", 1, $D26)-5,) &amp;
   if(Vlookup(M26,INDIRECT('Formula References'!$B71),3,FALSE)&gt;2, "" / +"" &amp; VLOOKUP(N26,INDIRECT('Formula References'!$B71),2,False)+$B26+if($D26 = ""Masterwork"", 1, $D26)-10,) &amp;
   if(Vlookup(M"&amp;"26,INDIRECT('Formula References'!$B71),3,FALSE)&gt;3, "" / +"" &amp; VLOOKUP(N26,INDIRECT('Formula References'!$B71),2,False)+$B26+if($D26 = ""Masterwork"", 1, $D26)-15,)
,)&amp;
if(M26 = ""Off-Hand Melee Attack (must have TWF 1, 2, or 3 active on Buff Table)"",
  "&amp;" if(Vlookup(M26,INDIRECT('Formula References'!$B71),3,FALSE)&gt;0, ""+""&amp;VLOOKUP(N26,INDIRECT('Formula References'!$B71),2,False)+$B26+if($D26 = ""Masterwork"", 1, $D26),) &amp;
   if(Vlookup(M26,INDIRECT('Formula References'!$B71),3,FALSE)&gt;1, "" / +"" &amp; VLOOKUP"&amp;"(N26,INDIRECT('Formula References'!$B71),2,False)+$B26+if($D26 = ""Masterwork"", 1, $D26)-5,) &amp;
   if(Vlookup(M26,INDIRECT('Formula References'!$B71),3,FALSE)&gt;2, "" / +"" &amp; VLOOKUP(N26,INDIRECT('Formula References'!$B71),2,False)+$B26+if($D26 = ""Masterwo"&amp;"rk"", 1, $D26)-10,) &amp;
   if(Vlookup(M26,INDIRECT('Formula References'!$B71),3,FALSE)&gt;3, "" / +"" &amp; VLOOKUP(N26,INDIRECT('Formula References'!$B71),2,False)+$B26+if($D26 = ""Masterwork"", 1, $D26)-15,)
,)&amp;
if(M26 = ""Off-Hand Ranged Attack (must have TWF "&amp;"1, 2, or 3 active on Buff Table)"",
   if(Vlookup(M26,INDIRECT('Formula References'!$B71),3,FALSE)&gt;0, ""+""&amp;VLOOKUP(N26,INDIRECT('Formula References'!$B71),2,False)+$B26+if($D26 = ""Masterwork"", 1, $D26),) &amp;
   if(Vlookup(M26,INDIRECT('Formula References"&amp;"'!$B71),3,FALSE)&gt;1, "" / +"" &amp; VLOOKUP(N26,INDIRECT('Formula References'!$B71),2,False)+$B26+if($D26 = ""Masterwork"", 1, $D26)-5,) &amp;
   if(Vlookup(M26,INDIRECT('Formula References'!$B71),3,FALSE)&gt;2, "" / +"" &amp; VLOOKUP(N26,INDIRECT('Formula References'!$B"&amp;"71),2,False)+$B26+if($D26 = ""Masterwork"", 1, $D26)-10,) &amp;
   if(Vlookup(M26,INDIRECT('Formula References'!$B71),3,FALSE)&gt;3, "" / +"" &amp; VLOOKUP(N26,INDIRECT('Formula References'!$B71),2,False)+$B26+if($D26 = ""Masterwork"", 1, $D26)-15,)
,)&amp;
if(M26 = """&amp;"Combat Maneuver"",
   if(Vlookup(M26,INDIRECT('Formula References'!$B71),3,FALSE)&gt;0, ""+""&amp;VLOOKUP(N26,INDIRECT('Formula References'!$B71),2,False)+$B26+if($D26 = ""Masterwork"", 1, $D26)+$AC$74,)
,)&amp;
if(M26 = ""Magic"",
   if(Vlookup(M26,INDIRECT('Formu"&amp;"la References'!$B71),3,FALSE)&gt;0, ""+""&amp;VLOOKUP(N26,INDIRECT('Formula References'!$B71),2,False)+$B26+if($D26 = ""Masterwork"", 1, $D26),)
,)&amp;
if(M26 = ""Monk Flurry"",
if(OR(arrayformula(regexmatch($AE$2:$AE$4,""Monk \(Unchained\)""))),
     if(Vlookup"&amp;"(M26,INDIRECT('Formula References'!$B71),3,FALSE)&gt;0, ""+"" &amp; VLOOKUP(N26,INDIRECT('Formula References'!$B71),2,False)+$B26+if($D26 = ""Masterwork"", 1, $D26)+$AC$74,)&amp;
                  if(AND($AJ$74&gt;0,regexmatch(N26,""Ranged"")), "" / +"" &amp; VLOOKUP(N26,I"&amp;"NDIRECT('Formula References'!$B71),2,False)+$B26+if($D26 = ""Masterwork"", 1, $D26),)&amp;
                  if(AND($AJ$74&gt;1,regexmatch(N26,""Ranged"")), "" / +"" &amp; VLOOKUP(N26,INDIRECT('Formula References'!$B71),2,False)+$B26+if($D26 = ""Masterwork"", 1, $D2"&amp;"6),)&amp;
                  if(AND($AJ$74&gt;3,regexmatch(N26,""Ranged"")), "" / +"" &amp; VLOOKUP(N26,INDIRECT('Formula References'!$B71),2,False)+$B26+if($D26 = ""Masterwork"", 1, $D26),)&amp;
                  if(AND($AI$74&gt;0,regexmatch(N26,""Melee"")), "" / +"" &amp; VL"&amp;"OOKUP(N26,INDIRECT('Formula References'!$B71),2,False)+$B26+if($D26 = ""Masterwork"", 1, $D26),)&amp;
     if(Vlookup(""Monk (Unchained)"",$AE$2:$AQ$4,13,false)&gt;0 , "" / +"" &amp; VLOOKUP(N26,INDIRECT('Formula References'!$B71),2,False)+$B26+if($D26 = ""Masterwor"&amp;"k"", 1, $D26),) &amp;
     if(Vlookup(""Monk (Unchained)"",$AE$2:$AQ$4,13,false)&gt;10, "" / +"" &amp; VLOOKUP(N26,INDIRECT('Formula References'!$B71),2,False)+$B26+if($D26 = ""Masterwork"", 1, $D26),) &amp;
     if(Vlookup(M26,INDIRECT('Formula References'!$B71),3,FALS"&amp;"E)&gt;1, "" / +"" &amp; VLOOKUP(N26,INDIRECT('Formula References'!$B71),2,False)+$B26+if($D26 = ""Masterwork"", 1, $D26)-5,) &amp;
     if(Vlookup(M26,INDIRECT('Formula References'!$B71),3,FALSE)&gt;2, "" / +"" &amp; VLOOKUP(N26,INDIRECT('Formula References'!$B71),2,False)"&amp;"+$B26+if($D26 = ""Masterwork"", 1, $D26)-10,) &amp;
     if(Vlookup(M26,INDIRECT('Formula References'!$B71),3,FALSE)&gt;3, "" / +"" &amp; VLOOKUP(N26,INDIRECT('Formula References'!$B71),2,False)+$B26+if($D26 = ""Masterwork"", 1, $D26)-15,)
    ,
     if(Vlookup(M26,"&amp;"INDIRECT('Formula References'!$B71),3,FALSE)&gt;0, ""+"" &amp; VLOOKUP(N26,INDIRECT('Formula References'!$B71),2,False)+$B26+if($D26 = ""Masterwork"", 1, $D26)+$AC$74-2,)&amp;
                  if(AND($AJ$74&gt;0,regexmatch(N26,""Ranged"")), "" / +"" &amp; VLOOKUP(N26,INDI"&amp;"RECT('Formula References'!$B71),2,False)+$B26+if($D26 = ""Masterwork"", 1, $D26)-2,)&amp;
                  if(AND($AJ$74&gt;1,regexmatch(N26,""Ranged"")), "" / +"" &amp; VLOOKUP(N26,INDIRECT('Formula References'!$B71),2,False)+$B26+if($D26 = ""Masterwork"", 1, $D26"&amp;")-2,)&amp;
                  if(AND($AJ$74&gt;3,regexmatch(N26,""Ranged"")), "" / +"" &amp; VLOOKUP(N26,INDIRECT('Formula References'!$B71),2,False)+$B26+if($D26 = ""Masterwork"", 1, $D26)-2,)&amp;
                  if(AND($AI$74&gt;0,regexmatch(N26,""Melee"")), "" / +"" &amp;"&amp;" VLOOKUP(N26,INDIRECT('Formula References'!$B71),2,False)+$B26+if($D26 = ""Masterwork"", 1, $D26)-2,)&amp;
     if(Vlookup(""Monk"",$AE$2:$AQ$4,13,false)&gt;0 , "" / +"" &amp; VLOOKUP(N26,INDIRECT('Formula References'!$B71),2,False)+$B26+if($D26 = ""Masterwork"", 1,"&amp;" $D26)-2,) &amp;
     if(Vlookup(M26,INDIRECT('Formula References'!$B71),3,FALSE)&gt;1, "" / +"" &amp; VLOOKUP(N26,INDIRECT('Formula References'!$B71),2,False)+$B26+if($D26 = ""Masterwork"", 1, $D26)-7,) &amp;
     if(Vlookup(""Monk"",$AE$2:$AQ$4,13,false)&gt;5 , "" / +"" "&amp;"&amp; VLOOKUP(N26,INDIRECT('Formula References'!$B71),2,False)+$B26+if($D26 = ""Masterwork"", 1, $D26)-7,) &amp;
     if(Vlookup(M26,INDIRECT('Formula References'!$B71),3,FALSE)&gt;2, "" / +"" &amp; VLOOKUP(N26,INDIRECT('Formula References'!$B71),2,False)+$B26+if($D26 ="&amp;" ""Masterwork"", 1, $D26)-12,) &amp;
     if(Vlookup(""Monk"",$AE$2:$AQ$4,13,false)&gt;10 , "" / +"" &amp; VLOOKUP(N26,INDIRECT('Formula References'!$B71),2,False)+$B26+if($D26 = ""Masterwork"", 1, $D26)-12,) &amp;
     if(Vlookup(""Monk"",$AE$2:$AQ$4,13,false)&gt;15 , "" "&amp;"/ +"" &amp; VLOOKUP(N26,INDIRECT('Formula References'!$B71),2,False)+$B26+if($D26 = ""Masterwork"", 1, $D26)-17,)
),)&amp;
if(M26 = ""Single Attack"",
   if(Vlookup(M26,INDIRECT('Formula References'!$B71),3,FALSE)&gt;0, ""+""&amp;VLOOKUP(N26,INDIRECT('Formula Reference"&amp;"s'!$B71),2,False)+$B26+if($D26 = ""Masterwork"", 1, $D26)+$AC$74,)
,)&amp;
if(M26 = ""Natural Attacks (Searches attack name for # of attacks, defaults to 1)"",
                                   ""+""&amp;VLOOKUP(N26,INDIRECT('Formula References'!$B71),2,False)"&amp;"+$B26+if($D26 = ""Masterwork"", 1, $D26)+if(REGEXMATCH(N26,""Haste Applies""),$AC$74,)&amp;
   if(AND(REGEXMATCH(N26,""Haste Applies""),$AI$74&gt;0), "" / +"" &amp; VLOOKUP(N26,INDIRECT('Formula References'!$B71),2,False)+$B26+if($D26 = ""Masterwork"", 1, $D26),)&amp;
 "&amp;"  if(REGEXMATCH(E26,""[2-9]+""), "" / +""&amp;VLOOKUP(N26,INDIRECT('Formula References'!$B71),2,False)+$B26+if($D26 = ""Masterwork"", 1, $D26),)&amp;
   if(REGEXMATCH(E26,""[3-9]+""), "" / +""&amp;VLOOKUP(N26,INDIRECT('Formula References'!$B71),2,False)+$B26+if($D26 "&amp;"= ""Masterwork"", 1, $D26),)&amp;
   if(REGEXMATCH(E26,""[4-9]+""), "" / +""&amp;VLOOKUP(N26,INDIRECT('Formula References'!$B71),2,False)+$B26+if($D26 = ""Masterwork"", 1, $D26),)&amp;
   if(REGEXMATCH(E26,""[5-9]+""), "" / +""&amp;VLOOKUP(N26,INDIRECT('Formula Reference"&amp;"s'!$B71),2,False)+$B26+if($D26 = ""Masterwork"", 1, $D26),)&amp;
   if(REGEXMATCH(E26,""[6-9]+""), "" / +""&amp;VLOOKUP(N26,INDIRECT('Formula References'!$B71),2,False)+$B26+if($D26 = ""Masterwork"", 1, $D26),)
,)&amp;
if(
   M26 = ""Other"", 
   if(
      N26=""Alc"&amp;"hemist Bomb (DEX to hit, INT to damage) (No Rapid Bomb Discovery)"",
      if(1+int(BaseAttack/5)&gt;0, ""+""&amp;VLOOKUP(N26,INDIRECT('Formula References'!$B71),2,False)+$B26+if($D26 = ""Masterwork"", 1, $D26),)
      ,)&amp;
   if(
      N26=""Alchemist Bomb (DEX "&amp;"to hit, INT to damage) (Rapid Bomb)"",
      if($AJ$74=1, ""+""&amp;VLOOKUP(N26,INDIRECT('Formula References'!$B71),2,False)+$B26+if($D26 = ""Masterwork"", 1, $D26)&amp; "" / "",) &amp;
      if($AJ$74=2, ""+""&amp;VLOOKUP(N26,INDIRECT('Formula References'!$B71),2,False)"&amp;"+$B26+if($D26 = ""Masterwork"", 1, $D26)&amp; "" / "",) &amp;
      if(1+int(BaseAttack/5)&gt;0, ""+""&amp;VLOOKUP(N26,INDIRECT('Formula References'!$B71),2,False)+$B26+if($D26 = ""Masterwork"", 1, $D26),) &amp;
      if(1+int(BaseAttack/5)&gt;1, "" / +"" &amp; VLOOKUP(N26,INDIREC"&amp;"T('Formula References'!$B71),2,False)+$B26+if($D26 = ""Masterwork"", 1, $D26)-5,) &amp;
      if(1+int(BaseAttack/5)&gt;2, "" / +"" &amp; VLOOKUP(N26,INDIRECT('Formula References'!$B71),2,False)+$B26+if($D26 = ""Masterwork"", 1, $D26)-10,) &amp;
      if(1+int(BaseAttac"&amp;"k/5)&gt;3, "" / +"" &amp; VLOOKUP(N26,INDIRECT('Formula References'!$B71),2,False)+$B26+if($D26 = ""Masterwork"", 1, $D26)-15,)
      ,)&amp;
   if(
      N26=""Witch Prehensile Hair (INT to hit / INT to damage)"",
      if(1+int(BaseAttack/5)&gt;0, ""+""&amp;VLOOKUP(N26,I"&amp;"NDIRECT('Formula References'!$B71),2,False)+$B26+if($D26 = ""Masterwork"", 1, $D26)+$AC$74,)
      ,)&amp;
  if(REGEXMATCH(N26,""Kineticist""),
      if(REGEXMATCH(N26,""Ranged""), ""+""&amp;VLOOKUP(N26,INDIRECT('Formula References'!$B71),2,False)+$B26+if($D26 ="&amp;" ""Masterwork"", 1, $D26),)&amp;
      if(AND(REGEXMATCH(N26,""Melee""),Vlookup(M26,INDIRECT('Formula References'!$B71),3,FALSE)&gt;0),    ""+""&amp;VLOOKUP(N26,INDIRECT('Formula References'!$B71),2,False)+$B26+if($D26 = ""Masterwork"", 1, $D26)+$AC$74,)&amp;
      if(A"&amp;"ND(REGEXMATCH(N26,""Melee""),$AI$74&gt;0),                                                   "" / +""&amp;VLOOKUP(N26,INDIRECT('Formula References'!$B71),2,False)+$B26+if($D26 = ""Masterwork"", 1, $D26),)&amp;
      if(AND(REGEXMATCH(N26,""Melee""),Vlookup(M26,INDIR"&amp;"ECT('Formula References'!$B71),3,FALSE)&gt;1), "" / +""&amp;VLOOKUP(N26,INDIRECT('Formula References'!$B71),2,False)+$B26+if($D26 = ""Masterwork"", 1, $D26)-5,)&amp;
      if(AND(REGEXMATCH(N26,""Melee""),Vlookup(M26,INDIRECT('Formula References'!$B71),3,FALSE)&gt;2), "&amp;""" / +""&amp;VLOOKUP(N26,INDIRECT('Formula References'!$B71),2,False)+$B26+if($D26 = ""Masterwork"", 1, $D26)-10,)&amp;
      if(AND(REGEXMATCH(N26,""Melee""),Vlookup(M26,INDIRECT('Formula References'!$B71),3,FALSE)&gt;3), "" / +""&amp;VLOOKUP(N26,INDIRECT('Formula Refe"&amp;"rences'!$B71),2,False)+$B26+if($D26 = ""Masterwork"", 1, $D26)-15,)
      ,)
  ,)
,)"),"+10")</f>
        <v>+10</v>
      </c>
      <c r="P26" s="23"/>
      <c r="Q26" s="23"/>
      <c r="R26" s="23"/>
      <c r="S26" s="23"/>
      <c r="T26" s="564"/>
      <c r="U26" s="574" t="s">
        <v>671</v>
      </c>
      <c r="V26" s="575" t="str">
        <f t="array" ref="V26">iferror(if(istext(N26),U26 &amp; " + " &amp; vlookup(N26,INDIRECT('Formula References'!B71),3,False)+if(isnumber(D26),D26)+C26,),"")</f>
        <v>1d10 + 2d4+1 (Bleed) + 8</v>
      </c>
      <c r="W26" s="23"/>
      <c r="X26" s="564"/>
      <c r="Y26" s="576" t="s">
        <v>672</v>
      </c>
      <c r="Z26" s="577"/>
      <c r="AA26" s="578"/>
      <c r="AB26" s="579"/>
      <c r="AC26" s="194"/>
      <c r="AD26" s="212" t="str">
        <f>IF(OR(
  iferror(vlookup($AE$2, 'Class Skills'!$A:$BE,MATCH(AE26,'Class Skills'!$1:$1,0),false),"")="X",
  iferror(vlookup($AE$3, 'Class Skills'!$A:$BE,MATCH(AE26,'Class Skills'!$1:$1,0),false),"")="X",
  iferror(vlookup($AE$4, 'Class Skills'!$A:$BE,MATCH(AE26,'Class Skills'!$1:$1,0),false),"")="X",
  iferror(vlookup(#REF!, 'Class Skills'!$A:$BE,MATCH(AE26,'Class Skills'!$1:$1,0),false),"")="X"),"X",)</f>
        <v>X</v>
      </c>
      <c r="AE26" s="305" t="s">
        <v>673</v>
      </c>
      <c r="AF26" s="251"/>
      <c r="AG26" s="251"/>
      <c r="AH26" s="254"/>
      <c r="AI26" s="257" t="str">
        <f>HLOOKUP(AE26,'Class Skills'!$1:$3,3,false)</f>
        <v>Dex</v>
      </c>
      <c r="AJ26" s="260">
        <f>if(AND(HLOOKUP(AE26,'Class Skills'!$1:$2,2,false)="Trained Only",AL26&lt;1),,SUM(AL26:AQ26))</f>
        <v>3</v>
      </c>
      <c r="AK26" s="263" t="s">
        <v>166</v>
      </c>
      <c r="AL26" s="266"/>
      <c r="AM26" s="270">
        <f>IFERROR(__xludf.DUMMYFUNCTION("offset($E$8,match(AI26,ARRAYFORMULA(Proper(lower(REGEXEXTRACT($E$9:$E$14,""\w\w\w"")))),0),2)"),3.0)</f>
        <v>3</v>
      </c>
      <c r="AN26" s="270" t="str">
        <f t="shared" si="2"/>
        <v/>
      </c>
      <c r="AO26" s="427"/>
      <c r="AP26" s="276">
        <f>IFERROR(__xludf.DUMMYFUNCTION("if(
or(arrayformula(regexmatch($AR$76:$AR$110,AE26))),
   sum(arrayformula(iferror(value(regexextract(filter(
      $AR$76:$AR$110,
         $K$76:$K$110=""ACTIVE"",
         regexmatch($AR$76:$AR$110,AE26)),
       ""[-\d]+"")))))+tSkill,tSkill)"),0.0)</f>
        <v>0</v>
      </c>
      <c r="AQ26" s="288" t="str">
        <f>iferror(if(
if(hlookup(AE26,'Class Skills'!$1:$4,4,false)="Armor Penalty",'Formula References'!$Q$156,)
+if(AND(isnumber($C$38),AE26="Climb"),8,)
+if(AND(isnumber($C$39),AE26="Swim"),8,)
+if(AE26="Fly", Vlookup(Size,SizeTable,5,False),)
+if(AE26="Fly",if($M$37="Clumsy",-8,if($M$37="Poor",-4,if($M$37="Average",0,if($M$37="Good",4,if($M$37="Perfect",8,0))))))
+if(AE26="Stealth",Vlookup(Size,SizeTable,6,False))
=0,,
if(hlookup(AE26,'Class Skills'!$1:$4,4,false)="Armor Penalty",'Formula References'!$Q$156,)
+if(AND(isnumber($C$38),AE26="Climb"),8,)
+if(AND(isnumber($C$39),AE26="Swim"),8,)
+if(AE26="Fly", Vlookup(Size,SizeTable,5,False),)
+if(AE26="Fly",if($M$37="Clumsy",-8,if($M$37="Poor",-4,if($M$37="Average",0,if($M$37="Good",4,if($M$37="Perfect",8,0))))))
+if(AE26="Stealth",Vlookup(Size,SizeTable,6,False))),"")</f>
        <v/>
      </c>
      <c r="AR26" s="194"/>
      <c r="BP26" s="18"/>
      <c r="BQ26" s="5"/>
      <c r="BR26" s="5"/>
      <c r="BS26" s="5"/>
      <c r="BT26" s="5"/>
    </row>
    <row r="27">
      <c r="A27" s="15"/>
      <c r="B27" s="560"/>
      <c r="C27" s="583"/>
      <c r="D27" s="584"/>
      <c r="E27" s="563" t="s">
        <v>678</v>
      </c>
      <c r="F27" s="23"/>
      <c r="G27" s="23"/>
      <c r="H27" s="23"/>
      <c r="I27" s="23"/>
      <c r="J27" s="23"/>
      <c r="K27" s="23"/>
      <c r="L27" s="564"/>
      <c r="M27" s="565" t="s">
        <v>663</v>
      </c>
      <c r="N27" s="565" t="s">
        <v>664</v>
      </c>
      <c r="O27" s="573" t="str">
        <f>IFERROR(__xludf.DUMMYFUNCTION("if(istext(N27),
if(M27 = ""Melee Attack"",""+""&amp;
   if(Vlookup(M27,INDIRECT('Formula References'!$B72),3,FALSE)&gt;0, VLOOKUP(N27,INDIRECT('Formula References'!$B72),2,False)+$B27+if($D27 = ""Masterwork"", 1, $D27),)+$AC$74&amp;
                                 "&amp;"                    if($AI$74&gt;0, "" / +"" &amp; VLOOKUP(N27,INDIRECT('Formula References'!$B72),2,False)+$B27+if($D27 = ""Masterwork"", 1, $D27),)&amp;
   if(Vlookup(M27,INDIRECT('Formula References'!$B72),3,FALSE)&gt;1, "" / +"" &amp; VLOOKUP(N27,INDIRECT('Formula Refe"&amp;"rences'!$B72),2,False)+$B27+if($D27 = ""Masterwork"", 1, $D27)-5,) &amp;
   if(Vlookup(M27,INDIRECT('Formula References'!$B72),3,FALSE)&gt;2, "" / +"" &amp; VLOOKUP(N27,INDIRECT('Formula References'!$B72),2,False)+$B27+if($D27 = ""Masterwork"", 1, $D27)-10,) &amp;
   if"&amp;"(Vlookup(M27,INDIRECT('Formula References'!$B72),3,FALSE)&gt;3, "" / +"" &amp; VLOOKUP(N27,INDIRECT('Formula References'!$B72),2,False)+$B27+if($D27 = ""Masterwork"", 1, $D27)-15,)
,)&amp;
if(M27 = ""Ranged Attack"",
   if($AJ$74&gt;0, ""+""&amp;VLOOKUP(N27,INDIRECT('Form"&amp;"ula References'!$B72),2,False)+$B27+if($D27 = ""Masterwork"", 1, $D27)&amp; "" / "",) &amp;
   if($AJ$74&gt;1, ""+""&amp;VLOOKUP(N27,INDIRECT('Formula References'!$B72),2,False)+$B27+if($D27 = ""Masterwork"", 1, $D27)&amp; "" / "",) &amp;
   if(Vlookup(M27,INDIRECT('Formula Ref"&amp;"erences'!$B72),3,FALSE)&gt;0, ""+""&amp;VLOOKUP(N27,INDIRECT('Formula References'!$B72),2,False)+$B27+if($D27 = ""Masterwork"", 1, $D27),) &amp;
   if(Vlookup(M27,INDIRECT('Formula References'!$B72),3,FALSE)&gt;1, "" / +"" &amp; VLOOKUP(N27,INDIRECT('Formula References'!$B"&amp;"72),2,False)+$B27+if($D27 = ""Masterwork"", 1, $D27)-5,) &amp;
   if(Vlookup(M27,INDIRECT('Formula References'!$B72),3,FALSE)&gt;2, "" / +"" &amp; VLOOKUP(N27,INDIRECT('Formula References'!$B72),2,False)+$B27+if($D27 = ""Masterwork"", 1, $D27)-10,) &amp;
   if(Vlookup(M"&amp;"27,INDIRECT('Formula References'!$B72),3,FALSE)&gt;3, "" / +"" &amp; VLOOKUP(N27,INDIRECT('Formula References'!$B72),2,False)+$B27+if($D27 = ""Masterwork"", 1, $D27)-15,)
,)&amp;
if(M27 = ""Off-Hand Melee Attack (must have TWF 1, 2, or 3 active on Buff Table)"",
  "&amp;" if(Vlookup(M27,INDIRECT('Formula References'!$B72),3,FALSE)&gt;0, ""+""&amp;VLOOKUP(N27,INDIRECT('Formula References'!$B72),2,False)+$B27+if($D27 = ""Masterwork"", 1, $D27),) &amp;
   if(Vlookup(M27,INDIRECT('Formula References'!$B72),3,FALSE)&gt;1, "" / +"" &amp; VLOOKUP"&amp;"(N27,INDIRECT('Formula References'!$B72),2,False)+$B27+if($D27 = ""Masterwork"", 1, $D27)-5,) &amp;
   if(Vlookup(M27,INDIRECT('Formula References'!$B72),3,FALSE)&gt;2, "" / +"" &amp; VLOOKUP(N27,INDIRECT('Formula References'!$B72),2,False)+$B27+if($D27 = ""Masterwo"&amp;"rk"", 1, $D27)-10,) &amp;
   if(Vlookup(M27,INDIRECT('Formula References'!$B72),3,FALSE)&gt;3, "" / +"" &amp; VLOOKUP(N27,INDIRECT('Formula References'!$B72),2,False)+$B27+if($D27 = ""Masterwork"", 1, $D27)-15,)
,)&amp;
if(M27 = ""Off-Hand Ranged Attack (must have TWF "&amp;"1, 2, or 3 active on Buff Table)"",
   if(Vlookup(M27,INDIRECT('Formula References'!$B72),3,FALSE)&gt;0, ""+""&amp;VLOOKUP(N27,INDIRECT('Formula References'!$B72),2,False)+$B27+if($D27 = ""Masterwork"", 1, $D27),) &amp;
   if(Vlookup(M27,INDIRECT('Formula References"&amp;"'!$B72),3,FALSE)&gt;1, "" / +"" &amp; VLOOKUP(N27,INDIRECT('Formula References'!$B72),2,False)+$B27+if($D27 = ""Masterwork"", 1, $D27)-5,) &amp;
   if(Vlookup(M27,INDIRECT('Formula References'!$B72),3,FALSE)&gt;2, "" / +"" &amp; VLOOKUP(N27,INDIRECT('Formula References'!$B"&amp;"72),2,False)+$B27+if($D27 = ""Masterwork"", 1, $D27)-10,) &amp;
   if(Vlookup(M27,INDIRECT('Formula References'!$B72),3,FALSE)&gt;3, "" / +"" &amp; VLOOKUP(N27,INDIRECT('Formula References'!$B72),2,False)+$B27+if($D27 = ""Masterwork"", 1, $D27)-15,)
,)&amp;
if(M27 = """&amp;"Combat Maneuver"",
   if(Vlookup(M27,INDIRECT('Formula References'!$B72),3,FALSE)&gt;0, ""+""&amp;VLOOKUP(N27,INDIRECT('Formula References'!$B72),2,False)+$B27+if($D27 = ""Masterwork"", 1, $D27)+$AC$74,)
,)&amp;
if(M27 = ""Magic"",
   if(Vlookup(M27,INDIRECT('Formu"&amp;"la References'!$B72),3,FALSE)&gt;0, ""+""&amp;VLOOKUP(N27,INDIRECT('Formula References'!$B72),2,False)+$B27+if($D27 = ""Masterwork"", 1, $D27),)
,)&amp;
if(M27 = ""Monk Flurry"",
if(OR(arrayformula(regexmatch($AE$2:$AE$4,""Monk \(Unchained\)""))),
     if(Vlookup"&amp;"(M27,INDIRECT('Formula References'!$B72),3,FALSE)&gt;0, ""+"" &amp; VLOOKUP(N27,INDIRECT('Formula References'!$B72),2,False)+$B27+if($D27 = ""Masterwork"", 1, $D27)+$AC$74,)&amp;
                  if(AND($AJ$74&gt;0,regexmatch(N27,""Ranged"")), "" / +"" &amp; VLOOKUP(N27,I"&amp;"NDIRECT('Formula References'!$B72),2,False)+$B27+if($D27 = ""Masterwork"", 1, $D27),)&amp;
                  if(AND($AJ$74&gt;1,regexmatch(N27,""Ranged"")), "" / +"" &amp; VLOOKUP(N27,INDIRECT('Formula References'!$B72),2,False)+$B27+if($D27 = ""Masterwork"", 1, $D2"&amp;"7),)&amp;
                  if(AND($AJ$74&gt;3,regexmatch(N27,""Ranged"")), "" / +"" &amp; VLOOKUP(N27,INDIRECT('Formula References'!$B72),2,False)+$B27+if($D27 = ""Masterwork"", 1, $D27),)&amp;
                  if(AND($AI$74&gt;0,regexmatch(N27,""Melee"")), "" / +"" &amp; VL"&amp;"OOKUP(N27,INDIRECT('Formula References'!$B72),2,False)+$B27+if($D27 = ""Masterwork"", 1, $D27),)&amp;
     if(Vlookup(""Monk (Unchained)"",$AE$2:$AQ$4,13,false)&gt;0 , "" / +"" &amp; VLOOKUP(N27,INDIRECT('Formula References'!$B72),2,False)+$B27+if($D27 = ""Masterwor"&amp;"k"", 1, $D27),) &amp;
     if(Vlookup(""Monk (Unchained)"",$AE$2:$AQ$4,13,false)&gt;10, "" / +"" &amp; VLOOKUP(N27,INDIRECT('Formula References'!$B72),2,False)+$B27+if($D27 = ""Masterwork"", 1, $D27),) &amp;
     if(Vlookup(M27,INDIRECT('Formula References'!$B72),3,FALS"&amp;"E)&gt;1, "" / +"" &amp; VLOOKUP(N27,INDIRECT('Formula References'!$B72),2,False)+$B27+if($D27 = ""Masterwork"", 1, $D27)-5,) &amp;
     if(Vlookup(M27,INDIRECT('Formula References'!$B72),3,FALSE)&gt;2, "" / +"" &amp; VLOOKUP(N27,INDIRECT('Formula References'!$B72),2,False)"&amp;"+$B27+if($D27 = ""Masterwork"", 1, $D27)-10,) &amp;
     if(Vlookup(M27,INDIRECT('Formula References'!$B72),3,FALSE)&gt;3, "" / +"" &amp; VLOOKUP(N27,INDIRECT('Formula References'!$B72),2,False)+$B27+if($D27 = ""Masterwork"", 1, $D27)-15,)
    ,
     if(Vlookup(M27,"&amp;"INDIRECT('Formula References'!$B72),3,FALSE)&gt;0, ""+"" &amp; VLOOKUP(N27,INDIRECT('Formula References'!$B72),2,False)+$B27+if($D27 = ""Masterwork"", 1, $D27)+$AC$74-2,)&amp;
                  if(AND($AJ$74&gt;0,regexmatch(N27,""Ranged"")), "" / +"" &amp; VLOOKUP(N27,INDI"&amp;"RECT('Formula References'!$B72),2,False)+$B27+if($D27 = ""Masterwork"", 1, $D27)-2,)&amp;
                  if(AND($AJ$74&gt;1,regexmatch(N27,""Ranged"")), "" / +"" &amp; VLOOKUP(N27,INDIRECT('Formula References'!$B72),2,False)+$B27+if($D27 = ""Masterwork"", 1, $D27"&amp;")-2,)&amp;
                  if(AND($AJ$74&gt;3,regexmatch(N27,""Ranged"")), "" / +"" &amp; VLOOKUP(N27,INDIRECT('Formula References'!$B72),2,False)+$B27+if($D27 = ""Masterwork"", 1, $D27)-2,)&amp;
                  if(AND($AI$74&gt;0,regexmatch(N27,""Melee"")), "" / +"" &amp;"&amp;" VLOOKUP(N27,INDIRECT('Formula References'!$B72),2,False)+$B27+if($D27 = ""Masterwork"", 1, $D27)-2,)&amp;
     if(Vlookup(""Monk"",$AE$2:$AQ$4,13,false)&gt;0 , "" / +"" &amp; VLOOKUP(N27,INDIRECT('Formula References'!$B72),2,False)+$B27+if($D27 = ""Masterwork"", 1,"&amp;" $D27)-2,) &amp;
     if(Vlookup(M27,INDIRECT('Formula References'!$B72),3,FALSE)&gt;1, "" / +"" &amp; VLOOKUP(N27,INDIRECT('Formula References'!$B72),2,False)+$B27+if($D27 = ""Masterwork"", 1, $D27)-7,) &amp;
     if(Vlookup(""Monk"",$AE$2:$AQ$4,13,false)&gt;5 , "" / +"" "&amp;"&amp; VLOOKUP(N27,INDIRECT('Formula References'!$B72),2,False)+$B27+if($D27 = ""Masterwork"", 1, $D27)-7,) &amp;
     if(Vlookup(M27,INDIRECT('Formula References'!$B72),3,FALSE)&gt;2, "" / +"" &amp; VLOOKUP(N27,INDIRECT('Formula References'!$B72),2,False)+$B27+if($D27 ="&amp;" ""Masterwork"", 1, $D27)-12,) &amp;
     if(Vlookup(""Monk"",$AE$2:$AQ$4,13,false)&gt;10 , "" / +"" &amp; VLOOKUP(N27,INDIRECT('Formula References'!$B72),2,False)+$B27+if($D27 = ""Masterwork"", 1, $D27)-12,) &amp;
     if(Vlookup(""Monk"",$AE$2:$AQ$4,13,false)&gt;15 , "" "&amp;"/ +"" &amp; VLOOKUP(N27,INDIRECT('Formula References'!$B72),2,False)+$B27+if($D27 = ""Masterwork"", 1, $D27)-17,)
),)&amp;
if(M27 = ""Single Attack"",
   if(Vlookup(M27,INDIRECT('Formula References'!$B72),3,FALSE)&gt;0, ""+""&amp;VLOOKUP(N27,INDIRECT('Formula Reference"&amp;"s'!$B72),2,False)+$B27+if($D27 = ""Masterwork"", 1, $D27)+$AC$74,)
,)&amp;
if(M27 = ""Natural Attacks (Searches attack name for # of attacks, defaults to 1)"",
                                   ""+""&amp;VLOOKUP(N27,INDIRECT('Formula References'!$B72),2,False)"&amp;"+$B27+if($D27 = ""Masterwork"", 1, $D27)+if(REGEXMATCH(N27,""Haste Applies""),$AC$74,)&amp;
   if(AND(REGEXMATCH(N27,""Haste Applies""),$AI$74&gt;0), "" / +"" &amp; VLOOKUP(N27,INDIRECT('Formula References'!$B72),2,False)+$B27+if($D27 = ""Masterwork"", 1, $D27),)&amp;
 "&amp;"  if(REGEXMATCH(E27,""[2-9]+""), "" / +""&amp;VLOOKUP(N27,INDIRECT('Formula References'!$B72),2,False)+$B27+if($D27 = ""Masterwork"", 1, $D27),)&amp;
   if(REGEXMATCH(E27,""[3-9]+""), "" / +""&amp;VLOOKUP(N27,INDIRECT('Formula References'!$B72),2,False)+$B27+if($D27 "&amp;"= ""Masterwork"", 1, $D27),)&amp;
   if(REGEXMATCH(E27,""[4-9]+""), "" / +""&amp;VLOOKUP(N27,INDIRECT('Formula References'!$B72),2,False)+$B27+if($D27 = ""Masterwork"", 1, $D27),)&amp;
   if(REGEXMATCH(E27,""[5-9]+""), "" / +""&amp;VLOOKUP(N27,INDIRECT('Formula Reference"&amp;"s'!$B72),2,False)+$B27+if($D27 = ""Masterwork"", 1, $D27),)&amp;
   if(REGEXMATCH(E27,""[6-9]+""), "" / +""&amp;VLOOKUP(N27,INDIRECT('Formula References'!$B72),2,False)+$B27+if($D27 = ""Masterwork"", 1, $D27),)
,)&amp;
if(
   M27 = ""Other"", 
   if(
      N27=""Alc"&amp;"hemist Bomb (DEX to hit, INT to damage) (No Rapid Bomb Discovery)"",
      if(1+int(BaseAttack/5)&gt;0, ""+""&amp;VLOOKUP(N27,INDIRECT('Formula References'!$B72),2,False)+$B27+if($D27 = ""Masterwork"", 1, $D27),)
      ,)&amp;
   if(
      N27=""Alchemist Bomb (DEX "&amp;"to hit, INT to damage) (Rapid Bomb)"",
      if($AJ$74=1, ""+""&amp;VLOOKUP(N27,INDIRECT('Formula References'!$B72),2,False)+$B27+if($D27 = ""Masterwork"", 1, $D27)&amp; "" / "",) &amp;
      if($AJ$74=2, ""+""&amp;VLOOKUP(N27,INDIRECT('Formula References'!$B72),2,False)"&amp;"+$B27+if($D27 = ""Masterwork"", 1, $D27)&amp; "" / "",) &amp;
      if(1+int(BaseAttack/5)&gt;0, ""+""&amp;VLOOKUP(N27,INDIRECT('Formula References'!$B72),2,False)+$B27+if($D27 = ""Masterwork"", 1, $D27),) &amp;
      if(1+int(BaseAttack/5)&gt;1, "" / +"" &amp; VLOOKUP(N27,INDIREC"&amp;"T('Formula References'!$B72),2,False)+$B27+if($D27 = ""Masterwork"", 1, $D27)-5,) &amp;
      if(1+int(BaseAttack/5)&gt;2, "" / +"" &amp; VLOOKUP(N27,INDIRECT('Formula References'!$B72),2,False)+$B27+if($D27 = ""Masterwork"", 1, $D27)-10,) &amp;
      if(1+int(BaseAttac"&amp;"k/5)&gt;3, "" / +"" &amp; VLOOKUP(N27,INDIRECT('Formula References'!$B72),2,False)+$B27+if($D27 = ""Masterwork"", 1, $D27)-15,)
      ,)&amp;
   if(
      N27=""Witch Prehensile Hair (INT to hit / INT to damage)"",
      if(1+int(BaseAttack/5)&gt;0, ""+""&amp;VLOOKUP(N27,I"&amp;"NDIRECT('Formula References'!$B72),2,False)+$B27+if($D27 = ""Masterwork"", 1, $D27)+$AC$74,)
      ,)&amp;
  if(REGEXMATCH(N27,""Kineticist""),
      if(REGEXMATCH(N27,""Ranged""), ""+""&amp;VLOOKUP(N27,INDIRECT('Formula References'!$B72),2,False)+$B27+if($D27 ="&amp;" ""Masterwork"", 1, $D27),)&amp;
      if(AND(REGEXMATCH(N27,""Melee""),Vlookup(M27,INDIRECT('Formula References'!$B72),3,FALSE)&gt;0),    ""+""&amp;VLOOKUP(N27,INDIRECT('Formula References'!$B72),2,False)+$B27+if($D27 = ""Masterwork"", 1, $D27)+$AC$74,)&amp;
      if(A"&amp;"ND(REGEXMATCH(N27,""Melee""),$AI$74&gt;0),                                                   "" / +""&amp;VLOOKUP(N27,INDIRECT('Formula References'!$B72),2,False)+$B27+if($D27 = ""Masterwork"", 1, $D27),)&amp;
      if(AND(REGEXMATCH(N27,""Melee""),Vlookup(M27,INDIR"&amp;"ECT('Formula References'!$B72),3,FALSE)&gt;1), "" / +""&amp;VLOOKUP(N27,INDIRECT('Formula References'!$B72),2,False)+$B27+if($D27 = ""Masterwork"", 1, $D27)-5,)&amp;
      if(AND(REGEXMATCH(N27,""Melee""),Vlookup(M27,INDIRECT('Formula References'!$B72),3,FALSE)&gt;2), "&amp;""" / +""&amp;VLOOKUP(N27,INDIRECT('Formula References'!$B72),2,False)+$B27+if($D27 = ""Masterwork"", 1, $D27)-10,)&amp;
      if(AND(REGEXMATCH(N27,""Melee""),Vlookup(M27,INDIRECT('Formula References'!$B72),3,FALSE)&gt;3), "" / +""&amp;VLOOKUP(N27,INDIRECT('Formula Refe"&amp;"rences'!$B72),2,False)+$B27+if($D27 = ""Masterwork"", 1, $D27)-15,)
      ,)
  ,)
,)"),"+10")</f>
        <v>+10</v>
      </c>
      <c r="P27" s="23"/>
      <c r="Q27" s="23"/>
      <c r="R27" s="23"/>
      <c r="S27" s="23"/>
      <c r="T27" s="564"/>
      <c r="U27" s="574" t="s">
        <v>686</v>
      </c>
      <c r="V27" s="575" t="str">
        <f t="array" ref="V27">iferror(if(istext(N27),U27 &amp; " + " &amp; vlookup(N27,INDIRECT('Formula References'!B72),3,False)+if(isnumber(D27),D27)+C27,),"")</f>
        <v>1d10 + 1d6 + 2d4+1 (Bleed) + 8</v>
      </c>
      <c r="W27" s="23"/>
      <c r="X27" s="564"/>
      <c r="Y27" s="576" t="s">
        <v>672</v>
      </c>
      <c r="Z27" s="577"/>
      <c r="AA27" s="578"/>
      <c r="AB27" s="579"/>
      <c r="AC27" s="194"/>
      <c r="AD27" s="212" t="str">
        <f>IF(OR(
  iferror(vlookup($AE$2, 'Class Skills'!$A:$BE,MATCH(AE27,'Class Skills'!$1:$1,0),false),"")="X",
  iferror(vlookup($AE$3, 'Class Skills'!$A:$BE,MATCH(AE27,'Class Skills'!$1:$1,0),false),"")="X",
  iferror(vlookup($AE$4, 'Class Skills'!$A:$BE,MATCH(AE27,'Class Skills'!$1:$1,0),false),"")="X",
  iferror(vlookup(#REF!, 'Class Skills'!$A:$BE,MATCH(AE27,'Class Skills'!$1:$1,0),false),"")="X"),"X",)</f>
        <v>X</v>
      </c>
      <c r="AE27" s="305" t="s">
        <v>687</v>
      </c>
      <c r="AF27" s="251"/>
      <c r="AG27" s="251"/>
      <c r="AH27" s="254"/>
      <c r="AI27" s="257" t="str">
        <f>HLOOKUP(AE27,'Class Skills'!$1:$3,3,false)</f>
        <v>Wis</v>
      </c>
      <c r="AJ27" s="260">
        <f>if(AND(HLOOKUP(AE27,'Class Skills'!$1:$2,2,false)="Trained Only",AL27&lt;1),,SUM(AL27:AQ27))</f>
        <v>0</v>
      </c>
      <c r="AK27" s="263" t="s">
        <v>166</v>
      </c>
      <c r="AL27" s="266"/>
      <c r="AM27" s="270">
        <f>IFERROR(__xludf.DUMMYFUNCTION("offset($E$8,match(AI27,ARRAYFORMULA(Proper(lower(REGEXEXTRACT($E$9:$E$14,""\w\w\w"")))),0),2)"),0.0)</f>
        <v>0</v>
      </c>
      <c r="AN27" s="270" t="str">
        <f t="shared" si="2"/>
        <v/>
      </c>
      <c r="AO27" s="427"/>
      <c r="AP27" s="276">
        <f>IFERROR(__xludf.DUMMYFUNCTION("if(
or(arrayformula(regexmatch($AR$76:$AR$110,AE27))),
   sum(arrayformula(iferror(value(regexextract(filter(
      $AR$76:$AR$110,
         $K$76:$K$110=""ACTIVE"",
         regexmatch($AR$76:$AR$110,AE27)),
       ""[-\d]+"")))))+tSkill,tSkill)"),0.0)</f>
        <v>0</v>
      </c>
      <c r="AQ27" s="288" t="str">
        <f>iferror(if(
if(hlookup(AE27,'Class Skills'!$1:$4,4,false)="Armor Penalty",'Formula References'!$Q$156,)
+if(AND(isnumber($C$38),AE27="Climb"),8,)
+if(AND(isnumber($C$39),AE27="Swim"),8,)
+if(AE27="Fly", Vlookup(Size,SizeTable,5,False),)
+if(AE27="Fly",if($M$37="Clumsy",-8,if($M$37="Poor",-4,if($M$37="Average",0,if($M$37="Good",4,if($M$37="Perfect",8,0))))))
+if(AE27="Stealth",Vlookup(Size,SizeTable,6,False))
=0,,
if(hlookup(AE27,'Class Skills'!$1:$4,4,false)="Armor Penalty",'Formula References'!$Q$156,)
+if(AND(isnumber($C$38),AE27="Climb"),8,)
+if(AND(isnumber($C$39),AE27="Swim"),8,)
+if(AE27="Fly", Vlookup(Size,SizeTable,5,False),)
+if(AE27="Fly",if($M$37="Clumsy",-8,if($M$37="Poor",-4,if($M$37="Average",0,if($M$37="Good",4,if($M$37="Perfect",8,0))))))
+if(AE27="Stealth",Vlookup(Size,SizeTable,6,False))),"")</f>
        <v/>
      </c>
      <c r="AR27" s="194"/>
      <c r="BP27" s="18"/>
      <c r="BQ27" s="5"/>
      <c r="BR27" s="5"/>
      <c r="BS27" s="5"/>
      <c r="BT27" s="5"/>
    </row>
    <row r="28">
      <c r="A28" s="15"/>
      <c r="B28" s="560"/>
      <c r="C28" s="583"/>
      <c r="D28" s="584"/>
      <c r="E28" s="563"/>
      <c r="F28" s="23"/>
      <c r="G28" s="23"/>
      <c r="H28" s="23"/>
      <c r="I28" s="23"/>
      <c r="J28" s="23"/>
      <c r="K28" s="23"/>
      <c r="L28" s="564"/>
      <c r="M28" s="565"/>
      <c r="N28" s="565"/>
      <c r="O28" s="573" t="str">
        <f>IFERROR(__xludf.DUMMYFUNCTION("if(istext(N28),
if(M28 = ""Melee Attack"",""+""&amp;
   if(Vlookup(M28,INDIRECT('Formula References'!$B73),3,FALSE)&gt;0, VLOOKUP(N28,INDIRECT('Formula References'!$B73),2,False)+$B28+if($D28 = ""Masterwork"", 1, $D28),)+$AC$74&amp;
                                 "&amp;"                    if($AI$74&gt;0, "" / +"" &amp; VLOOKUP(N28,INDIRECT('Formula References'!$B73),2,False)+$B28+if($D28 = ""Masterwork"", 1, $D28),)&amp;
   if(Vlookup(M28,INDIRECT('Formula References'!$B73),3,FALSE)&gt;1, "" / +"" &amp; VLOOKUP(N28,INDIRECT('Formula Refe"&amp;"rences'!$B73),2,False)+$B28+if($D28 = ""Masterwork"", 1, $D28)-5,) &amp;
   if(Vlookup(M28,INDIRECT('Formula References'!$B73),3,FALSE)&gt;2, "" / +"" &amp; VLOOKUP(N28,INDIRECT('Formula References'!$B73),2,False)+$B28+if($D28 = ""Masterwork"", 1, $D28)-10,) &amp;
   if"&amp;"(Vlookup(M28,INDIRECT('Formula References'!$B73),3,FALSE)&gt;3, "" / +"" &amp; VLOOKUP(N28,INDIRECT('Formula References'!$B73),2,False)+$B28+if($D28 = ""Masterwork"", 1, $D28)-15,)
,)&amp;
if(M28 = ""Ranged Attack"",
   if($AJ$74&gt;0, ""+""&amp;VLOOKUP(N28,INDIRECT('Form"&amp;"ula References'!$B73),2,False)+$B28+if($D28 = ""Masterwork"", 1, $D28)&amp; "" / "",) &amp;
   if($AJ$74&gt;1, ""+""&amp;VLOOKUP(N28,INDIRECT('Formula References'!$B73),2,False)+$B28+if($D28 = ""Masterwork"", 1, $D28)&amp; "" / "",) &amp;
   if(Vlookup(M28,INDIRECT('Formula Ref"&amp;"erences'!$B73),3,FALSE)&gt;0, ""+""&amp;VLOOKUP(N28,INDIRECT('Formula References'!$B73),2,False)+$B28+if($D28 = ""Masterwork"", 1, $D28),) &amp;
   if(Vlookup(M28,INDIRECT('Formula References'!$B73),3,FALSE)&gt;1, "" / +"" &amp; VLOOKUP(N28,INDIRECT('Formula References'!$B"&amp;"73),2,False)+$B28+if($D28 = ""Masterwork"", 1, $D28)-5,) &amp;
   if(Vlookup(M28,INDIRECT('Formula References'!$B73),3,FALSE)&gt;2, "" / +"" &amp; VLOOKUP(N28,INDIRECT('Formula References'!$B73),2,False)+$B28+if($D28 = ""Masterwork"", 1, $D28)-10,) &amp;
   if(Vlookup(M"&amp;"28,INDIRECT('Formula References'!$B73),3,FALSE)&gt;3, "" / +"" &amp; VLOOKUP(N28,INDIRECT('Formula References'!$B73),2,False)+$B28+if($D28 = ""Masterwork"", 1, $D28)-15,)
,)&amp;
if(M28 = ""Off-Hand Melee Attack (must have TWF 1, 2, or 3 active on Buff Table)"",
  "&amp;" if(Vlookup(M28,INDIRECT('Formula References'!$B73),3,FALSE)&gt;0, ""+""&amp;VLOOKUP(N28,INDIRECT('Formula References'!$B73),2,False)+$B28+if($D28 = ""Masterwork"", 1, $D28),) &amp;
   if(Vlookup(M28,INDIRECT('Formula References'!$B73),3,FALSE)&gt;1, "" / +"" &amp; VLOOKUP"&amp;"(N28,INDIRECT('Formula References'!$B73),2,False)+$B28+if($D28 = ""Masterwork"", 1, $D28)-5,) &amp;
   if(Vlookup(M28,INDIRECT('Formula References'!$B73),3,FALSE)&gt;2, "" / +"" &amp; VLOOKUP(N28,INDIRECT('Formula References'!$B73),2,False)+$B28+if($D28 = ""Masterwo"&amp;"rk"", 1, $D28)-10,) &amp;
   if(Vlookup(M28,INDIRECT('Formula References'!$B73),3,FALSE)&gt;3, "" / +"" &amp; VLOOKUP(N28,INDIRECT('Formula References'!$B73),2,False)+$B28+if($D28 = ""Masterwork"", 1, $D28)-15,)
,)&amp;
if(M28 = ""Off-Hand Ranged Attack (must have TWF "&amp;"1, 2, or 3 active on Buff Table)"",
   if(Vlookup(M28,INDIRECT('Formula References'!$B73),3,FALSE)&gt;0, ""+""&amp;VLOOKUP(N28,INDIRECT('Formula References'!$B73),2,False)+$B28+if($D28 = ""Masterwork"", 1, $D28),) &amp;
   if(Vlookup(M28,INDIRECT('Formula References"&amp;"'!$B73),3,FALSE)&gt;1, "" / +"" &amp; VLOOKUP(N28,INDIRECT('Formula References'!$B73),2,False)+$B28+if($D28 = ""Masterwork"", 1, $D28)-5,) &amp;
   if(Vlookup(M28,INDIRECT('Formula References'!$B73),3,FALSE)&gt;2, "" / +"" &amp; VLOOKUP(N28,INDIRECT('Formula References'!$B"&amp;"73),2,False)+$B28+if($D28 = ""Masterwork"", 1, $D28)-10,) &amp;
   if(Vlookup(M28,INDIRECT('Formula References'!$B73),3,FALSE)&gt;3, "" / +"" &amp; VLOOKUP(N28,INDIRECT('Formula References'!$B73),2,False)+$B28+if($D28 = ""Masterwork"", 1, $D28)-15,)
,)&amp;
if(M28 = """&amp;"Combat Maneuver"",
   if(Vlookup(M28,INDIRECT('Formula References'!$B73),3,FALSE)&gt;0, ""+""&amp;VLOOKUP(N28,INDIRECT('Formula References'!$B73),2,False)+$B28+if($D28 = ""Masterwork"", 1, $D28)+$AC$74,)
,)&amp;
if(M28 = ""Magic"",
   if(Vlookup(M28,INDIRECT('Formu"&amp;"la References'!$B73),3,FALSE)&gt;0, ""+""&amp;VLOOKUP(N28,INDIRECT('Formula References'!$B73),2,False)+$B28+if($D28 = ""Masterwork"", 1, $D28),)
,)&amp;
if(M28 = ""Monk Flurry"",
if(OR(arrayformula(regexmatch($AE$2:$AE$4,""Monk \(Unchained\)""))),
     if(Vlookup"&amp;"(M28,INDIRECT('Formula References'!$B73),3,FALSE)&gt;0, ""+"" &amp; VLOOKUP(N28,INDIRECT('Formula References'!$B73),2,False)+$B28+if($D28 = ""Masterwork"", 1, $D28)+$AC$74,)&amp;
                  if(AND($AJ$74&gt;0,regexmatch(N28,""Ranged"")), "" / +"" &amp; VLOOKUP(N28,I"&amp;"NDIRECT('Formula References'!$B73),2,False)+$B28+if($D28 = ""Masterwork"", 1, $D28),)&amp;
                  if(AND($AJ$74&gt;1,regexmatch(N28,""Ranged"")), "" / +"" &amp; VLOOKUP(N28,INDIRECT('Formula References'!$B73),2,False)+$B28+if($D28 = ""Masterwork"", 1, $D2"&amp;"8),)&amp;
                  if(AND($AJ$74&gt;3,regexmatch(N28,""Ranged"")), "" / +"" &amp; VLOOKUP(N28,INDIRECT('Formula References'!$B73),2,False)+$B28+if($D28 = ""Masterwork"", 1, $D28),)&amp;
                  if(AND($AI$74&gt;0,regexmatch(N28,""Melee"")), "" / +"" &amp; VL"&amp;"OOKUP(N28,INDIRECT('Formula References'!$B73),2,False)+$B28+if($D28 = ""Masterwork"", 1, $D28),)&amp;
     if(Vlookup(""Monk (Unchained)"",$AE$2:$AQ$4,13,false)&gt;0 , "" / +"" &amp; VLOOKUP(N28,INDIRECT('Formula References'!$B73),2,False)+$B28+if($D28 = ""Masterwor"&amp;"k"", 1, $D28),) &amp;
     if(Vlookup(""Monk (Unchained)"",$AE$2:$AQ$4,13,false)&gt;10, "" / +"" &amp; VLOOKUP(N28,INDIRECT('Formula References'!$B73),2,False)+$B28+if($D28 = ""Masterwork"", 1, $D28),) &amp;
     if(Vlookup(M28,INDIRECT('Formula References'!$B73),3,FALS"&amp;"E)&gt;1, "" / +"" &amp; VLOOKUP(N28,INDIRECT('Formula References'!$B73),2,False)+$B28+if($D28 = ""Masterwork"", 1, $D28)-5,) &amp;
     if(Vlookup(M28,INDIRECT('Formula References'!$B73),3,FALSE)&gt;2, "" / +"" &amp; VLOOKUP(N28,INDIRECT('Formula References'!$B73),2,False)"&amp;"+$B28+if($D28 = ""Masterwork"", 1, $D28)-10,) &amp;
     if(Vlookup(M28,INDIRECT('Formula References'!$B73),3,FALSE)&gt;3, "" / +"" &amp; VLOOKUP(N28,INDIRECT('Formula References'!$B73),2,False)+$B28+if($D28 = ""Masterwork"", 1, $D28)-15,)
    ,
     if(Vlookup(M28,"&amp;"INDIRECT('Formula References'!$B73),3,FALSE)&gt;0, ""+"" &amp; VLOOKUP(N28,INDIRECT('Formula References'!$B73),2,False)+$B28+if($D28 = ""Masterwork"", 1, $D28)+$AC$74-2,)&amp;
                  if(AND($AJ$74&gt;0,regexmatch(N28,""Ranged"")), "" / +"" &amp; VLOOKUP(N28,INDI"&amp;"RECT('Formula References'!$B73),2,False)+$B28+if($D28 = ""Masterwork"", 1, $D28)-2,)&amp;
                  if(AND($AJ$74&gt;1,regexmatch(N28,""Ranged"")), "" / +"" &amp; VLOOKUP(N28,INDIRECT('Formula References'!$B73),2,False)+$B28+if($D28 = ""Masterwork"", 1, $D28"&amp;")-2,)&amp;
                  if(AND($AJ$74&gt;3,regexmatch(N28,""Ranged"")), "" / +"" &amp; VLOOKUP(N28,INDIRECT('Formula References'!$B73),2,False)+$B28+if($D28 = ""Masterwork"", 1, $D28)-2,)&amp;
                  if(AND($AI$74&gt;0,regexmatch(N28,""Melee"")), "" / +"" &amp;"&amp;" VLOOKUP(N28,INDIRECT('Formula References'!$B73),2,False)+$B28+if($D28 = ""Masterwork"", 1, $D28)-2,)&amp;
     if(Vlookup(""Monk"",$AE$2:$AQ$4,13,false)&gt;0 , "" / +"" &amp; VLOOKUP(N28,INDIRECT('Formula References'!$B73),2,False)+$B28+if($D28 = ""Masterwork"", 1,"&amp;" $D28)-2,) &amp;
     if(Vlookup(M28,INDIRECT('Formula References'!$B73),3,FALSE)&gt;1, "" / +"" &amp; VLOOKUP(N28,INDIRECT('Formula References'!$B73),2,False)+$B28+if($D28 = ""Masterwork"", 1, $D28)-7,) &amp;
     if(Vlookup(""Monk"",$AE$2:$AQ$4,13,false)&gt;5 , "" / +"" "&amp;"&amp; VLOOKUP(N28,INDIRECT('Formula References'!$B73),2,False)+$B28+if($D28 = ""Masterwork"", 1, $D28)-7,) &amp;
     if(Vlookup(M28,INDIRECT('Formula References'!$B73),3,FALSE)&gt;2, "" / +"" &amp; VLOOKUP(N28,INDIRECT('Formula References'!$B73),2,False)+$B28+if($D28 ="&amp;" ""Masterwork"", 1, $D28)-12,) &amp;
     if(Vlookup(""Monk"",$AE$2:$AQ$4,13,false)&gt;10 , "" / +"" &amp; VLOOKUP(N28,INDIRECT('Formula References'!$B73),2,False)+$B28+if($D28 = ""Masterwork"", 1, $D28)-12,) &amp;
     if(Vlookup(""Monk"",$AE$2:$AQ$4,13,false)&gt;15 , "" "&amp;"/ +"" &amp; VLOOKUP(N28,INDIRECT('Formula References'!$B73),2,False)+$B28+if($D28 = ""Masterwork"", 1, $D28)-17,)
),)&amp;
if(M28 = ""Single Attack"",
   if(Vlookup(M28,INDIRECT('Formula References'!$B73),3,FALSE)&gt;0, ""+""&amp;VLOOKUP(N28,INDIRECT('Formula Reference"&amp;"s'!$B73),2,False)+$B28+if($D28 = ""Masterwork"", 1, $D28)+$AC$74,)
,)&amp;
if(M28 = ""Natural Attacks (Searches attack name for # of attacks, defaults to 1)"",
                                   ""+""&amp;VLOOKUP(N28,INDIRECT('Formula References'!$B73),2,False)"&amp;"+$B28+if($D28 = ""Masterwork"", 1, $D28)+if(REGEXMATCH(N28,""Haste Applies""),$AC$74,)&amp;
   if(AND(REGEXMATCH(N28,""Haste Applies""),$AI$74&gt;0), "" / +"" &amp; VLOOKUP(N28,INDIRECT('Formula References'!$B73),2,False)+$B28+if($D28 = ""Masterwork"", 1, $D28),)&amp;
 "&amp;"  if(REGEXMATCH(E28,""[2-9]+""), "" / +""&amp;VLOOKUP(N28,INDIRECT('Formula References'!$B73),2,False)+$B28+if($D28 = ""Masterwork"", 1, $D28),)&amp;
   if(REGEXMATCH(E28,""[3-9]+""), "" / +""&amp;VLOOKUP(N28,INDIRECT('Formula References'!$B73),2,False)+$B28+if($D28 "&amp;"= ""Masterwork"", 1, $D28),)&amp;
   if(REGEXMATCH(E28,""[4-9]+""), "" / +""&amp;VLOOKUP(N28,INDIRECT('Formula References'!$B73),2,False)+$B28+if($D28 = ""Masterwork"", 1, $D28),)&amp;
   if(REGEXMATCH(E28,""[5-9]+""), "" / +""&amp;VLOOKUP(N28,INDIRECT('Formula Reference"&amp;"s'!$B73),2,False)+$B28+if($D28 = ""Masterwork"", 1, $D28),)&amp;
   if(REGEXMATCH(E28,""[6-9]+""), "" / +""&amp;VLOOKUP(N28,INDIRECT('Formula References'!$B73),2,False)+$B28+if($D28 = ""Masterwork"", 1, $D28),)
,)&amp;
if(
   M28 = ""Other"", 
   if(
      N28=""Alc"&amp;"hemist Bomb (DEX to hit, INT to damage) (No Rapid Bomb Discovery)"",
      if(1+int(BaseAttack/5)&gt;0, ""+""&amp;VLOOKUP(N28,INDIRECT('Formula References'!$B73),2,False)+$B28+if($D28 = ""Masterwork"", 1, $D28),)
      ,)&amp;
   if(
      N28=""Alchemist Bomb (DEX "&amp;"to hit, INT to damage) (Rapid Bomb)"",
      if($AJ$74=1, ""+""&amp;VLOOKUP(N28,INDIRECT('Formula References'!$B73),2,False)+$B28+if($D28 = ""Masterwork"", 1, $D28)&amp; "" / "",) &amp;
      if($AJ$74=2, ""+""&amp;VLOOKUP(N28,INDIRECT('Formula References'!$B73),2,False)"&amp;"+$B28+if($D28 = ""Masterwork"", 1, $D28)&amp; "" / "",) &amp;
      if(1+int(BaseAttack/5)&gt;0, ""+""&amp;VLOOKUP(N28,INDIRECT('Formula References'!$B73),2,False)+$B28+if($D28 = ""Masterwork"", 1, $D28),) &amp;
      if(1+int(BaseAttack/5)&gt;1, "" / +"" &amp; VLOOKUP(N28,INDIREC"&amp;"T('Formula References'!$B73),2,False)+$B28+if($D28 = ""Masterwork"", 1, $D28)-5,) &amp;
      if(1+int(BaseAttack/5)&gt;2, "" / +"" &amp; VLOOKUP(N28,INDIRECT('Formula References'!$B73),2,False)+$B28+if($D28 = ""Masterwork"", 1, $D28)-10,) &amp;
      if(1+int(BaseAttac"&amp;"k/5)&gt;3, "" / +"" &amp; VLOOKUP(N28,INDIRECT('Formula References'!$B73),2,False)+$B28+if($D28 = ""Masterwork"", 1, $D28)-15,)
      ,)&amp;
   if(
      N28=""Witch Prehensile Hair (INT to hit / INT to damage)"",
      if(1+int(BaseAttack/5)&gt;0, ""+""&amp;VLOOKUP(N28,I"&amp;"NDIRECT('Formula References'!$B73),2,False)+$B28+if($D28 = ""Masterwork"", 1, $D28)+$AC$74,)
      ,)&amp;
  if(REGEXMATCH(N28,""Kineticist""),
      if(REGEXMATCH(N28,""Ranged""), ""+""&amp;VLOOKUP(N28,INDIRECT('Formula References'!$B73),2,False)+$B28+if($D28 ="&amp;" ""Masterwork"", 1, $D28),)&amp;
      if(AND(REGEXMATCH(N28,""Melee""),Vlookup(M28,INDIRECT('Formula References'!$B73),3,FALSE)&gt;0),    ""+""&amp;VLOOKUP(N28,INDIRECT('Formula References'!$B73),2,False)+$B28+if($D28 = ""Masterwork"", 1, $D28)+$AC$74,)&amp;
      if(A"&amp;"ND(REGEXMATCH(N28,""Melee""),$AI$74&gt;0),                                                   "" / +""&amp;VLOOKUP(N28,INDIRECT('Formula References'!$B73),2,False)+$B28+if($D28 = ""Masterwork"", 1, $D28),)&amp;
      if(AND(REGEXMATCH(N28,""Melee""),Vlookup(M28,INDIR"&amp;"ECT('Formula References'!$B73),3,FALSE)&gt;1), "" / +""&amp;VLOOKUP(N28,INDIRECT('Formula References'!$B73),2,False)+$B28+if($D28 = ""Masterwork"", 1, $D28)-5,)&amp;
      if(AND(REGEXMATCH(N28,""Melee""),Vlookup(M28,INDIRECT('Formula References'!$B73),3,FALSE)&gt;2), "&amp;""" / +""&amp;VLOOKUP(N28,INDIRECT('Formula References'!$B73),2,False)+$B28+if($D28 = ""Masterwork"", 1, $D28)-10,)&amp;
      if(AND(REGEXMATCH(N28,""Melee""),Vlookup(M28,INDIRECT('Formula References'!$B73),3,FALSE)&gt;3), "" / +""&amp;VLOOKUP(N28,INDIRECT('Formula Refe"&amp;"rences'!$B73),2,False)+$B28+if($D28 = ""Masterwork"", 1, $D28)-15,)
      ,)
  ,)
,)"),"")</f>
        <v/>
      </c>
      <c r="P28" s="23"/>
      <c r="Q28" s="23"/>
      <c r="R28" s="23"/>
      <c r="S28" s="23"/>
      <c r="T28" s="564"/>
      <c r="U28" s="574" t="s">
        <v>698</v>
      </c>
      <c r="V28" s="575" t="str">
        <f t="array" ref="V28">iferror(if(istext(N28),U28 &amp; " + " &amp; vlookup(N28,INDIRECT('Formula References'!B73),3,False)+if(isnumber(D28),D28)+C28,),"")</f>
        <v/>
      </c>
      <c r="W28" s="23"/>
      <c r="X28" s="564"/>
      <c r="Y28" s="576"/>
      <c r="Z28" s="577"/>
      <c r="AA28" s="617"/>
      <c r="AB28" s="579"/>
      <c r="AC28" s="194"/>
      <c r="AD28" s="212" t="str">
        <f>IF(OR(
  iferror(vlookup($AE$2, 'Class Skills'!$A:$BE,MATCH(AE28,'Class Skills'!$1:$1,0),false),"")="X",
  iferror(vlookup($AE$3, 'Class Skills'!$A:$BE,MATCH(AE28,'Class Skills'!$1:$1,0),false),"")="X",
  iferror(vlookup($AE$4, 'Class Skills'!$A:$BE,MATCH(AE28,'Class Skills'!$1:$1,0),false),"")="X",
  iferror(vlookup(#REF!, 'Class Skills'!$A:$BE,MATCH(AE28,'Class Skills'!$1:$1,0),false),"")="X"),"X",)</f>
        <v>X</v>
      </c>
      <c r="AE28" s="249" t="s">
        <v>717</v>
      </c>
      <c r="AF28" s="251"/>
      <c r="AG28" s="251"/>
      <c r="AH28" s="254"/>
      <c r="AI28" s="257" t="str">
        <f>HLOOKUP(AE28,'Class Skills'!$1:$3,3,false)</f>
        <v>Int</v>
      </c>
      <c r="AJ28" s="260">
        <f>if(AND(HLOOKUP(AE28,'Class Skills'!$1:$2,2,false)="Trained Only",AL28&lt;1),,SUM(AL28:AQ28))</f>
        <v>14</v>
      </c>
      <c r="AK28" s="263" t="s">
        <v>166</v>
      </c>
      <c r="AL28" s="266">
        <v>3.0</v>
      </c>
      <c r="AM28" s="270">
        <f>IFERROR(__xludf.DUMMYFUNCTION("offset($E$8,match(AI28,ARRAYFORMULA(Proper(lower(REGEXEXTRACT($E$9:$E$14,""\w\w\w"")))),0),2)"),8.0)</f>
        <v>8</v>
      </c>
      <c r="AN28" s="270">
        <f t="shared" si="2"/>
        <v>3</v>
      </c>
      <c r="AO28" s="427"/>
      <c r="AP28" s="276">
        <f>IFERROR(__xludf.DUMMYFUNCTION("if(
or(arrayformula(regexmatch($AR$76:$AR$110,AE28))),
   sum(arrayformula(iferror(value(regexextract(filter(
      $AR$76:$AR$110,
         $K$76:$K$110=""ACTIVE"",
         regexmatch($AR$76:$AR$110,AE28)),
       ""[-\d]+"")))))+tSkill,tSkill)"),0.0)</f>
        <v>0</v>
      </c>
      <c r="AQ28" s="288" t="str">
        <f>iferror(if(
if(hlookup(AE28,'Class Skills'!$1:$4,4,false)="Armor Penalty",'Formula References'!$Q$156,)
+if(AND(isnumber($C$38),AE28="Climb"),8,)
+if(AND(isnumber($C$39),AE28="Swim"),8,)
+if(AE28="Fly", Vlookup(Size,SizeTable,5,False),)
+if(AE28="Fly",if($M$37="Clumsy",-8,if($M$37="Poor",-4,if($M$37="Average",0,if($M$37="Good",4,if($M$37="Perfect",8,0))))))
+if(AE28="Stealth",Vlookup(Size,SizeTable,6,False))
=0,,
if(hlookup(AE28,'Class Skills'!$1:$4,4,false)="Armor Penalty",'Formula References'!$Q$156,)
+if(AND(isnumber($C$38),AE28="Climb"),8,)
+if(AND(isnumber($C$39),AE28="Swim"),8,)
+if(AE28="Fly", Vlookup(Size,SizeTable,5,False),)
+if(AE28="Fly",if($M$37="Clumsy",-8,if($M$37="Poor",-4,if($M$37="Average",0,if($M$37="Good",4,if($M$37="Perfect",8,0))))))
+if(AE28="Stealth",Vlookup(Size,SizeTable,6,False))),"")</f>
        <v/>
      </c>
      <c r="AR28" s="194"/>
      <c r="BP28" s="18"/>
      <c r="BQ28" s="5"/>
      <c r="BR28" s="5"/>
      <c r="BS28" s="5"/>
      <c r="BT28" s="5"/>
    </row>
    <row r="29" ht="6.0" customHeight="1">
      <c r="A29" s="15"/>
      <c r="B29" s="560"/>
      <c r="C29" s="583"/>
      <c r="D29" s="584"/>
      <c r="E29" s="563"/>
      <c r="F29" s="23"/>
      <c r="G29" s="23"/>
      <c r="H29" s="23"/>
      <c r="I29" s="23"/>
      <c r="J29" s="23"/>
      <c r="K29" s="23"/>
      <c r="L29" s="564"/>
      <c r="M29" s="565"/>
      <c r="N29" s="565"/>
      <c r="O29" s="573" t="str">
        <f>IFERROR(__xludf.DUMMYFUNCTION("if(istext(N29),
if(M29 = ""Melee Attack"",""+""&amp;
   if(Vlookup(M29,INDIRECT('Formula References'!$B74),3,FALSE)&gt;0, VLOOKUP(N29,INDIRECT('Formula References'!$B74),2,False)+$B29+if($D29 = ""Masterwork"", 1, $D29),)+$AC$74&amp;
                                 "&amp;"                    if($AI$74&gt;0, "" / +"" &amp; VLOOKUP(N29,INDIRECT('Formula References'!$B74),2,False)+$B29+if($D29 = ""Masterwork"", 1, $D29),)&amp;
   if(Vlookup(M29,INDIRECT('Formula References'!$B74),3,FALSE)&gt;1, "" / +"" &amp; VLOOKUP(N29,INDIRECT('Formula Refe"&amp;"rences'!$B74),2,False)+$B29+if($D29 = ""Masterwork"", 1, $D29)-5,) &amp;
   if(Vlookup(M29,INDIRECT('Formula References'!$B74),3,FALSE)&gt;2, "" / +"" &amp; VLOOKUP(N29,INDIRECT('Formula References'!$B74),2,False)+$B29+if($D29 = ""Masterwork"", 1, $D29)-10,) &amp;
   if"&amp;"(Vlookup(M29,INDIRECT('Formula References'!$B74),3,FALSE)&gt;3, "" / +"" &amp; VLOOKUP(N29,INDIRECT('Formula References'!$B74),2,False)+$B29+if($D29 = ""Masterwork"", 1, $D29)-15,)
,)&amp;
if(M29 = ""Ranged Attack"",
   if($AJ$74&gt;0, ""+""&amp;VLOOKUP(N29,INDIRECT('Form"&amp;"ula References'!$B74),2,False)+$B29+if($D29 = ""Masterwork"", 1, $D29)&amp; "" / "",) &amp;
   if($AJ$74&gt;1, ""+""&amp;VLOOKUP(N29,INDIRECT('Formula References'!$B74),2,False)+$B29+if($D29 = ""Masterwork"", 1, $D29)&amp; "" / "",) &amp;
   if(Vlookup(M29,INDIRECT('Formula Ref"&amp;"erences'!$B74),3,FALSE)&gt;0, ""+""&amp;VLOOKUP(N29,INDIRECT('Formula References'!$B74),2,False)+$B29+if($D29 = ""Masterwork"", 1, $D29),) &amp;
   if(Vlookup(M29,INDIRECT('Formula References'!$B74),3,FALSE)&gt;1, "" / +"" &amp; VLOOKUP(N29,INDIRECT('Formula References'!$B"&amp;"74),2,False)+$B29+if($D29 = ""Masterwork"", 1, $D29)-5,) &amp;
   if(Vlookup(M29,INDIRECT('Formula References'!$B74),3,FALSE)&gt;2, "" / +"" &amp; VLOOKUP(N29,INDIRECT('Formula References'!$B74),2,False)+$B29+if($D29 = ""Masterwork"", 1, $D29)-10,) &amp;
   if(Vlookup(M"&amp;"29,INDIRECT('Formula References'!$B74),3,FALSE)&gt;3, "" / +"" &amp; VLOOKUP(N29,INDIRECT('Formula References'!$B74),2,False)+$B29+if($D29 = ""Masterwork"", 1, $D29)-15,)
,)&amp;
if(M29 = ""Off-Hand Melee Attack (must have TWF 1, 2, or 3 active on Buff Table)"",
  "&amp;" if(Vlookup(M29,INDIRECT('Formula References'!$B74),3,FALSE)&gt;0, ""+""&amp;VLOOKUP(N29,INDIRECT('Formula References'!$B74),2,False)+$B29+if($D29 = ""Masterwork"", 1, $D29),) &amp;
   if(Vlookup(M29,INDIRECT('Formula References'!$B74),3,FALSE)&gt;1, "" / +"" &amp; VLOOKUP"&amp;"(N29,INDIRECT('Formula References'!$B74),2,False)+$B29+if($D29 = ""Masterwork"", 1, $D29)-5,) &amp;
   if(Vlookup(M29,INDIRECT('Formula References'!$B74),3,FALSE)&gt;2, "" / +"" &amp; VLOOKUP(N29,INDIRECT('Formula References'!$B74),2,False)+$B29+if($D29 = ""Masterwo"&amp;"rk"", 1, $D29)-10,) &amp;
   if(Vlookup(M29,INDIRECT('Formula References'!$B74),3,FALSE)&gt;3, "" / +"" &amp; VLOOKUP(N29,INDIRECT('Formula References'!$B74),2,False)+$B29+if($D29 = ""Masterwork"", 1, $D29)-15,)
,)&amp;
if(M29 = ""Off-Hand Ranged Attack (must have TWF "&amp;"1, 2, or 3 active on Buff Table)"",
   if(Vlookup(M29,INDIRECT('Formula References'!$B74),3,FALSE)&gt;0, ""+""&amp;VLOOKUP(N29,INDIRECT('Formula References'!$B74),2,False)+$B29+if($D29 = ""Masterwork"", 1, $D29),) &amp;
   if(Vlookup(M29,INDIRECT('Formula References"&amp;"'!$B74),3,FALSE)&gt;1, "" / +"" &amp; VLOOKUP(N29,INDIRECT('Formula References'!$B74),2,False)+$B29+if($D29 = ""Masterwork"", 1, $D29)-5,) &amp;
   if(Vlookup(M29,INDIRECT('Formula References'!$B74),3,FALSE)&gt;2, "" / +"" &amp; VLOOKUP(N29,INDIRECT('Formula References'!$B"&amp;"74),2,False)+$B29+if($D29 = ""Masterwork"", 1, $D29)-10,) &amp;
   if(Vlookup(M29,INDIRECT('Formula References'!$B74),3,FALSE)&gt;3, "" / +"" &amp; VLOOKUP(N29,INDIRECT('Formula References'!$B74),2,False)+$B29+if($D29 = ""Masterwork"", 1, $D29)-15,)
,)&amp;
if(M29 = """&amp;"Combat Maneuver"",
   if(Vlookup(M29,INDIRECT('Formula References'!$B74),3,FALSE)&gt;0, ""+""&amp;VLOOKUP(N29,INDIRECT('Formula References'!$B74),2,False)+$B29+if($D29 = ""Masterwork"", 1, $D29)+$AC$74,)
,)&amp;
if(M29 = ""Magic"",
   if(Vlookup(M29,INDIRECT('Formu"&amp;"la References'!$B74),3,FALSE)&gt;0, ""+""&amp;VLOOKUP(N29,INDIRECT('Formula References'!$B74),2,False)+$B29+if($D29 = ""Masterwork"", 1, $D29),)
,)&amp;
if(M29 = ""Monk Flurry"",
if(OR(arrayformula(regexmatch($AE$2:$AE$4,""Monk \(Unchained\)""))),
     if(Vlookup"&amp;"(M29,INDIRECT('Formula References'!$B74),3,FALSE)&gt;0, ""+"" &amp; VLOOKUP(N29,INDIRECT('Formula References'!$B74),2,False)+$B29+if($D29 = ""Masterwork"", 1, $D29)+$AC$74,)&amp;
                  if(AND($AJ$74&gt;0,regexmatch(N29,""Ranged"")), "" / +"" &amp; VLOOKUP(N29,I"&amp;"NDIRECT('Formula References'!$B74),2,False)+$B29+if($D29 = ""Masterwork"", 1, $D29),)&amp;
                  if(AND($AJ$74&gt;1,regexmatch(N29,""Ranged"")), "" / +"" &amp; VLOOKUP(N29,INDIRECT('Formula References'!$B74),2,False)+$B29+if($D29 = ""Masterwork"", 1, $D2"&amp;"9),)&amp;
                  if(AND($AJ$74&gt;3,regexmatch(N29,""Ranged"")), "" / +"" &amp; VLOOKUP(N29,INDIRECT('Formula References'!$B74),2,False)+$B29+if($D29 = ""Masterwork"", 1, $D29),)&amp;
                  if(AND($AI$74&gt;0,regexmatch(N29,""Melee"")), "" / +"" &amp; VL"&amp;"OOKUP(N29,INDIRECT('Formula References'!$B74),2,False)+$B29+if($D29 = ""Masterwork"", 1, $D29),)&amp;
     if(Vlookup(""Monk (Unchained)"",$AE$2:$AQ$4,13,false)&gt;0 , "" / +"" &amp; VLOOKUP(N29,INDIRECT('Formula References'!$B74),2,False)+$B29+if($D29 = ""Masterwor"&amp;"k"", 1, $D29),) &amp;
     if(Vlookup(""Monk (Unchained)"",$AE$2:$AQ$4,13,false)&gt;10, "" / +"" &amp; VLOOKUP(N29,INDIRECT('Formula References'!$B74),2,False)+$B29+if($D29 = ""Masterwork"", 1, $D29),) &amp;
     if(Vlookup(M29,INDIRECT('Formula References'!$B74),3,FALS"&amp;"E)&gt;1, "" / +"" &amp; VLOOKUP(N29,INDIRECT('Formula References'!$B74),2,False)+$B29+if($D29 = ""Masterwork"", 1, $D29)-5,) &amp;
     if(Vlookup(M29,INDIRECT('Formula References'!$B74),3,FALSE)&gt;2, "" / +"" &amp; VLOOKUP(N29,INDIRECT('Formula References'!$B74),2,False)"&amp;"+$B29+if($D29 = ""Masterwork"", 1, $D29)-10,) &amp;
     if(Vlookup(M29,INDIRECT('Formula References'!$B74),3,FALSE)&gt;3, "" / +"" &amp; VLOOKUP(N29,INDIRECT('Formula References'!$B74),2,False)+$B29+if($D29 = ""Masterwork"", 1, $D29)-15,)
    ,
     if(Vlookup(M29,"&amp;"INDIRECT('Formula References'!$B74),3,FALSE)&gt;0, ""+"" &amp; VLOOKUP(N29,INDIRECT('Formula References'!$B74),2,False)+$B29+if($D29 = ""Masterwork"", 1, $D29)+$AC$74-2,)&amp;
                  if(AND($AJ$74&gt;0,regexmatch(N29,""Ranged"")), "" / +"" &amp; VLOOKUP(N29,INDI"&amp;"RECT('Formula References'!$B74),2,False)+$B29+if($D29 = ""Masterwork"", 1, $D29)-2,)&amp;
                  if(AND($AJ$74&gt;1,regexmatch(N29,""Ranged"")), "" / +"" &amp; VLOOKUP(N29,INDIRECT('Formula References'!$B74),2,False)+$B29+if($D29 = ""Masterwork"", 1, $D29"&amp;")-2,)&amp;
                  if(AND($AJ$74&gt;3,regexmatch(N29,""Ranged"")), "" / +"" &amp; VLOOKUP(N29,INDIRECT('Formula References'!$B74),2,False)+$B29+if($D29 = ""Masterwork"", 1, $D29)-2,)&amp;
                  if(AND($AI$74&gt;0,regexmatch(N29,""Melee"")), "" / +"" &amp;"&amp;" VLOOKUP(N29,INDIRECT('Formula References'!$B74),2,False)+$B29+if($D29 = ""Masterwork"", 1, $D29)-2,)&amp;
     if(Vlookup(""Monk"",$AE$2:$AQ$4,13,false)&gt;0 , "" / +"" &amp; VLOOKUP(N29,INDIRECT('Formula References'!$B74),2,False)+$B29+if($D29 = ""Masterwork"", 1,"&amp;" $D29)-2,) &amp;
     if(Vlookup(M29,INDIRECT('Formula References'!$B74),3,FALSE)&gt;1, "" / +"" &amp; VLOOKUP(N29,INDIRECT('Formula References'!$B74),2,False)+$B29+if($D29 = ""Masterwork"", 1, $D29)-7,) &amp;
     if(Vlookup(""Monk"",$AE$2:$AQ$4,13,false)&gt;5 , "" / +"" "&amp;"&amp; VLOOKUP(N29,INDIRECT('Formula References'!$B74),2,False)+$B29+if($D29 = ""Masterwork"", 1, $D29)-7,) &amp;
     if(Vlookup(M29,INDIRECT('Formula References'!$B74),3,FALSE)&gt;2, "" / +"" &amp; VLOOKUP(N29,INDIRECT('Formula References'!$B74),2,False)+$B29+if($D29 ="&amp;" ""Masterwork"", 1, $D29)-12,) &amp;
     if(Vlookup(""Monk"",$AE$2:$AQ$4,13,false)&gt;10 , "" / +"" &amp; VLOOKUP(N29,INDIRECT('Formula References'!$B74),2,False)+$B29+if($D29 = ""Masterwork"", 1, $D29)-12,) &amp;
     if(Vlookup(""Monk"",$AE$2:$AQ$4,13,false)&gt;15 , "" "&amp;"/ +"" &amp; VLOOKUP(N29,INDIRECT('Formula References'!$B74),2,False)+$B29+if($D29 = ""Masterwork"", 1, $D29)-17,)
),)&amp;
if(M29 = ""Single Attack"",
   if(Vlookup(M29,INDIRECT('Formula References'!$B74),3,FALSE)&gt;0, ""+""&amp;VLOOKUP(N29,INDIRECT('Formula Reference"&amp;"s'!$B74),2,False)+$B29+if($D29 = ""Masterwork"", 1, $D29)+$AC$74,)
,)&amp;
if(M29 = ""Natural Attacks (Searches attack name for # of attacks, defaults to 1)"",
                                   ""+""&amp;VLOOKUP(N29,INDIRECT('Formula References'!$B74),2,False)"&amp;"+$B29+if($D29 = ""Masterwork"", 1, $D29)+if(REGEXMATCH(N29,""Haste Applies""),$AC$74,)&amp;
   if(AND(REGEXMATCH(N29,""Haste Applies""),$AI$74&gt;0), "" / +"" &amp; VLOOKUP(N29,INDIRECT('Formula References'!$B74),2,False)+$B29+if($D29 = ""Masterwork"", 1, $D29),)&amp;
 "&amp;"  if(REGEXMATCH(E29,""[2-9]+""), "" / +""&amp;VLOOKUP(N29,INDIRECT('Formula References'!$B74),2,False)+$B29+if($D29 = ""Masterwork"", 1, $D29),)&amp;
   if(REGEXMATCH(E29,""[3-9]+""), "" / +""&amp;VLOOKUP(N29,INDIRECT('Formula References'!$B74),2,False)+$B29+if($D29 "&amp;"= ""Masterwork"", 1, $D29),)&amp;
   if(REGEXMATCH(E29,""[4-9]+""), "" / +""&amp;VLOOKUP(N29,INDIRECT('Formula References'!$B74),2,False)+$B29+if($D29 = ""Masterwork"", 1, $D29),)&amp;
   if(REGEXMATCH(E29,""[5-9]+""), "" / +""&amp;VLOOKUP(N29,INDIRECT('Formula Reference"&amp;"s'!$B74),2,False)+$B29+if($D29 = ""Masterwork"", 1, $D29),)&amp;
   if(REGEXMATCH(E29,""[6-9]+""), "" / +""&amp;VLOOKUP(N29,INDIRECT('Formula References'!$B74),2,False)+$B29+if($D29 = ""Masterwork"", 1, $D29),)
,)&amp;
if(
   M29 = ""Other"", 
   if(
      N29=""Alc"&amp;"hemist Bomb (DEX to hit, INT to damage) (No Rapid Bomb Discovery)"",
      if(1+int(BaseAttack/5)&gt;0, ""+""&amp;VLOOKUP(N29,INDIRECT('Formula References'!$B74),2,False)+$B29+if($D29 = ""Masterwork"", 1, $D29),)
      ,)&amp;
   if(
      N29=""Alchemist Bomb (DEX "&amp;"to hit, INT to damage) (Rapid Bomb)"",
      if($AJ$74=1, ""+""&amp;VLOOKUP(N29,INDIRECT('Formula References'!$B74),2,False)+$B29+if($D29 = ""Masterwork"", 1, $D29)&amp; "" / "",) &amp;
      if($AJ$74=2, ""+""&amp;VLOOKUP(N29,INDIRECT('Formula References'!$B74),2,False)"&amp;"+$B29+if($D29 = ""Masterwork"", 1, $D29)&amp; "" / "",) &amp;
      if(1+int(BaseAttack/5)&gt;0, ""+""&amp;VLOOKUP(N29,INDIRECT('Formula References'!$B74),2,False)+$B29+if($D29 = ""Masterwork"", 1, $D29),) &amp;
      if(1+int(BaseAttack/5)&gt;1, "" / +"" &amp; VLOOKUP(N29,INDIREC"&amp;"T('Formula References'!$B74),2,False)+$B29+if($D29 = ""Masterwork"", 1, $D29)-5,) &amp;
      if(1+int(BaseAttack/5)&gt;2, "" / +"" &amp; VLOOKUP(N29,INDIRECT('Formula References'!$B74),2,False)+$B29+if($D29 = ""Masterwork"", 1, $D29)-10,) &amp;
      if(1+int(BaseAttac"&amp;"k/5)&gt;3, "" / +"" &amp; VLOOKUP(N29,INDIRECT('Formula References'!$B74),2,False)+$B29+if($D29 = ""Masterwork"", 1, $D29)-15,)
      ,)&amp;
   if(
      N29=""Witch Prehensile Hair (INT to hit / INT to damage)"",
      if(1+int(BaseAttack/5)&gt;0, ""+""&amp;VLOOKUP(N29,I"&amp;"NDIRECT('Formula References'!$B74),2,False)+$B29+if($D29 = ""Masterwork"", 1, $D29)+$AC$74,)
      ,)&amp;
  if(REGEXMATCH(N29,""Kineticist""),
      if(REGEXMATCH(N29,""Ranged""), ""+""&amp;VLOOKUP(N29,INDIRECT('Formula References'!$B74),2,False)+$B29+if($D29 ="&amp;" ""Masterwork"", 1, $D29),)&amp;
      if(AND(REGEXMATCH(N29,""Melee""),Vlookup(M29,INDIRECT('Formula References'!$B74),3,FALSE)&gt;0),    ""+""&amp;VLOOKUP(N29,INDIRECT('Formula References'!$B74),2,False)+$B29+if($D29 = ""Masterwork"", 1, $D29)+$AC$74,)&amp;
      if(A"&amp;"ND(REGEXMATCH(N29,""Melee""),$AI$74&gt;0),                                                   "" / +""&amp;VLOOKUP(N29,INDIRECT('Formula References'!$B74),2,False)+$B29+if($D29 = ""Masterwork"", 1, $D29),)&amp;
      if(AND(REGEXMATCH(N29,""Melee""),Vlookup(M29,INDIR"&amp;"ECT('Formula References'!$B74),3,FALSE)&gt;1), "" / +""&amp;VLOOKUP(N29,INDIRECT('Formula References'!$B74),2,False)+$B29+if($D29 = ""Masterwork"", 1, $D29)-5,)&amp;
      if(AND(REGEXMATCH(N29,""Melee""),Vlookup(M29,INDIRECT('Formula References'!$B74),3,FALSE)&gt;2), "&amp;""" / +""&amp;VLOOKUP(N29,INDIRECT('Formula References'!$B74),2,False)+$B29+if($D29 = ""Masterwork"", 1, $D29)-10,)&amp;
      if(AND(REGEXMATCH(N29,""Melee""),Vlookup(M29,INDIRECT('Formula References'!$B74),3,FALSE)&gt;3), "" / +""&amp;VLOOKUP(N29,INDIRECT('Formula Refe"&amp;"rences'!$B74),2,False)+$B29+if($D29 = ""Masterwork"", 1, $D29)-15,)
      ,)
  ,)
,)"),"")</f>
        <v/>
      </c>
      <c r="P29" s="23"/>
      <c r="Q29" s="23"/>
      <c r="R29" s="23"/>
      <c r="S29" s="23"/>
      <c r="T29" s="564"/>
      <c r="U29" s="574"/>
      <c r="V29" s="575" t="str">
        <f t="array" ref="V29">iferror(if(istext(N29),U29 &amp; " + " &amp; vlookup(N29,INDIRECT('Formula References'!B74),3,False)+if(isnumber(D29),D29)+C29,),"")</f>
        <v/>
      </c>
      <c r="W29" s="23"/>
      <c r="X29" s="564"/>
      <c r="Y29" s="576"/>
      <c r="Z29" s="577"/>
      <c r="AA29" s="617"/>
      <c r="AB29" s="579"/>
      <c r="AC29" s="194"/>
      <c r="AD29" s="212" t="str">
        <f>IF(OR(
  iferror(vlookup($AE$2, 'Class Skills'!$A:$BE,MATCH(AE29,'Class Skills'!$1:$1,0),false),"")="X",
  iferror(vlookup($AE$3, 'Class Skills'!$A:$BE,MATCH(AE29,'Class Skills'!$1:$1,0),false),"")="X",
  iferror(vlookup($AE$4, 'Class Skills'!$A:$BE,MATCH(AE29,'Class Skills'!$1:$1,0),false),"")="X",
  iferror(vlookup(#REF!, 'Class Skills'!$A:$BE,MATCH(AE29,'Class Skills'!$1:$1,0),false),"")="X"),"X",)</f>
        <v>X</v>
      </c>
      <c r="AE29" s="305" t="s">
        <v>723</v>
      </c>
      <c r="AF29" s="251"/>
      <c r="AG29" s="251"/>
      <c r="AH29" s="254"/>
      <c r="AI29" s="257" t="str">
        <f>HLOOKUP(AE29,'Class Skills'!$1:$3,3,false)</f>
        <v>Dex</v>
      </c>
      <c r="AJ29" s="260">
        <f>if(AND(HLOOKUP(AE29,'Class Skills'!$1:$2,2,false)="Trained Only",AL29&lt;1),,SUM(AL29:AQ29))</f>
        <v>9</v>
      </c>
      <c r="AK29" s="263" t="s">
        <v>166</v>
      </c>
      <c r="AL29" s="266">
        <v>3.0</v>
      </c>
      <c r="AM29" s="270">
        <f>IFERROR(__xludf.DUMMYFUNCTION("offset($E$8,match(AI29,ARRAYFORMULA(Proper(lower(REGEXEXTRACT($E$9:$E$14,""\w\w\w"")))),0),2)"),3.0)</f>
        <v>3</v>
      </c>
      <c r="AN29" s="270">
        <f t="shared" si="2"/>
        <v>3</v>
      </c>
      <c r="AO29" s="427"/>
      <c r="AP29" s="276">
        <f>IFERROR(__xludf.DUMMYFUNCTION("if(
or(arrayformula(regexmatch($AR$76:$AR$110,AE29))),
   sum(arrayformula(iferror(value(regexextract(filter(
      $AR$76:$AR$110,
         $K$76:$K$110=""ACTIVE"",
         regexmatch($AR$76:$AR$110,AE29)),
       ""[-\d]+"")))))+tSkill,tSkill)"),0.0)</f>
        <v>0</v>
      </c>
      <c r="AQ29" s="288" t="str">
        <f>iferror(if(
if(hlookup(AE29,'Class Skills'!$1:$4,4,false)="Armor Penalty",'Formula References'!$Q$156,)
+if(AND(isnumber($C$38),AE29="Climb"),8,)
+if(AND(isnumber($C$39),AE29="Swim"),8,)
+if(AE29="Fly", Vlookup(Size,SizeTable,5,False),)
+if(AE29="Fly",if($M$37="Clumsy",-8,if($M$37="Poor",-4,if($M$37="Average",0,if($M$37="Good",4,if($M$37="Perfect",8,0))))))
+if(AE29="Stealth",Vlookup(Size,SizeTable,6,False))
=0,,
if(hlookup(AE29,'Class Skills'!$1:$4,4,false)="Armor Penalty",'Formula References'!$Q$156,)
+if(AND(isnumber($C$38),AE29="Climb"),8,)
+if(AND(isnumber($C$39),AE29="Swim"),8,)
+if(AE29="Fly", Vlookup(Size,SizeTable,5,False),)
+if(AE29="Fly",if($M$37="Clumsy",-8,if($M$37="Poor",-4,if($M$37="Average",0,if($M$37="Good",4,if($M$37="Perfect",8,0))))))
+if(AE29="Stealth",Vlookup(Size,SizeTable,6,False))),"")</f>
        <v/>
      </c>
      <c r="AR29" s="194"/>
      <c r="BP29" s="18"/>
      <c r="BQ29" s="19"/>
      <c r="BR29" s="19"/>
      <c r="BS29" s="19"/>
      <c r="BT29" s="19"/>
    </row>
    <row r="30">
      <c r="A30" s="15"/>
      <c r="B30" s="560"/>
      <c r="C30" s="625"/>
      <c r="D30" s="626"/>
      <c r="E30" s="563"/>
      <c r="F30" s="23"/>
      <c r="G30" s="23"/>
      <c r="H30" s="23"/>
      <c r="I30" s="23"/>
      <c r="J30" s="23"/>
      <c r="K30" s="23"/>
      <c r="L30" s="564"/>
      <c r="M30" s="565"/>
      <c r="N30" s="565"/>
      <c r="O30" s="573" t="str">
        <f>IFERROR(__xludf.DUMMYFUNCTION("if(istext(N30),
if(M30 = ""Melee Attack"",""+""&amp;
   if(Vlookup(M30,INDIRECT('Formula References'!$B75),3,FALSE)&gt;0, VLOOKUP(N30,INDIRECT('Formula References'!$B75),2,False)+$B30+if($D30 = ""Masterwork"", 1, $D30),)+$AC$74&amp;
                                 "&amp;"                    if($AI$74&gt;0, "" / +"" &amp; VLOOKUP(N30,INDIRECT('Formula References'!$B75),2,False)+$B30+if($D30 = ""Masterwork"", 1, $D30),)&amp;
   if(Vlookup(M30,INDIRECT('Formula References'!$B75),3,FALSE)&gt;1, "" / +"" &amp; VLOOKUP(N30,INDIRECT('Formula Refe"&amp;"rences'!$B75),2,False)+$B30+if($D30 = ""Masterwork"", 1, $D30)-5,) &amp;
   if(Vlookup(M30,INDIRECT('Formula References'!$B75),3,FALSE)&gt;2, "" / +"" &amp; VLOOKUP(N30,INDIRECT('Formula References'!$B75),2,False)+$B30+if($D30 = ""Masterwork"", 1, $D30)-10,) &amp;
   if"&amp;"(Vlookup(M30,INDIRECT('Formula References'!$B75),3,FALSE)&gt;3, "" / +"" &amp; VLOOKUP(N30,INDIRECT('Formula References'!$B75),2,False)+$B30+if($D30 = ""Masterwork"", 1, $D30)-15,)
,)&amp;
if(M30 = ""Ranged Attack"",
   if($AJ$74&gt;0, ""+""&amp;VLOOKUP(N30,INDIRECT('Form"&amp;"ula References'!$B75),2,False)+$B30+if($D30 = ""Masterwork"", 1, $D30)&amp; "" / "",) &amp;
   if($AJ$74&gt;1, ""+""&amp;VLOOKUP(N30,INDIRECT('Formula References'!$B75),2,False)+$B30+if($D30 = ""Masterwork"", 1, $D30)&amp; "" / "",) &amp;
   if(Vlookup(M30,INDIRECT('Formula Ref"&amp;"erences'!$B75),3,FALSE)&gt;0, ""+""&amp;VLOOKUP(N30,INDIRECT('Formula References'!$B75),2,False)+$B30+if($D30 = ""Masterwork"", 1, $D30),) &amp;
   if(Vlookup(M30,INDIRECT('Formula References'!$B75),3,FALSE)&gt;1, "" / +"" &amp; VLOOKUP(N30,INDIRECT('Formula References'!$B"&amp;"75),2,False)+$B30+if($D30 = ""Masterwork"", 1, $D30)-5,) &amp;
   if(Vlookup(M30,INDIRECT('Formula References'!$B75),3,FALSE)&gt;2, "" / +"" &amp; VLOOKUP(N30,INDIRECT('Formula References'!$B75),2,False)+$B30+if($D30 = ""Masterwork"", 1, $D30)-10,) &amp;
   if(Vlookup(M"&amp;"30,INDIRECT('Formula References'!$B75),3,FALSE)&gt;3, "" / +"" &amp; VLOOKUP(N30,INDIRECT('Formula References'!$B75),2,False)+$B30+if($D30 = ""Masterwork"", 1, $D30)-15,)
,)&amp;
if(M30 = ""Off-Hand Melee Attack (must have TWF 1, 2, or 3 active on Buff Table)"",
  "&amp;" if(Vlookup(M30,INDIRECT('Formula References'!$B75),3,FALSE)&gt;0, ""+""&amp;VLOOKUP(N30,INDIRECT('Formula References'!$B75),2,False)+$B30+if($D30 = ""Masterwork"", 1, $D30),) &amp;
   if(Vlookup(M30,INDIRECT('Formula References'!$B75),3,FALSE)&gt;1, "" / +"" &amp; VLOOKUP"&amp;"(N30,INDIRECT('Formula References'!$B75),2,False)+$B30+if($D30 = ""Masterwork"", 1, $D30)-5,) &amp;
   if(Vlookup(M30,INDIRECT('Formula References'!$B75),3,FALSE)&gt;2, "" / +"" &amp; VLOOKUP(N30,INDIRECT('Formula References'!$B75),2,False)+$B30+if($D30 = ""Masterwo"&amp;"rk"", 1, $D30)-10,) &amp;
   if(Vlookup(M30,INDIRECT('Formula References'!$B75),3,FALSE)&gt;3, "" / +"" &amp; VLOOKUP(N30,INDIRECT('Formula References'!$B75),2,False)+$B30+if($D30 = ""Masterwork"", 1, $D30)-15,)
,)&amp;
if(M30 = ""Off-Hand Ranged Attack (must have TWF "&amp;"1, 2, or 3 active on Buff Table)"",
   if(Vlookup(M30,INDIRECT('Formula References'!$B75),3,FALSE)&gt;0, ""+""&amp;VLOOKUP(N30,INDIRECT('Formula References'!$B75),2,False)+$B30+if($D30 = ""Masterwork"", 1, $D30),) &amp;
   if(Vlookup(M30,INDIRECT('Formula References"&amp;"'!$B75),3,FALSE)&gt;1, "" / +"" &amp; VLOOKUP(N30,INDIRECT('Formula References'!$B75),2,False)+$B30+if($D30 = ""Masterwork"", 1, $D30)-5,) &amp;
   if(Vlookup(M30,INDIRECT('Formula References'!$B75),3,FALSE)&gt;2, "" / +"" &amp; VLOOKUP(N30,INDIRECT('Formula References'!$B"&amp;"75),2,False)+$B30+if($D30 = ""Masterwork"", 1, $D30)-10,) &amp;
   if(Vlookup(M30,INDIRECT('Formula References'!$B75),3,FALSE)&gt;3, "" / +"" &amp; VLOOKUP(N30,INDIRECT('Formula References'!$B75),2,False)+$B30+if($D30 = ""Masterwork"", 1, $D30)-15,)
,)&amp;
if(M30 = """&amp;"Combat Maneuver"",
   if(Vlookup(M30,INDIRECT('Formula References'!$B75),3,FALSE)&gt;0, ""+""&amp;VLOOKUP(N30,INDIRECT('Formula References'!$B75),2,False)+$B30+if($D30 = ""Masterwork"", 1, $D30)+$AC$74,)
,)&amp;
if(M30 = ""Magic"",
   if(Vlookup(M30,INDIRECT('Formu"&amp;"la References'!$B75),3,FALSE)&gt;0, ""+""&amp;VLOOKUP(N30,INDIRECT('Formula References'!$B75),2,False)+$B30+if($D30 = ""Masterwork"", 1, $D30),)
,)&amp;
if(M30 = ""Monk Flurry"",
if(OR(arrayformula(regexmatch($AE$2:$AE$4,""Monk \(Unchained\)""))),
     if(Vlookup"&amp;"(M30,INDIRECT('Formula References'!$B75),3,FALSE)&gt;0, ""+"" &amp; VLOOKUP(N30,INDIRECT('Formula References'!$B75),2,False)+$B30+if($D30 = ""Masterwork"", 1, $D30)+$AC$74,)&amp;
                  if(AND($AJ$74&gt;0,regexmatch(N30,""Ranged"")), "" / +"" &amp; VLOOKUP(N30,I"&amp;"NDIRECT('Formula References'!$B75),2,False)+$B30+if($D30 = ""Masterwork"", 1, $D30),)&amp;
                  if(AND($AJ$74&gt;1,regexmatch(N30,""Ranged"")), "" / +"" &amp; VLOOKUP(N30,INDIRECT('Formula References'!$B75),2,False)+$B30+if($D30 = ""Masterwork"", 1, $D3"&amp;"0),)&amp;
                  if(AND($AJ$74&gt;3,regexmatch(N30,""Ranged"")), "" / +"" &amp; VLOOKUP(N30,INDIRECT('Formula References'!$B75),2,False)+$B30+if($D30 = ""Masterwork"", 1, $D30),)&amp;
                  if(AND($AI$74&gt;0,regexmatch(N30,""Melee"")), "" / +"" &amp; VL"&amp;"OOKUP(N30,INDIRECT('Formula References'!$B75),2,False)+$B30+if($D30 = ""Masterwork"", 1, $D30),)&amp;
     if(Vlookup(""Monk (Unchained)"",$AE$2:$AQ$4,13,false)&gt;0 , "" / +"" &amp; VLOOKUP(N30,INDIRECT('Formula References'!$B75),2,False)+$B30+if($D30 = ""Masterwor"&amp;"k"", 1, $D30),) &amp;
     if(Vlookup(""Monk (Unchained)"",$AE$2:$AQ$4,13,false)&gt;10, "" / +"" &amp; VLOOKUP(N30,INDIRECT('Formula References'!$B75),2,False)+$B30+if($D30 = ""Masterwork"", 1, $D30),) &amp;
     if(Vlookup(M30,INDIRECT('Formula References'!$B75),3,FALS"&amp;"E)&gt;1, "" / +"" &amp; VLOOKUP(N30,INDIRECT('Formula References'!$B75),2,False)+$B30+if($D30 = ""Masterwork"", 1, $D30)-5,) &amp;
     if(Vlookup(M30,INDIRECT('Formula References'!$B75),3,FALSE)&gt;2, "" / +"" &amp; VLOOKUP(N30,INDIRECT('Formula References'!$B75),2,False)"&amp;"+$B30+if($D30 = ""Masterwork"", 1, $D30)-10,) &amp;
     if(Vlookup(M30,INDIRECT('Formula References'!$B75),3,FALSE)&gt;3, "" / +"" &amp; VLOOKUP(N30,INDIRECT('Formula References'!$B75),2,False)+$B30+if($D30 = ""Masterwork"", 1, $D30)-15,)
    ,
     if(Vlookup(M30,"&amp;"INDIRECT('Formula References'!$B75),3,FALSE)&gt;0, ""+"" &amp; VLOOKUP(N30,INDIRECT('Formula References'!$B75),2,False)+$B30+if($D30 = ""Masterwork"", 1, $D30)+$AC$74-2,)&amp;
                  if(AND($AJ$74&gt;0,regexmatch(N30,""Ranged"")), "" / +"" &amp; VLOOKUP(N30,INDI"&amp;"RECT('Formula References'!$B75),2,False)+$B30+if($D30 = ""Masterwork"", 1, $D30)-2,)&amp;
                  if(AND($AJ$74&gt;1,regexmatch(N30,""Ranged"")), "" / +"" &amp; VLOOKUP(N30,INDIRECT('Formula References'!$B75),2,False)+$B30+if($D30 = ""Masterwork"", 1, $D30"&amp;")-2,)&amp;
                  if(AND($AJ$74&gt;3,regexmatch(N30,""Ranged"")), "" / +"" &amp; VLOOKUP(N30,INDIRECT('Formula References'!$B75),2,False)+$B30+if($D30 = ""Masterwork"", 1, $D30)-2,)&amp;
                  if(AND($AI$74&gt;0,regexmatch(N30,""Melee"")), "" / +"" &amp;"&amp;" VLOOKUP(N30,INDIRECT('Formula References'!$B75),2,False)+$B30+if($D30 = ""Masterwork"", 1, $D30)-2,)&amp;
     if(Vlookup(""Monk"",$AE$2:$AQ$4,13,false)&gt;0 , "" / +"" &amp; VLOOKUP(N30,INDIRECT('Formula References'!$B75),2,False)+$B30+if($D30 = ""Masterwork"", 1,"&amp;" $D30)-2,) &amp;
     if(Vlookup(M30,INDIRECT('Formula References'!$B75),3,FALSE)&gt;1, "" / +"" &amp; VLOOKUP(N30,INDIRECT('Formula References'!$B75),2,False)+$B30+if($D30 = ""Masterwork"", 1, $D30)-7,) &amp;
     if(Vlookup(""Monk"",$AE$2:$AQ$4,13,false)&gt;5 , "" / +"" "&amp;"&amp; VLOOKUP(N30,INDIRECT('Formula References'!$B75),2,False)+$B30+if($D30 = ""Masterwork"", 1, $D30)-7,) &amp;
     if(Vlookup(M30,INDIRECT('Formula References'!$B75),3,FALSE)&gt;2, "" / +"" &amp; VLOOKUP(N30,INDIRECT('Formula References'!$B75),2,False)+$B30+if($D30 ="&amp;" ""Masterwork"", 1, $D30)-12,) &amp;
     if(Vlookup(""Monk"",$AE$2:$AQ$4,13,false)&gt;10 , "" / +"" &amp; VLOOKUP(N30,INDIRECT('Formula References'!$B75),2,False)+$B30+if($D30 = ""Masterwork"", 1, $D30)-12,) &amp;
     if(Vlookup(""Monk"",$AE$2:$AQ$4,13,false)&gt;15 , "" "&amp;"/ +"" &amp; VLOOKUP(N30,INDIRECT('Formula References'!$B75),2,False)+$B30+if($D30 = ""Masterwork"", 1, $D30)-17,)
),)&amp;
if(M30 = ""Single Attack"",
   if(Vlookup(M30,INDIRECT('Formula References'!$B75),3,FALSE)&gt;0, ""+""&amp;VLOOKUP(N30,INDIRECT('Formula Reference"&amp;"s'!$B75),2,False)+$B30+if($D30 = ""Masterwork"", 1, $D30)+$AC$74,)
,)&amp;
if(M30 = ""Natural Attacks (Searches attack name for # of attacks, defaults to 1)"",
                                   ""+""&amp;VLOOKUP(N30,INDIRECT('Formula References'!$B75),2,False)"&amp;"+$B30+if($D30 = ""Masterwork"", 1, $D30)+if(REGEXMATCH(N30,""Haste Applies""),$AC$74,)&amp;
   if(AND(REGEXMATCH(N30,""Haste Applies""),$AI$74&gt;0), "" / +"" &amp; VLOOKUP(N30,INDIRECT('Formula References'!$B75),2,False)+$B30+if($D30 = ""Masterwork"", 1, $D30),)&amp;
 "&amp;"  if(REGEXMATCH(E30,""[2-9]+""), "" / +""&amp;VLOOKUP(N30,INDIRECT('Formula References'!$B75),2,False)+$B30+if($D30 = ""Masterwork"", 1, $D30),)&amp;
   if(REGEXMATCH(E30,""[3-9]+""), "" / +""&amp;VLOOKUP(N30,INDIRECT('Formula References'!$B75),2,False)+$B30+if($D30 "&amp;"= ""Masterwork"", 1, $D30),)&amp;
   if(REGEXMATCH(E30,""[4-9]+""), "" / +""&amp;VLOOKUP(N30,INDIRECT('Formula References'!$B75),2,False)+$B30+if($D30 = ""Masterwork"", 1, $D30),)&amp;
   if(REGEXMATCH(E30,""[5-9]+""), "" / +""&amp;VLOOKUP(N30,INDIRECT('Formula Reference"&amp;"s'!$B75),2,False)+$B30+if($D30 = ""Masterwork"", 1, $D30),)&amp;
   if(REGEXMATCH(E30,""[6-9]+""), "" / +""&amp;VLOOKUP(N30,INDIRECT('Formula References'!$B75),2,False)+$B30+if($D30 = ""Masterwork"", 1, $D30),)
,)&amp;
if(
   M30 = ""Other"", 
   if(
      N30=""Alc"&amp;"hemist Bomb (DEX to hit, INT to damage) (No Rapid Bomb Discovery)"",
      if(1+int(BaseAttack/5)&gt;0, ""+""&amp;VLOOKUP(N30,INDIRECT('Formula References'!$B75),2,False)+$B30+if($D30 = ""Masterwork"", 1, $D30),)
      ,)&amp;
   if(
      N30=""Alchemist Bomb (DEX "&amp;"to hit, INT to damage) (Rapid Bomb)"",
      if($AJ$74=1, ""+""&amp;VLOOKUP(N30,INDIRECT('Formula References'!$B75),2,False)+$B30+if($D30 = ""Masterwork"", 1, $D30)&amp; "" / "",) &amp;
      if($AJ$74=2, ""+""&amp;VLOOKUP(N30,INDIRECT('Formula References'!$B75),2,False)"&amp;"+$B30+if($D30 = ""Masterwork"", 1, $D30)&amp; "" / "",) &amp;
      if(1+int(BaseAttack/5)&gt;0, ""+""&amp;VLOOKUP(N30,INDIRECT('Formula References'!$B75),2,False)+$B30+if($D30 = ""Masterwork"", 1, $D30),) &amp;
      if(1+int(BaseAttack/5)&gt;1, "" / +"" &amp; VLOOKUP(N30,INDIREC"&amp;"T('Formula References'!$B75),2,False)+$B30+if($D30 = ""Masterwork"", 1, $D30)-5,) &amp;
      if(1+int(BaseAttack/5)&gt;2, "" / +"" &amp; VLOOKUP(N30,INDIRECT('Formula References'!$B75),2,False)+$B30+if($D30 = ""Masterwork"", 1, $D30)-10,) &amp;
      if(1+int(BaseAttac"&amp;"k/5)&gt;3, "" / +"" &amp; VLOOKUP(N30,INDIRECT('Formula References'!$B75),2,False)+$B30+if($D30 = ""Masterwork"", 1, $D30)-15,)
      ,)&amp;
   if(
      N30=""Witch Prehensile Hair (INT to hit / INT to damage)"",
      if(1+int(BaseAttack/5)&gt;0, ""+""&amp;VLOOKUP(N30,I"&amp;"NDIRECT('Formula References'!$B75),2,False)+$B30+if($D30 = ""Masterwork"", 1, $D30)+$AC$74,)
      ,)&amp;
  if(REGEXMATCH(N30,""Kineticist""),
      if(REGEXMATCH(N30,""Ranged""), ""+""&amp;VLOOKUP(N30,INDIRECT('Formula References'!$B75),2,False)+$B30+if($D30 ="&amp;" ""Masterwork"", 1, $D30),)&amp;
      if(AND(REGEXMATCH(N30,""Melee""),Vlookup(M30,INDIRECT('Formula References'!$B75),3,FALSE)&gt;0),    ""+""&amp;VLOOKUP(N30,INDIRECT('Formula References'!$B75),2,False)+$B30+if($D30 = ""Masterwork"", 1, $D30)+$AC$74,)&amp;
      if(A"&amp;"ND(REGEXMATCH(N30,""Melee""),$AI$74&gt;0),                                                   "" / +""&amp;VLOOKUP(N30,INDIRECT('Formula References'!$B75),2,False)+$B30+if($D30 = ""Masterwork"", 1, $D30),)&amp;
      if(AND(REGEXMATCH(N30,""Melee""),Vlookup(M30,INDIR"&amp;"ECT('Formula References'!$B75),3,FALSE)&gt;1), "" / +""&amp;VLOOKUP(N30,INDIRECT('Formula References'!$B75),2,False)+$B30+if($D30 = ""Masterwork"", 1, $D30)-5,)&amp;
      if(AND(REGEXMATCH(N30,""Melee""),Vlookup(M30,INDIRECT('Formula References'!$B75),3,FALSE)&gt;2), "&amp;""" / +""&amp;VLOOKUP(N30,INDIRECT('Formula References'!$B75),2,False)+$B30+if($D30 = ""Masterwork"", 1, $D30)-10,)&amp;
      if(AND(REGEXMATCH(N30,""Melee""),Vlookup(M30,INDIRECT('Formula References'!$B75),3,FALSE)&gt;3), "" / +""&amp;VLOOKUP(N30,INDIRECT('Formula Refe"&amp;"rences'!$B75),2,False)+$B30+if($D30 = ""Masterwork"", 1, $D30)-15,)
      ,)
  ,)
,)"),"")</f>
        <v/>
      </c>
      <c r="P30" s="23"/>
      <c r="Q30" s="23"/>
      <c r="R30" s="23"/>
      <c r="S30" s="23"/>
      <c r="T30" s="564"/>
      <c r="U30" s="574"/>
      <c r="V30" s="575" t="str">
        <f t="array" ref="V30">iferror(if(istext(N30),U30 &amp; " + " &amp; vlookup(N30,INDIRECT('Formula References'!B75),3,False)+if(isnumber(D30),D30)+C30,),"")</f>
        <v/>
      </c>
      <c r="W30" s="23"/>
      <c r="X30" s="564"/>
      <c r="Y30" s="576"/>
      <c r="Z30" s="577"/>
      <c r="AA30" s="578"/>
      <c r="AB30" s="579"/>
      <c r="AC30" s="194"/>
      <c r="AD30" s="212" t="str">
        <f>IF(OR(
  iferror(vlookup($AE$2, 'Class Skills'!$A:$BE,MATCH(AE30,'Class Skills'!$1:$1,0),false),"")="X",
  iferror(vlookup($AE$3, 'Class Skills'!$A:$BE,MATCH(AE30,'Class Skills'!$1:$1,0),false),"")="X",
  iferror(vlookup($AE$4, 'Class Skills'!$A:$BE,MATCH(AE30,'Class Skills'!$1:$1,0),false),"")="X",
  iferror(vlookup(#REF!, 'Class Skills'!$A:$BE,MATCH(AE30,'Class Skills'!$1:$1,0),false),"")="X"),"X",)</f>
        <v/>
      </c>
      <c r="AE30" s="305" t="s">
        <v>728</v>
      </c>
      <c r="AF30" s="251"/>
      <c r="AG30" s="251"/>
      <c r="AH30" s="254"/>
      <c r="AI30" s="257" t="str">
        <f>HLOOKUP(AE30,'Class Skills'!$1:$3,3,false)</f>
        <v>Wis</v>
      </c>
      <c r="AJ30" s="260">
        <f>if(AND(HLOOKUP(AE30,'Class Skills'!$1:$2,2,false)="Trained Only",AL30&lt;1),,SUM(AL30:AQ30))</f>
        <v>0</v>
      </c>
      <c r="AK30" s="263" t="s">
        <v>166</v>
      </c>
      <c r="AL30" s="266"/>
      <c r="AM30" s="270">
        <f>IFERROR(__xludf.DUMMYFUNCTION("offset($E$8,match(AI30,ARRAYFORMULA(Proper(lower(REGEXEXTRACT($E$9:$E$14,""\w\w\w"")))),0),2)"),0.0)</f>
        <v>0</v>
      </c>
      <c r="AN30" s="270" t="str">
        <f t="shared" si="2"/>
        <v/>
      </c>
      <c r="AO30" s="427"/>
      <c r="AP30" s="276">
        <f>IFERROR(__xludf.DUMMYFUNCTION("if(
or(arrayformula(regexmatch($AR$76:$AR$110,AE30))),
   sum(arrayformula(iferror(value(regexextract(filter(
      $AR$76:$AR$110,
         $K$76:$K$110=""ACTIVE"",
         regexmatch($AR$76:$AR$110,AE30)),
       ""[-\d]+"")))))+tSkill,tSkill)"),0.0)</f>
        <v>0</v>
      </c>
      <c r="AQ30" s="288" t="str">
        <f>iferror(if(
if(hlookup(AE30,'Class Skills'!$1:$4,4,false)="Armor Penalty",'Formula References'!$Q$156,)
+if(AND(isnumber($C$38),AE30="Climb"),8,)
+if(AND(isnumber($C$39),AE30="Swim"),8,)
+if(AE30="Fly", Vlookup(Size,SizeTable,5,False),)
+if(AE30="Fly",if($M$37="Clumsy",-8,if($M$37="Poor",-4,if($M$37="Average",0,if($M$37="Good",4,if($M$37="Perfect",8,0))))))
+if(AE30="Stealth",Vlookup(Size,SizeTable,6,False))
=0,,
if(hlookup(AE30,'Class Skills'!$1:$4,4,false)="Armor Penalty",'Formula References'!$Q$156,)
+if(AND(isnumber($C$38),AE30="Climb"),8,)
+if(AND(isnumber($C$39),AE30="Swim"),8,)
+if(AE30="Fly", Vlookup(Size,SizeTable,5,False),)
+if(AE30="Fly",if($M$37="Clumsy",-8,if($M$37="Poor",-4,if($M$37="Average",0,if($M$37="Good",4,if($M$37="Perfect",8,0))))))
+if(AE30="Stealth",Vlookup(Size,SizeTable,6,False))),"")</f>
        <v/>
      </c>
      <c r="AR30" s="194"/>
      <c r="AS30" s="194"/>
      <c r="AT30" s="194"/>
      <c r="AU30" s="194"/>
      <c r="AV30" s="194"/>
      <c r="AW30" s="194"/>
      <c r="AX30" s="194"/>
      <c r="AY30" s="194"/>
      <c r="AZ30" s="194"/>
      <c r="BA30" s="194"/>
      <c r="BB30" s="194"/>
      <c r="BC30" s="194"/>
      <c r="BD30" s="30" t="s">
        <v>760</v>
      </c>
      <c r="BE30" s="194"/>
      <c r="BF30" s="194"/>
      <c r="BG30" s="194"/>
      <c r="BH30" s="194"/>
      <c r="BI30" s="194"/>
      <c r="BJ30" s="194"/>
      <c r="BK30" s="194"/>
      <c r="BL30" s="194"/>
      <c r="BM30" s="194"/>
      <c r="BN30" s="194"/>
      <c r="BO30" s="194"/>
      <c r="BP30" s="18"/>
      <c r="BQ30" s="19"/>
      <c r="BR30" s="19"/>
      <c r="BS30" s="19"/>
      <c r="BT30" s="19"/>
    </row>
    <row r="31">
      <c r="A31" s="15"/>
      <c r="B31" s="560"/>
      <c r="C31" s="634"/>
      <c r="D31" s="636"/>
      <c r="E31" s="563"/>
      <c r="F31" s="23"/>
      <c r="G31" s="23"/>
      <c r="H31" s="23"/>
      <c r="I31" s="23"/>
      <c r="J31" s="23"/>
      <c r="K31" s="23"/>
      <c r="L31" s="564"/>
      <c r="M31" s="565"/>
      <c r="N31" s="565"/>
      <c r="O31" s="573" t="str">
        <f>IFERROR(__xludf.DUMMYFUNCTION("if(istext(N31),
if(M31 = ""Melee Attack"",""+""&amp;
   if(Vlookup(M31,INDIRECT('Formula References'!$B76),3,FALSE)&gt;0, VLOOKUP(N31,INDIRECT('Formula References'!$B76),2,False)+$B31+if($D31 = ""Masterwork"", 1, $D31),)+$AC$74&amp;
                                 "&amp;"                    if($AI$74&gt;0, "" / +"" &amp; VLOOKUP(N31,INDIRECT('Formula References'!$B76),2,False)+$B31+if($D31 = ""Masterwork"", 1, $D31),)&amp;
   if(Vlookup(M31,INDIRECT('Formula References'!$B76),3,FALSE)&gt;1, "" / +"" &amp; VLOOKUP(N31,INDIRECT('Formula Refe"&amp;"rences'!$B76),2,False)+$B31+if($D31 = ""Masterwork"", 1, $D31)-5,) &amp;
   if(Vlookup(M31,INDIRECT('Formula References'!$B76),3,FALSE)&gt;2, "" / +"" &amp; VLOOKUP(N31,INDIRECT('Formula References'!$B76),2,False)+$B31+if($D31 = ""Masterwork"", 1, $D31)-10,) &amp;
   if"&amp;"(Vlookup(M31,INDIRECT('Formula References'!$B76),3,FALSE)&gt;3, "" / +"" &amp; VLOOKUP(N31,INDIRECT('Formula References'!$B76),2,False)+$B31+if($D31 = ""Masterwork"", 1, $D31)-15,)
,)&amp;
if(M31 = ""Ranged Attack"",
   if($AJ$74&gt;0, ""+""&amp;VLOOKUP(N31,INDIRECT('Form"&amp;"ula References'!$B76),2,False)+$B31+if($D31 = ""Masterwork"", 1, $D31)&amp; "" / "",) &amp;
   if($AJ$74&gt;1, ""+""&amp;VLOOKUP(N31,INDIRECT('Formula References'!$B76),2,False)+$B31+if($D31 = ""Masterwork"", 1, $D31)&amp; "" / "",) &amp;
   if(Vlookup(M31,INDIRECT('Formula Ref"&amp;"erences'!$B76),3,FALSE)&gt;0, ""+""&amp;VLOOKUP(N31,INDIRECT('Formula References'!$B76),2,False)+$B31+if($D31 = ""Masterwork"", 1, $D31),) &amp;
   if(Vlookup(M31,INDIRECT('Formula References'!$B76),3,FALSE)&gt;1, "" / +"" &amp; VLOOKUP(N31,INDIRECT('Formula References'!$B"&amp;"76),2,False)+$B31+if($D31 = ""Masterwork"", 1, $D31)-5,) &amp;
   if(Vlookup(M31,INDIRECT('Formula References'!$B76),3,FALSE)&gt;2, "" / +"" &amp; VLOOKUP(N31,INDIRECT('Formula References'!$B76),2,False)+$B31+if($D31 = ""Masterwork"", 1, $D31)-10,) &amp;
   if(Vlookup(M"&amp;"31,INDIRECT('Formula References'!$B76),3,FALSE)&gt;3, "" / +"" &amp; VLOOKUP(N31,INDIRECT('Formula References'!$B76),2,False)+$B31+if($D31 = ""Masterwork"", 1, $D31)-15,)
,)&amp;
if(M31 = ""Off-Hand Melee Attack (must have TWF 1, 2, or 3 active on Buff Table)"",
  "&amp;" if(Vlookup(M31,INDIRECT('Formula References'!$B76),3,FALSE)&gt;0, ""+""&amp;VLOOKUP(N31,INDIRECT('Formula References'!$B76),2,False)+$B31+if($D31 = ""Masterwork"", 1, $D31),) &amp;
   if(Vlookup(M31,INDIRECT('Formula References'!$B76),3,FALSE)&gt;1, "" / +"" &amp; VLOOKUP"&amp;"(N31,INDIRECT('Formula References'!$B76),2,False)+$B31+if($D31 = ""Masterwork"", 1, $D31)-5,) &amp;
   if(Vlookup(M31,INDIRECT('Formula References'!$B76),3,FALSE)&gt;2, "" / +"" &amp; VLOOKUP(N31,INDIRECT('Formula References'!$B76),2,False)+$B31+if($D31 = ""Masterwo"&amp;"rk"", 1, $D31)-10,) &amp;
   if(Vlookup(M31,INDIRECT('Formula References'!$B76),3,FALSE)&gt;3, "" / +"" &amp; VLOOKUP(N31,INDIRECT('Formula References'!$B76),2,False)+$B31+if($D31 = ""Masterwork"", 1, $D31)-15,)
,)&amp;
if(M31 = ""Off-Hand Ranged Attack (must have TWF "&amp;"1, 2, or 3 active on Buff Table)"",
   if(Vlookup(M31,INDIRECT('Formula References'!$B76),3,FALSE)&gt;0, ""+""&amp;VLOOKUP(N31,INDIRECT('Formula References'!$B76),2,False)+$B31+if($D31 = ""Masterwork"", 1, $D31),) &amp;
   if(Vlookup(M31,INDIRECT('Formula References"&amp;"'!$B76),3,FALSE)&gt;1, "" / +"" &amp; VLOOKUP(N31,INDIRECT('Formula References'!$B76),2,False)+$B31+if($D31 = ""Masterwork"", 1, $D31)-5,) &amp;
   if(Vlookup(M31,INDIRECT('Formula References'!$B76),3,FALSE)&gt;2, "" / +"" &amp; VLOOKUP(N31,INDIRECT('Formula References'!$B"&amp;"76),2,False)+$B31+if($D31 = ""Masterwork"", 1, $D31)-10,) &amp;
   if(Vlookup(M31,INDIRECT('Formula References'!$B76),3,FALSE)&gt;3, "" / +"" &amp; VLOOKUP(N31,INDIRECT('Formula References'!$B76),2,False)+$B31+if($D31 = ""Masterwork"", 1, $D31)-15,)
,)&amp;
if(M31 = """&amp;"Combat Maneuver"",
   if(Vlookup(M31,INDIRECT('Formula References'!$B76),3,FALSE)&gt;0, ""+""&amp;VLOOKUP(N31,INDIRECT('Formula References'!$B76),2,False)+$B31+if($D31 = ""Masterwork"", 1, $D31)+$AC$74,)
,)&amp;
if(M31 = ""Magic"",
   if(Vlookup(M31,INDIRECT('Formu"&amp;"la References'!$B76),3,FALSE)&gt;0, ""+""&amp;VLOOKUP(N31,INDIRECT('Formula References'!$B76),2,False)+$B31+if($D31 = ""Masterwork"", 1, $D31),)
,)&amp;
if(M31 = ""Monk Flurry"",
if(OR(arrayformula(regexmatch($AE$2:$AE$4,""Monk \(Unchained\)""))),
     if(Vlookup"&amp;"(M31,INDIRECT('Formula References'!$B76),3,FALSE)&gt;0, ""+"" &amp; VLOOKUP(N31,INDIRECT('Formula References'!$B76),2,False)+$B31+if($D31 = ""Masterwork"", 1, $D31)+$AC$74,)&amp;
                  if(AND($AJ$74&gt;0,regexmatch(N31,""Ranged"")), "" / +"" &amp; VLOOKUP(N31,I"&amp;"NDIRECT('Formula References'!$B76),2,False)+$B31+if($D31 = ""Masterwork"", 1, $D31),)&amp;
                  if(AND($AJ$74&gt;1,regexmatch(N31,""Ranged"")), "" / +"" &amp; VLOOKUP(N31,INDIRECT('Formula References'!$B76),2,False)+$B31+if($D31 = ""Masterwork"", 1, $D3"&amp;"1),)&amp;
                  if(AND($AJ$74&gt;3,regexmatch(N31,""Ranged"")), "" / +"" &amp; VLOOKUP(N31,INDIRECT('Formula References'!$B76),2,False)+$B31+if($D31 = ""Masterwork"", 1, $D31),)&amp;
                  if(AND($AI$74&gt;0,regexmatch(N31,""Melee"")), "" / +"" &amp; VL"&amp;"OOKUP(N31,INDIRECT('Formula References'!$B76),2,False)+$B31+if($D31 = ""Masterwork"", 1, $D31),)&amp;
     if(Vlookup(""Monk (Unchained)"",$AE$2:$AQ$4,13,false)&gt;0 , "" / +"" &amp; VLOOKUP(N31,INDIRECT('Formula References'!$B76),2,False)+$B31+if($D31 = ""Masterwor"&amp;"k"", 1, $D31),) &amp;
     if(Vlookup(""Monk (Unchained)"",$AE$2:$AQ$4,13,false)&gt;10, "" / +"" &amp; VLOOKUP(N31,INDIRECT('Formula References'!$B76),2,False)+$B31+if($D31 = ""Masterwork"", 1, $D31),) &amp;
     if(Vlookup(M31,INDIRECT('Formula References'!$B76),3,FALS"&amp;"E)&gt;1, "" / +"" &amp; VLOOKUP(N31,INDIRECT('Formula References'!$B76),2,False)+$B31+if($D31 = ""Masterwork"", 1, $D31)-5,) &amp;
     if(Vlookup(M31,INDIRECT('Formula References'!$B76),3,FALSE)&gt;2, "" / +"" &amp; VLOOKUP(N31,INDIRECT('Formula References'!$B76),2,False)"&amp;"+$B31+if($D31 = ""Masterwork"", 1, $D31)-10,) &amp;
     if(Vlookup(M31,INDIRECT('Formula References'!$B76),3,FALSE)&gt;3, "" / +"" &amp; VLOOKUP(N31,INDIRECT('Formula References'!$B76),2,False)+$B31+if($D31 = ""Masterwork"", 1, $D31)-15,)
    ,
     if(Vlookup(M31,"&amp;"INDIRECT('Formula References'!$B76),3,FALSE)&gt;0, ""+"" &amp; VLOOKUP(N31,INDIRECT('Formula References'!$B76),2,False)+$B31+if($D31 = ""Masterwork"", 1, $D31)+$AC$74-2,)&amp;
                  if(AND($AJ$74&gt;0,regexmatch(N31,""Ranged"")), "" / +"" &amp; VLOOKUP(N31,INDI"&amp;"RECT('Formula References'!$B76),2,False)+$B31+if($D31 = ""Masterwork"", 1, $D31)-2,)&amp;
                  if(AND($AJ$74&gt;1,regexmatch(N31,""Ranged"")), "" / +"" &amp; VLOOKUP(N31,INDIRECT('Formula References'!$B76),2,False)+$B31+if($D31 = ""Masterwork"", 1, $D31"&amp;")-2,)&amp;
                  if(AND($AJ$74&gt;3,regexmatch(N31,""Ranged"")), "" / +"" &amp; VLOOKUP(N31,INDIRECT('Formula References'!$B76),2,False)+$B31+if($D31 = ""Masterwork"", 1, $D31)-2,)&amp;
                  if(AND($AI$74&gt;0,regexmatch(N31,""Melee"")), "" / +"" &amp;"&amp;" VLOOKUP(N31,INDIRECT('Formula References'!$B76),2,False)+$B31+if($D31 = ""Masterwork"", 1, $D31)-2,)&amp;
     if(Vlookup(""Monk"",$AE$2:$AQ$4,13,false)&gt;0 , "" / +"" &amp; VLOOKUP(N31,INDIRECT('Formula References'!$B76),2,False)+$B31+if($D31 = ""Masterwork"", 1,"&amp;" $D31)-2,) &amp;
     if(Vlookup(M31,INDIRECT('Formula References'!$B76),3,FALSE)&gt;1, "" / +"" &amp; VLOOKUP(N31,INDIRECT('Formula References'!$B76),2,False)+$B31+if($D31 = ""Masterwork"", 1, $D31)-7,) &amp;
     if(Vlookup(""Monk"",$AE$2:$AQ$4,13,false)&gt;5 , "" / +"" "&amp;"&amp; VLOOKUP(N31,INDIRECT('Formula References'!$B76),2,False)+$B31+if($D31 = ""Masterwork"", 1, $D31)-7,) &amp;
     if(Vlookup(M31,INDIRECT('Formula References'!$B76),3,FALSE)&gt;2, "" / +"" &amp; VLOOKUP(N31,INDIRECT('Formula References'!$B76),2,False)+$B31+if($D31 ="&amp;" ""Masterwork"", 1, $D31)-12,) &amp;
     if(Vlookup(""Monk"",$AE$2:$AQ$4,13,false)&gt;10 , "" / +"" &amp; VLOOKUP(N31,INDIRECT('Formula References'!$B76),2,False)+$B31+if($D31 = ""Masterwork"", 1, $D31)-12,) &amp;
     if(Vlookup(""Monk"",$AE$2:$AQ$4,13,false)&gt;15 , "" "&amp;"/ +"" &amp; VLOOKUP(N31,INDIRECT('Formula References'!$B76),2,False)+$B31+if($D31 = ""Masterwork"", 1, $D31)-17,)
),)&amp;
if(M31 = ""Single Attack"",
   if(Vlookup(M31,INDIRECT('Formula References'!$B76),3,FALSE)&gt;0, ""+""&amp;VLOOKUP(N31,INDIRECT('Formula Reference"&amp;"s'!$B76),2,False)+$B31+if($D31 = ""Masterwork"", 1, $D31)+$AC$74,)
,)&amp;
if(M31 = ""Natural Attacks (Searches attack name for # of attacks, defaults to 1)"",
                                   ""+""&amp;VLOOKUP(N31,INDIRECT('Formula References'!$B76),2,False)"&amp;"+$B31+if($D31 = ""Masterwork"", 1, $D31)+if(REGEXMATCH(N31,""Haste Applies""),$AC$74,)&amp;
   if(AND(REGEXMATCH(N31,""Haste Applies""),$AI$74&gt;0), "" / +"" &amp; VLOOKUP(N31,INDIRECT('Formula References'!$B76),2,False)+$B31+if($D31 = ""Masterwork"", 1, $D31),)&amp;
 "&amp;"  if(REGEXMATCH(E31,""[2-9]+""), "" / +""&amp;VLOOKUP(N31,INDIRECT('Formula References'!$B76),2,False)+$B31+if($D31 = ""Masterwork"", 1, $D31),)&amp;
   if(REGEXMATCH(E31,""[3-9]+""), "" / +""&amp;VLOOKUP(N31,INDIRECT('Formula References'!$B76),2,False)+$B31+if($D31 "&amp;"= ""Masterwork"", 1, $D31),)&amp;
   if(REGEXMATCH(E31,""[4-9]+""), "" / +""&amp;VLOOKUP(N31,INDIRECT('Formula References'!$B76),2,False)+$B31+if($D31 = ""Masterwork"", 1, $D31),)&amp;
   if(REGEXMATCH(E31,""[5-9]+""), "" / +""&amp;VLOOKUP(N31,INDIRECT('Formula Reference"&amp;"s'!$B76),2,False)+$B31+if($D31 = ""Masterwork"", 1, $D31),)&amp;
   if(REGEXMATCH(E31,""[6-9]+""), "" / +""&amp;VLOOKUP(N31,INDIRECT('Formula References'!$B76),2,False)+$B31+if($D31 = ""Masterwork"", 1, $D31),)
,)&amp;
if(
   M31 = ""Other"", 
   if(
      N31=""Alc"&amp;"hemist Bomb (DEX to hit, INT to damage) (No Rapid Bomb Discovery)"",
      if(1+int(BaseAttack/5)&gt;0, ""+""&amp;VLOOKUP(N31,INDIRECT('Formula References'!$B76),2,False)+$B31+if($D31 = ""Masterwork"", 1, $D31),)
      ,)&amp;
   if(
      N31=""Alchemist Bomb (DEX "&amp;"to hit, INT to damage) (Rapid Bomb)"",
      if($AJ$74=1, ""+""&amp;VLOOKUP(N31,INDIRECT('Formula References'!$B76),2,False)+$B31+if($D31 = ""Masterwork"", 1, $D31)&amp; "" / "",) &amp;
      if($AJ$74=2, ""+""&amp;VLOOKUP(N31,INDIRECT('Formula References'!$B76),2,False)"&amp;"+$B31+if($D31 = ""Masterwork"", 1, $D31)&amp; "" / "",) &amp;
      if(1+int(BaseAttack/5)&gt;0, ""+""&amp;VLOOKUP(N31,INDIRECT('Formula References'!$B76),2,False)+$B31+if($D31 = ""Masterwork"", 1, $D31),) &amp;
      if(1+int(BaseAttack/5)&gt;1, "" / +"" &amp; VLOOKUP(N31,INDIREC"&amp;"T('Formula References'!$B76),2,False)+$B31+if($D31 = ""Masterwork"", 1, $D31)-5,) &amp;
      if(1+int(BaseAttack/5)&gt;2, "" / +"" &amp; VLOOKUP(N31,INDIRECT('Formula References'!$B76),2,False)+$B31+if($D31 = ""Masterwork"", 1, $D31)-10,) &amp;
      if(1+int(BaseAttac"&amp;"k/5)&gt;3, "" / +"" &amp; VLOOKUP(N31,INDIRECT('Formula References'!$B76),2,False)+$B31+if($D31 = ""Masterwork"", 1, $D31)-15,)
      ,)&amp;
   if(
      N31=""Witch Prehensile Hair (INT to hit / INT to damage)"",
      if(1+int(BaseAttack/5)&gt;0, ""+""&amp;VLOOKUP(N31,I"&amp;"NDIRECT('Formula References'!$B76),2,False)+$B31+if($D31 = ""Masterwork"", 1, $D31)+$AC$74,)
      ,)&amp;
  if(REGEXMATCH(N31,""Kineticist""),
      if(REGEXMATCH(N31,""Ranged""), ""+""&amp;VLOOKUP(N31,INDIRECT('Formula References'!$B76),2,False)+$B31+if($D31 ="&amp;" ""Masterwork"", 1, $D31),)&amp;
      if(AND(REGEXMATCH(N31,""Melee""),Vlookup(M31,INDIRECT('Formula References'!$B76),3,FALSE)&gt;0),    ""+""&amp;VLOOKUP(N31,INDIRECT('Formula References'!$B76),2,False)+$B31+if($D31 = ""Masterwork"", 1, $D31)+$AC$74,)&amp;
      if(A"&amp;"ND(REGEXMATCH(N31,""Melee""),$AI$74&gt;0),                                                   "" / +""&amp;VLOOKUP(N31,INDIRECT('Formula References'!$B76),2,False)+$B31+if($D31 = ""Masterwork"", 1, $D31),)&amp;
      if(AND(REGEXMATCH(N31,""Melee""),Vlookup(M31,INDIR"&amp;"ECT('Formula References'!$B76),3,FALSE)&gt;1), "" / +""&amp;VLOOKUP(N31,INDIRECT('Formula References'!$B76),2,False)+$B31+if($D31 = ""Masterwork"", 1, $D31)-5,)&amp;
      if(AND(REGEXMATCH(N31,""Melee""),Vlookup(M31,INDIRECT('Formula References'!$B76),3,FALSE)&gt;2), "&amp;""" / +""&amp;VLOOKUP(N31,INDIRECT('Formula References'!$B76),2,False)+$B31+if($D31 = ""Masterwork"", 1, $D31)-10,)&amp;
      if(AND(REGEXMATCH(N31,""Melee""),Vlookup(M31,INDIRECT('Formula References'!$B76),3,FALSE)&gt;3), "" / +""&amp;VLOOKUP(N31,INDIRECT('Formula Refe"&amp;"rences'!$B76),2,False)+$B31+if($D31 = ""Masterwork"", 1, $D31)-15,)
      ,)
  ,)
,)"),"")</f>
        <v/>
      </c>
      <c r="P31" s="23"/>
      <c r="Q31" s="23"/>
      <c r="R31" s="23"/>
      <c r="S31" s="23"/>
      <c r="T31" s="564"/>
      <c r="U31" s="574"/>
      <c r="V31" s="575" t="str">
        <f t="array" ref="V31">iferror(if(istext(N31),U31 &amp; " + " &amp; vlookup(N31,INDIRECT('Formula References'!B76),3,False)+if(isnumber(D31),D31)+C31,),"")</f>
        <v/>
      </c>
      <c r="W31" s="23"/>
      <c r="X31" s="564"/>
      <c r="Y31" s="576"/>
      <c r="Z31" s="577"/>
      <c r="AA31" s="578"/>
      <c r="AB31" s="579"/>
      <c r="AC31" s="194"/>
      <c r="AD31" s="212" t="str">
        <f>IF(OR(
  iferror(vlookup($AE$2, 'Class Skills'!$A:$BE,MATCH(AE31,'Class Skills'!$1:$1,0),false),"")="X",
  iferror(vlookup($AE$3, 'Class Skills'!$A:$BE,MATCH(AE31,'Class Skills'!$1:$1,0),false),"")="X",
  iferror(vlookup($AE$4, 'Class Skills'!$A:$BE,MATCH(AE31,'Class Skills'!$1:$1,0),false),"")="X",
  iferror(vlookup(#REF!, 'Class Skills'!$A:$BE,MATCH(AE31,'Class Skills'!$1:$1,0),false),"")="X"),"X",)</f>
        <v>X</v>
      </c>
      <c r="AE31" s="305" t="s">
        <v>740</v>
      </c>
      <c r="AF31" s="251"/>
      <c r="AG31" s="251"/>
      <c r="AH31" s="254"/>
      <c r="AI31" s="257" t="str">
        <f>HLOOKUP(AE31,'Class Skills'!$1:$3,3,false)</f>
        <v>Str</v>
      </c>
      <c r="AJ31" s="260">
        <f>if(AND(HLOOKUP(AE31,'Class Skills'!$1:$2,2,false)="Trained Only",AL31&lt;1),,SUM(AL31:AQ31))</f>
        <v>6</v>
      </c>
      <c r="AK31" s="263" t="s">
        <v>166</v>
      </c>
      <c r="AL31" s="266">
        <v>3.0</v>
      </c>
      <c r="AM31" s="270">
        <f>IFERROR(__xludf.DUMMYFUNCTION("offset($E$8,match(AI31,ARRAYFORMULA(Proper(lower(REGEXEXTRACT($E$9:$E$14,""\w\w\w"")))),0),2)"),0.0)</f>
        <v>0</v>
      </c>
      <c r="AN31" s="270">
        <f t="shared" si="2"/>
        <v>3</v>
      </c>
      <c r="AO31" s="427"/>
      <c r="AP31" s="276">
        <f>IFERROR(__xludf.DUMMYFUNCTION("if(
or(arrayformula(regexmatch($AR$76:$AR$110,AE31))),
   sum(arrayformula(iferror(value(regexextract(filter(
      $AR$76:$AR$110,
         $K$76:$K$110=""ACTIVE"",
         regexmatch($AR$76:$AR$110,AE31)),
       ""[-\d]+"")))))+tSkill,tSkill)"),0.0)</f>
        <v>0</v>
      </c>
      <c r="AQ31" s="288" t="str">
        <f>iferror(if(
if(hlookup(AE31,'Class Skills'!$1:$4,4,false)="Armor Penalty",'Formula References'!$Q$156,)
+if(AND(isnumber($C$38),AE31="Climb"),8,)
+if(AND(isnumber($C$39),AE31="Swim"),8,)
+if(AE31="Fly", Vlookup(Size,SizeTable,5,False),)
+if(AE31="Fly",if($M$37="Clumsy",-8,if($M$37="Poor",-4,if($M$37="Average",0,if($M$37="Good",4,if($M$37="Perfect",8,0))))))
+if(AE31="Stealth",Vlookup(Size,SizeTable,6,False))
=0,,
if(hlookup(AE31,'Class Skills'!$1:$4,4,false)="Armor Penalty",'Formula References'!$Q$156,)
+if(AND(isnumber($C$38),AE31="Climb"),8,)
+if(AND(isnumber($C$39),AE31="Swim"),8,)
+if(AE31="Fly", Vlookup(Size,SizeTable,5,False),)
+if(AE31="Fly",if($M$37="Clumsy",-8,if($M$37="Poor",-4,if($M$37="Average",0,if($M$37="Good",4,if($M$37="Perfect",8,0))))))
+if(AE31="Stealth",Vlookup(Size,SizeTable,6,False))),"")</f>
        <v/>
      </c>
      <c r="AR31" s="194"/>
      <c r="AS31" s="644" t="s">
        <v>767</v>
      </c>
      <c r="BD31" s="194"/>
      <c r="BE31" s="644" t="s">
        <v>769</v>
      </c>
      <c r="BP31" s="18"/>
      <c r="BQ31" s="19"/>
      <c r="BR31" s="19"/>
      <c r="BS31" s="19"/>
      <c r="BT31" s="19"/>
    </row>
    <row r="32">
      <c r="A32" s="15"/>
      <c r="B32" s="507"/>
      <c r="C32" s="507"/>
      <c r="D32" s="507"/>
      <c r="E32" s="507"/>
      <c r="F32" s="507"/>
      <c r="G32" s="507"/>
      <c r="H32" s="507"/>
      <c r="I32" s="507"/>
      <c r="J32" s="645" t="s">
        <v>770</v>
      </c>
      <c r="K32" s="227"/>
      <c r="L32" s="507"/>
      <c r="M32" s="507"/>
      <c r="N32" s="507"/>
      <c r="O32" s="507"/>
      <c r="P32" s="507"/>
      <c r="Q32" s="507"/>
      <c r="R32" s="507"/>
      <c r="S32" s="507"/>
      <c r="T32" s="15"/>
      <c r="U32" s="227" t="s">
        <v>771</v>
      </c>
      <c r="AC32" s="194"/>
      <c r="AD32" s="212" t="str">
        <f>IF(OR(
  iferror(vlookup($AE$2, 'Class Skills'!$A:$BE,MATCH(AE32,'Class Skills'!$1:$1,0),false),"")="X",
  iferror(vlookup($AE$3, 'Class Skills'!$A:$BE,MATCH(AE32,'Class Skills'!$1:$1,0),false),"")="X",
  iferror(vlookup($AE$4, 'Class Skills'!$A:$BE,MATCH(AE32,'Class Skills'!$1:$1,0),false),"")="X",
  iferror(vlookup(#REF!, 'Class Skills'!$A:$BE,MATCH(AE32,'Class Skills'!$1:$1,0),false),"")="X"),"X",)</f>
        <v/>
      </c>
      <c r="AE32" s="249" t="s">
        <v>741</v>
      </c>
      <c r="AF32" s="251"/>
      <c r="AG32" s="251"/>
      <c r="AH32" s="254"/>
      <c r="AI32" s="257" t="str">
        <f>HLOOKUP(AE32,'Class Skills'!$1:$3,3,false)</f>
        <v>Cha</v>
      </c>
      <c r="AJ32" s="260" t="str">
        <f>if(AND(HLOOKUP(AE32,'Class Skills'!$1:$2,2,false)="Trained Only",AL32&lt;1),,SUM(AL32:AQ32))</f>
        <v/>
      </c>
      <c r="AK32" s="263" t="s">
        <v>166</v>
      </c>
      <c r="AL32" s="266"/>
      <c r="AM32" s="270">
        <f>IFERROR(__xludf.DUMMYFUNCTION("offset($E$8,match(AI32,ARRAYFORMULA(Proper(lower(REGEXEXTRACT($E$9:$E$14,""\w\w\w"")))),0),2)"),0.0)</f>
        <v>0</v>
      </c>
      <c r="AN32" s="270" t="str">
        <f t="shared" si="2"/>
        <v/>
      </c>
      <c r="AO32" s="427"/>
      <c r="AP32" s="276">
        <f>IFERROR(__xludf.DUMMYFUNCTION("if(
or(arrayformula(regexmatch($AR$76:$AR$110,AE32))),
   sum(arrayformula(iferror(value(regexextract(filter(
      $AR$76:$AR$110,
         $K$76:$K$110=""ACTIVE"",
         regexmatch($AR$76:$AR$110,AE32)),
       ""[-\d]+"")))))+tSkill,tSkill)"),0.0)</f>
        <v>0</v>
      </c>
      <c r="AQ32" s="288" t="str">
        <f>iferror(if(
if(hlookup(AE32,'Class Skills'!$1:$4,4,false)="Armor Penalty",'Formula References'!$Q$156,)
+if(AND(isnumber($C$38),AE32="Climb"),8,)
+if(AND(isnumber($C$39),AE32="Swim"),8,)
+if(AE32="Fly", Vlookup(Size,SizeTable,5,False),)
+if(AE32="Fly",if($M$37="Clumsy",-8,if($M$37="Poor",-4,if($M$37="Average",0,if($M$37="Good",4,if($M$37="Perfect",8,0))))))
+if(AE32="Stealth",Vlookup(Size,SizeTable,6,False))
=0,,
if(hlookup(AE32,'Class Skills'!$1:$4,4,false)="Armor Penalty",'Formula References'!$Q$156,)
+if(AND(isnumber($C$38),AE32="Climb"),8,)
+if(AND(isnumber($C$39),AE32="Swim"),8,)
+if(AE32="Fly", Vlookup(Size,SizeTable,5,False),)
+if(AE32="Fly",if($M$37="Clumsy",-8,if($M$37="Poor",-4,if($M$37="Average",0,if($M$37="Good",4,if($M$37="Perfect",8,0))))))
+if(AE32="Stealth",Vlookup(Size,SizeTable,6,False))),"")</f>
        <v/>
      </c>
      <c r="AR32" s="194"/>
      <c r="AS32" s="648" t="s">
        <v>773</v>
      </c>
      <c r="AT32" s="649" t="s">
        <v>774</v>
      </c>
      <c r="AU32" s="648" t="s">
        <v>775</v>
      </c>
      <c r="AV32" s="648"/>
      <c r="AW32" s="648"/>
      <c r="AX32" s="648"/>
      <c r="AY32" s="648"/>
      <c r="AZ32" s="648"/>
      <c r="BA32" s="648"/>
      <c r="BB32" s="648"/>
      <c r="BC32" s="648"/>
      <c r="BD32" s="194"/>
      <c r="BE32" s="650" t="s">
        <v>289</v>
      </c>
      <c r="BG32" s="651" t="s">
        <v>125</v>
      </c>
      <c r="BH32" s="651"/>
      <c r="BI32" s="651"/>
      <c r="BJ32" s="651"/>
      <c r="BK32" s="651"/>
      <c r="BL32" s="651"/>
      <c r="BM32" s="651"/>
      <c r="BN32" s="651"/>
      <c r="BO32" s="651"/>
      <c r="BP32" s="18"/>
      <c r="BQ32" s="19"/>
      <c r="BR32" s="19"/>
      <c r="BS32" s="19"/>
      <c r="BT32" s="19"/>
    </row>
    <row r="33">
      <c r="A33" s="15"/>
      <c r="B33" s="514"/>
      <c r="C33" s="67"/>
      <c r="D33" s="67"/>
      <c r="E33" s="67"/>
      <c r="F33" s="67"/>
      <c r="G33" s="67"/>
      <c r="H33" s="67"/>
      <c r="I33" s="67"/>
      <c r="J33" s="67"/>
      <c r="K33" s="67"/>
      <c r="L33" s="67"/>
      <c r="M33" s="67"/>
      <c r="N33" s="67"/>
      <c r="O33" s="67"/>
      <c r="P33" s="67"/>
      <c r="Q33" s="67"/>
      <c r="R33" s="67"/>
      <c r="S33" s="69"/>
      <c r="T33" s="15"/>
      <c r="U33" s="652" t="b">
        <v>0</v>
      </c>
      <c r="V33" s="653" t="str">
        <f t="shared" ref="V33:V37" si="10">B101</f>
        <v>Power Attack</v>
      </c>
      <c r="W33" s="654"/>
      <c r="X33" s="655"/>
      <c r="Y33" s="652" t="b">
        <v>0</v>
      </c>
      <c r="Z33" s="653" t="str">
        <f t="shared" ref="Z33:Z37" si="11">B106</f>
        <v>Rapid Shot</v>
      </c>
      <c r="AA33" s="654"/>
      <c r="AB33" s="657"/>
      <c r="AC33" s="15"/>
      <c r="AD33" s="15"/>
      <c r="AE33" s="507"/>
      <c r="AF33" s="15"/>
      <c r="AG33" s="15"/>
      <c r="AH33" s="15"/>
      <c r="AI33" s="15"/>
      <c r="AJ33" s="15"/>
      <c r="AK33" s="15"/>
      <c r="AL33" s="15"/>
      <c r="AM33" s="15"/>
      <c r="AN33" s="15"/>
      <c r="AO33" s="15"/>
      <c r="AP33" s="15"/>
      <c r="AQ33" s="15"/>
      <c r="AR33" s="194"/>
      <c r="AS33" s="658">
        <v>11.0</v>
      </c>
      <c r="AT33" s="659">
        <v>11.0</v>
      </c>
      <c r="AU33" s="661" t="s">
        <v>793</v>
      </c>
      <c r="AV33" s="175"/>
      <c r="AW33" s="175"/>
      <c r="AX33" s="175"/>
      <c r="AY33" s="175"/>
      <c r="AZ33" s="175"/>
      <c r="BA33" s="175"/>
      <c r="BB33" s="175"/>
      <c r="BC33" s="175"/>
      <c r="BD33" s="194"/>
      <c r="BE33" s="663" t="s">
        <v>315</v>
      </c>
      <c r="BF33" s="664"/>
      <c r="BG33" s="666"/>
      <c r="BH33" s="175"/>
      <c r="BI33" s="175"/>
      <c r="BJ33" s="175"/>
      <c r="BK33" s="175"/>
      <c r="BL33" s="175"/>
      <c r="BM33" s="175"/>
      <c r="BN33" s="175"/>
      <c r="BO33" s="175"/>
      <c r="BP33" s="18"/>
      <c r="BQ33" s="19"/>
      <c r="BR33" s="19"/>
      <c r="BS33" s="19"/>
      <c r="BT33" s="19"/>
    </row>
    <row r="34">
      <c r="A34" s="15"/>
      <c r="B34" s="111"/>
      <c r="C34" s="114"/>
      <c r="D34" s="114"/>
      <c r="E34" s="114"/>
      <c r="F34" s="114"/>
      <c r="G34" s="114"/>
      <c r="H34" s="114"/>
      <c r="I34" s="114"/>
      <c r="J34" s="114"/>
      <c r="K34" s="114"/>
      <c r="L34" s="114"/>
      <c r="M34" s="114"/>
      <c r="N34" s="114"/>
      <c r="O34" s="114"/>
      <c r="P34" s="114"/>
      <c r="Q34" s="114"/>
      <c r="R34" s="114"/>
      <c r="S34" s="68"/>
      <c r="T34" s="15"/>
      <c r="U34" s="154" t="b">
        <v>0</v>
      </c>
      <c r="V34" s="667" t="str">
        <f t="shared" si="10"/>
        <v>Combat Expertise</v>
      </c>
      <c r="W34" s="28"/>
      <c r="X34" s="29"/>
      <c r="Y34" s="154"/>
      <c r="Z34" s="667" t="str">
        <f t="shared" si="11"/>
        <v>(Custom Effect 7)</v>
      </c>
      <c r="AA34" s="28"/>
      <c r="AB34" s="668"/>
      <c r="AC34" s="15"/>
      <c r="AD34" s="669" t="s">
        <v>795</v>
      </c>
      <c r="AE34" s="670"/>
      <c r="AF34" s="671"/>
      <c r="AG34" s="181"/>
      <c r="AH34" s="200" t="str">
        <f>MIN(2*$AQ$6,SUM($AL$35:$AL$45))&amp;" / "&amp;2*$AQ$6</f>
        <v>6 / 6</v>
      </c>
      <c r="AI34" s="181"/>
      <c r="AJ34" s="203" t="s">
        <v>141</v>
      </c>
      <c r="AK34" s="204"/>
      <c r="AL34" s="203" t="s">
        <v>116</v>
      </c>
      <c r="AM34" s="203" t="s">
        <v>142</v>
      </c>
      <c r="AN34" s="203" t="s">
        <v>10</v>
      </c>
      <c r="AO34" s="203" t="s">
        <v>137</v>
      </c>
      <c r="AP34" s="203" t="s">
        <v>123</v>
      </c>
      <c r="AQ34" s="432" t="s">
        <v>464</v>
      </c>
      <c r="AR34" s="194"/>
      <c r="AS34" s="672"/>
      <c r="AT34" s="673"/>
      <c r="AU34" s="674"/>
      <c r="AV34" s="222"/>
      <c r="AW34" s="222"/>
      <c r="AX34" s="222"/>
      <c r="AY34" s="222"/>
      <c r="AZ34" s="222"/>
      <c r="BA34" s="222"/>
      <c r="BB34" s="222"/>
      <c r="BC34" s="222"/>
      <c r="BD34" s="194"/>
      <c r="BE34" s="675" t="s">
        <v>353</v>
      </c>
      <c r="BF34" s="676"/>
      <c r="BG34" s="677"/>
      <c r="BH34" s="222"/>
      <c r="BI34" s="222"/>
      <c r="BJ34" s="222"/>
      <c r="BK34" s="222"/>
      <c r="BL34" s="222"/>
      <c r="BM34" s="222"/>
      <c r="BN34" s="222"/>
      <c r="BO34" s="222"/>
      <c r="BP34" s="18"/>
      <c r="BQ34" s="19"/>
      <c r="BR34" s="19"/>
      <c r="BS34" s="19"/>
      <c r="BT34" s="19"/>
    </row>
    <row r="35">
      <c r="A35" s="15"/>
      <c r="B35" s="15"/>
      <c r="C35" s="15"/>
      <c r="D35" s="15"/>
      <c r="E35" s="15"/>
      <c r="F35" s="15"/>
      <c r="G35" s="15"/>
      <c r="H35" s="15"/>
      <c r="I35" s="15"/>
      <c r="J35" s="15"/>
      <c r="K35" s="15"/>
      <c r="L35" s="15"/>
      <c r="M35" s="15"/>
      <c r="N35" s="15"/>
      <c r="O35" s="15"/>
      <c r="P35" s="15"/>
      <c r="Q35" s="15"/>
      <c r="R35" s="15"/>
      <c r="S35" s="15"/>
      <c r="T35" s="15"/>
      <c r="U35" s="154" t="b">
        <v>0</v>
      </c>
      <c r="V35" s="667" t="str">
        <f t="shared" si="10"/>
        <v>Deadly Aim</v>
      </c>
      <c r="W35" s="28"/>
      <c r="X35" s="29"/>
      <c r="Y35" s="679"/>
      <c r="Z35" s="667" t="str">
        <f t="shared" si="11"/>
        <v>(Custom Effect 8)</v>
      </c>
      <c r="AA35" s="28"/>
      <c r="AB35" s="668"/>
      <c r="AC35" s="15"/>
      <c r="AD35" s="244" t="str">
        <f>IF(OR(
  iferror(vlookup($AE$2, 'Class Skills'!$A:$BE,MATCH(AE35,'Class Skills'!$1:$1,0),false),"")="X",
  iferror(vlookup($AE$3, 'Class Skills'!$A:$BE,MATCH(AE35,'Class Skills'!$1:$1,0),false),"")="X",
  iferror(vlookup($AE$4, 'Class Skills'!$A:$BE,MATCH(AE35,'Class Skills'!$1:$1,0),false),"")="X",
  iferror(vlookup(#REF!, 'Class Skills'!$A:$BE,MATCH(AE35,'Class Skills'!$1:$1,0),false),"")="X"),"X",)</f>
        <v>X</v>
      </c>
      <c r="AE35" s="305" t="s">
        <v>729</v>
      </c>
      <c r="AF35" s="254"/>
      <c r="AG35" s="254"/>
      <c r="AH35" s="254"/>
      <c r="AI35" s="257" t="str">
        <f>HLOOKUP(AE35,'Class Skills'!$1:$3,3,false)</f>
        <v>Int</v>
      </c>
      <c r="AJ35" s="260">
        <f>if(AND(HLOOKUP(AE35,'Class Skills'!$1:$2,2,false)="Trained Only",AL35&lt;1),,SUM(AL35:AQ35))</f>
        <v>14</v>
      </c>
      <c r="AK35" s="263" t="s">
        <v>166</v>
      </c>
      <c r="AL35" s="266">
        <v>3.0</v>
      </c>
      <c r="AM35" s="270">
        <f>IFERROR(__xludf.DUMMYFUNCTION("offset($E$8,match(AI35,ARRAYFORMULA(Proper(lower(REGEXEXTRACT($E$9:$E$14,""\w\w\w"")))),0),2)"),8.0)</f>
        <v>8</v>
      </c>
      <c r="AN35" s="270">
        <f t="shared" ref="AN35:AN45" si="12">if(AND(AL35 &gt; 0,AD35 ="X"), 3, )</f>
        <v>3</v>
      </c>
      <c r="AO35" s="427"/>
      <c r="AP35" s="276">
        <f>IFERROR(__xludf.DUMMYFUNCTION("if(
or(arrayformula(regexmatch($AR$76:$AR$110,AE35))),
   sum(arrayformula(iferror(value(regexextract(filter(
      $AR$76:$AR$110,
         $K$76:$K$110=""ACTIVE"",
         regexmatch($AR$76:$AR$110,AE35)),
       ""[-\d]+"")))))+tSkill,tSkill)"),0.0)</f>
        <v>0</v>
      </c>
      <c r="AQ35" s="288" t="str">
        <f>iferror(if(
if(hlookup(AE35,'Class Skills'!$1:$4,4,false)="Armor Penalty",'Formula References'!$Q$156,)
+if(AND(isnumber($C$38),AE35="Climb"),8,)
+if(AND(isnumber($C$39),AE35="Swim"),8,)
+if(AE35="Fly", Vlookup(Size,SizeTable,5,False),)
+if(AE35="Fly",if($M$37="Clumsy",-8,if($M$37="Poor",-4,if($M$37="Average",0,if($M$37="Good",4,if($M$37="Perfect",8,0))))))
+if(AE35="Stealth",Vlookup(Size,SizeTable,6,False))
=0,,
if(hlookup(AE35,'Class Skills'!$1:$4,4,false)="Armor Penalty",'Formula References'!$Q$156,)
+if(AND(isnumber($C$38),AE35="Climb"),8,)
+if(AND(isnumber($C$39),AE35="Swim"),8,)
+if(AE35="Fly", Vlookup(Size,SizeTable,5,False),)
+if(AE35="Fly",if($M$37="Clumsy",-8,if($M$37="Poor",-4,if($M$37="Average",0,if($M$37="Good",4,if($M$37="Perfect",8,0))))))
+if(AE35="Stealth",Vlookup(Size,SizeTable,6,False))),"")</f>
        <v/>
      </c>
      <c r="AR35" s="194"/>
      <c r="AS35" s="672"/>
      <c r="AT35" s="673"/>
      <c r="AU35" s="682"/>
      <c r="AV35" s="222"/>
      <c r="AW35" s="222"/>
      <c r="AX35" s="222"/>
      <c r="AY35" s="222"/>
      <c r="AZ35" s="222"/>
      <c r="BA35" s="222"/>
      <c r="BB35" s="222"/>
      <c r="BC35" s="222"/>
      <c r="BD35" s="194"/>
      <c r="BE35" s="675" t="s">
        <v>385</v>
      </c>
      <c r="BF35" s="676"/>
      <c r="BG35" s="683"/>
      <c r="BH35" s="222"/>
      <c r="BI35" s="222"/>
      <c r="BJ35" s="222"/>
      <c r="BK35" s="222"/>
      <c r="BL35" s="222"/>
      <c r="BM35" s="222"/>
      <c r="BN35" s="222"/>
      <c r="BO35" s="222"/>
      <c r="BP35" s="18"/>
      <c r="BQ35" s="19"/>
      <c r="BR35" s="19"/>
      <c r="BS35" s="19"/>
      <c r="BT35" s="19"/>
    </row>
    <row r="36">
      <c r="A36" s="15"/>
      <c r="B36" s="56" t="s">
        <v>798</v>
      </c>
      <c r="C36" s="60"/>
      <c r="D36" s="63"/>
      <c r="E36" s="684" t="s">
        <v>799</v>
      </c>
      <c r="F36" s="685"/>
      <c r="G36" s="685"/>
      <c r="H36" s="184" t="s">
        <v>801</v>
      </c>
      <c r="I36" s="184" t="s">
        <v>802</v>
      </c>
      <c r="J36" s="184" t="s">
        <v>803</v>
      </c>
      <c r="K36" s="188"/>
      <c r="L36" s="188" t="s">
        <v>804</v>
      </c>
      <c r="M36" s="687"/>
      <c r="N36" s="15"/>
      <c r="O36" s="56" t="s">
        <v>805</v>
      </c>
      <c r="P36" s="60"/>
      <c r="Q36" s="63"/>
      <c r="R36" s="685"/>
      <c r="S36" s="685"/>
      <c r="T36" s="15"/>
      <c r="U36" s="154" t="b">
        <v>0</v>
      </c>
      <c r="V36" s="667" t="str">
        <f t="shared" si="10"/>
        <v>Heroism</v>
      </c>
      <c r="W36" s="28"/>
      <c r="X36" s="29"/>
      <c r="Y36" s="154" t="b">
        <v>0</v>
      </c>
      <c r="Z36" s="667" t="str">
        <f t="shared" si="11"/>
        <v>(Custom Effect 9)</v>
      </c>
      <c r="AA36" s="28"/>
      <c r="AB36" s="668"/>
      <c r="AC36" s="15"/>
      <c r="AD36" s="244" t="str">
        <f>IF(OR(
  iferror(vlookup($AE$2, 'Class Skills'!$A:$BE,MATCH(AE36,'Class Skills'!$1:$1,0),false),"")="X",
  iferror(vlookup($AE$3, 'Class Skills'!$A:$BE,MATCH(AE36,'Class Skills'!$1:$1,0),false),"")="X",
  iferror(vlookup($AE$4, 'Class Skills'!$A:$BE,MATCH(AE36,'Class Skills'!$1:$1,0),false),"")="X",
  iferror(vlookup(#REF!, 'Class Skills'!$A:$BE,MATCH(AE36,'Class Skills'!$1:$1,0),false),"")="X"),"X",)</f>
        <v>X</v>
      </c>
      <c r="AE36" s="249" t="s">
        <v>731</v>
      </c>
      <c r="AF36" s="251"/>
      <c r="AG36" s="251"/>
      <c r="AH36" s="254"/>
      <c r="AI36" s="257" t="str">
        <f>HLOOKUP(AE36,'Class Skills'!$1:$3,3,false)</f>
        <v>Cha</v>
      </c>
      <c r="AJ36" s="260" t="str">
        <f>if(AND(HLOOKUP(AE36,'Class Skills'!$1:$2,2,false)="Trained Only",AL36&lt;1),,SUM(AL36:AQ36))</f>
        <v/>
      </c>
      <c r="AK36" s="263" t="s">
        <v>166</v>
      </c>
      <c r="AL36" s="266"/>
      <c r="AM36" s="270">
        <f>IFERROR(__xludf.DUMMYFUNCTION("offset($E$8,match(AI36,ARRAYFORMULA(Proper(lower(REGEXEXTRACT($E$9:$E$14,""\w\w\w"")))),0),2)"),0.0)</f>
        <v>0</v>
      </c>
      <c r="AN36" s="270" t="str">
        <f t="shared" si="12"/>
        <v/>
      </c>
      <c r="AO36" s="427"/>
      <c r="AP36" s="276">
        <f>IFERROR(__xludf.DUMMYFUNCTION("if(
or(arrayformula(regexmatch($AR$76:$AR$110,AE36))),
   sum(arrayformula(iferror(value(regexextract(filter(
      $AR$76:$AR$110,
         $K$76:$K$110=""ACTIVE"",
         regexmatch($AR$76:$AR$110,AE36)),
       ""[-\d]+"")))))+tSkill,tSkill)"),0.0)</f>
        <v>0</v>
      </c>
      <c r="AQ36" s="288" t="str">
        <f>iferror(if(
if(hlookup(AE36,'Class Skills'!$1:$4,4,false)="Armor Penalty",'Formula References'!$Q$156,)
+if(AND(isnumber($C$38),AE36="Climb"),8,)
+if(AND(isnumber($C$39),AE36="Swim"),8,)
+if(AE36="Fly", Vlookup(Size,SizeTable,5,False),)
+if(AE36="Fly",if($M$37="Clumsy",-8,if($M$37="Poor",-4,if($M$37="Average",0,if($M$37="Good",4,if($M$37="Perfect",8,0))))))
+if(AE36="Stealth",Vlookup(Size,SizeTable,6,False))
=0,,
if(hlookup(AE36,'Class Skills'!$1:$4,4,false)="Armor Penalty",'Formula References'!$Q$156,)
+if(AND(isnumber($C$38),AE36="Climb"),8,)
+if(AND(isnumber($C$39),AE36="Swim"),8,)
+if(AE36="Fly", Vlookup(Size,SizeTable,5,False),)
+if(AE36="Fly",if($M$37="Clumsy",-8,if($M$37="Poor",-4,if($M$37="Average",0,if($M$37="Good",4,if($M$37="Perfect",8,0))))))
+if(AE36="Stealth",Vlookup(Size,SizeTable,6,False))),"")</f>
        <v/>
      </c>
      <c r="AR36" s="194"/>
      <c r="AS36" s="672"/>
      <c r="AT36" s="673"/>
      <c r="AU36" s="682"/>
      <c r="AV36" s="222"/>
      <c r="AW36" s="222"/>
      <c r="AX36" s="222"/>
      <c r="AY36" s="222"/>
      <c r="AZ36" s="222"/>
      <c r="BA36" s="222"/>
      <c r="BB36" s="222"/>
      <c r="BC36" s="222"/>
      <c r="BD36" s="194"/>
      <c r="BE36" s="675" t="s">
        <v>411</v>
      </c>
      <c r="BF36" s="676"/>
      <c r="BG36" s="683"/>
      <c r="BH36" s="222"/>
      <c r="BI36" s="222"/>
      <c r="BJ36" s="222"/>
      <c r="BK36" s="222"/>
      <c r="BL36" s="222"/>
      <c r="BM36" s="222"/>
      <c r="BN36" s="222"/>
      <c r="BO36" s="222"/>
      <c r="BP36" s="18"/>
      <c r="BQ36" s="19"/>
      <c r="BR36" s="19"/>
      <c r="BS36" s="19"/>
      <c r="BT36" s="19"/>
    </row>
    <row r="37">
      <c r="A37" s="15"/>
      <c r="B37" s="15"/>
      <c r="C37" s="695" t="s">
        <v>801</v>
      </c>
      <c r="D37" s="695" t="s">
        <v>802</v>
      </c>
      <c r="E37" s="695" t="s">
        <v>803</v>
      </c>
      <c r="F37" s="15"/>
      <c r="G37" s="696" t="s">
        <v>120</v>
      </c>
      <c r="H37" s="698">
        <f>IFERROR(__xludf.DUMMYFUNCTION("if(OR('Formula References'!$O$154=""Heavy"",'Formula References'!$O$154=""Medium""),
   if(REGEXMATCH($M$36,'Formula References'!$O$154),AL$74,ROUNDUP(AL$74*2/3/5)*5)
   ,AL$74)"),30.0)</f>
        <v>30</v>
      </c>
      <c r="I37" s="699">
        <f t="shared" ref="I37:I39" si="13">if(isnumber(H37),(H37+$M$39)*2,)</f>
        <v>60</v>
      </c>
      <c r="J37" s="699">
        <f>if(isnumber(H37),IF(ISNUMBER($M$38),$M$38*(H37+$M$39),
   IF(NOT(OR('Formula References'!$O$154="Medium",'Formula References'!$O$154="Heavy")),4*(H37+$M$39),3*(H37+$M$39))),)</f>
        <v>120</v>
      </c>
      <c r="K37" s="11"/>
      <c r="L37" s="460" t="s">
        <v>806</v>
      </c>
      <c r="M37" s="700" t="s">
        <v>807</v>
      </c>
      <c r="N37" s="15"/>
      <c r="O37" s="695" t="s">
        <v>141</v>
      </c>
      <c r="P37" s="701"/>
      <c r="Q37" s="702" t="s">
        <v>808</v>
      </c>
      <c r="R37" s="702" t="s">
        <v>137</v>
      </c>
      <c r="S37" s="702" t="s">
        <v>123</v>
      </c>
      <c r="T37" s="15"/>
      <c r="U37" s="703"/>
      <c r="V37" s="704" t="str">
        <f t="shared" si="10"/>
        <v>Haste</v>
      </c>
      <c r="W37" s="705"/>
      <c r="X37" s="706"/>
      <c r="Y37" s="707"/>
      <c r="Z37" s="704" t="str">
        <f t="shared" si="11"/>
        <v>(Custom Effect 10)</v>
      </c>
      <c r="AA37" s="705"/>
      <c r="AB37" s="708"/>
      <c r="AC37" s="15"/>
      <c r="AD37" s="244" t="str">
        <f>IF(OR(
  iferror(vlookup($AE$2, 'Class Skills'!$A:$BE,MATCH(AE37,'Class Skills'!$1:$1,0),false),"")="X",
  iferror(vlookup($AE$3, 'Class Skills'!$A:$BE,MATCH(AE37,'Class Skills'!$1:$1,0),false),"")="X",
  iferror(vlookup($AE$4, 'Class Skills'!$A:$BE,MATCH(AE37,'Class Skills'!$1:$1,0),false),"")="X",
  iferror(vlookup(#REF!, 'Class Skills'!$A:$BE,MATCH(AE37,'Class Skills'!$1:$1,0),false),"")="X"),"X",)</f>
        <v/>
      </c>
      <c r="AE37" s="249" t="s">
        <v>732</v>
      </c>
      <c r="AF37" s="251"/>
      <c r="AG37" s="251"/>
      <c r="AH37" s="254"/>
      <c r="AI37" s="257" t="str">
        <f>HLOOKUP(AE37,'Class Skills'!$1:$3,3,false)</f>
        <v>Int</v>
      </c>
      <c r="AJ37" s="260" t="str">
        <f>if(AND(HLOOKUP(AE37,'Class Skills'!$1:$2,2,false)="Trained Only",AL37&lt;1),,SUM(AL37:AQ37))</f>
        <v/>
      </c>
      <c r="AK37" s="263" t="s">
        <v>166</v>
      </c>
      <c r="AL37" s="266"/>
      <c r="AM37" s="270">
        <f>IFERROR(__xludf.DUMMYFUNCTION("offset($E$8,match(AI37,ARRAYFORMULA(Proper(lower(REGEXEXTRACT($E$9:$E$14,""\w\w\w"")))),0),2)"),8.0)</f>
        <v>8</v>
      </c>
      <c r="AN37" s="270" t="str">
        <f t="shared" si="12"/>
        <v/>
      </c>
      <c r="AO37" s="427"/>
      <c r="AP37" s="276">
        <f>IFERROR(__xludf.DUMMYFUNCTION("if(
or(arrayformula(regexmatch($AR$76:$AR$110,AE37))),
   sum(arrayformula(iferror(value(regexextract(filter(
      $AR$76:$AR$110,
         $K$76:$K$110=""ACTIVE"",
         regexmatch($AR$76:$AR$110,AE37)),
       ""[-\d]+"")))))+tSkill,tSkill)"),0.0)</f>
        <v>0</v>
      </c>
      <c r="AQ37" s="288" t="str">
        <f>iferror(if(
if(hlookup(AE37,'Class Skills'!$1:$4,4,false)="Armor Penalty",'Formula References'!$Q$156,)
+if(AND(isnumber($C$38),AE37="Climb"),8,)
+if(AND(isnumber($C$39),AE37="Swim"),8,)
+if(AE37="Fly", Vlookup(Size,SizeTable,5,False),)
+if(AE37="Fly",if($M$37="Clumsy",-8,if($M$37="Poor",-4,if($M$37="Average",0,if($M$37="Good",4,if($M$37="Perfect",8,0))))))
+if(AE37="Stealth",Vlookup(Size,SizeTable,6,False))
=0,,
if(hlookup(AE37,'Class Skills'!$1:$4,4,false)="Armor Penalty",'Formula References'!$Q$156,)
+if(AND(isnumber($C$38),AE37="Climb"),8,)
+if(AND(isnumber($C$39),AE37="Swim"),8,)
+if(AE37="Fly", Vlookup(Size,SizeTable,5,False),)
+if(AE37="Fly",if($M$37="Clumsy",-8,if($M$37="Poor",-4,if($M$37="Average",0,if($M$37="Good",4,if($M$37="Perfect",8,0))))))
+if(AE37="Stealth",Vlookup(Size,SizeTable,6,False))),"")</f>
        <v/>
      </c>
      <c r="AR37" s="194"/>
      <c r="AS37" s="672"/>
      <c r="AT37" s="673"/>
      <c r="AU37" s="682"/>
      <c r="AV37" s="222"/>
      <c r="AW37" s="222"/>
      <c r="AX37" s="222"/>
      <c r="AY37" s="222"/>
      <c r="AZ37" s="222"/>
      <c r="BA37" s="222"/>
      <c r="BB37" s="222"/>
      <c r="BC37" s="222"/>
      <c r="BD37" s="194"/>
      <c r="BE37" s="675" t="s">
        <v>433</v>
      </c>
      <c r="BF37" s="676"/>
      <c r="BG37" s="677"/>
      <c r="BH37" s="222"/>
      <c r="BI37" s="222"/>
      <c r="BJ37" s="222"/>
      <c r="BK37" s="222"/>
      <c r="BL37" s="222"/>
      <c r="BM37" s="222"/>
      <c r="BN37" s="222"/>
      <c r="BO37" s="222"/>
      <c r="BP37" s="18"/>
      <c r="BQ37" s="19"/>
      <c r="BR37" s="19"/>
      <c r="BS37" s="19"/>
      <c r="BT37" s="19"/>
    </row>
    <row r="38">
      <c r="A38" s="15"/>
      <c r="B38" s="696" t="s">
        <v>261</v>
      </c>
      <c r="C38" s="698" t="str">
        <f>IFERROR(__xludf.DUMMYFUNCTION("if(isblank(AP74),,if(OR('Formula References'!$O$154=""Heavy"",'Formula References'!$O$154=""Medium""),
   if(REGEXMATCH($M$36,'Formula References'!$O$154),AP$74,ROUNDUP(AP$74*2/3/5)*5)
   ,AP$74))"),"")</f>
        <v/>
      </c>
      <c r="D38" s="699" t="str">
        <f t="shared" ref="D38:D39" si="14">if(isnumber(C38),(C38+$M$39)*2,)</f>
        <v/>
      </c>
      <c r="E38" s="699" t="str">
        <f>if(isnumber(C38),IF(ISNUMBER($M$38),$M$38*(C38+$M$39),
   IF(NOT(OR('Formula References'!$O$154="Medium",'Formula References'!$O$154="Heavy")),4*(C38+$M$39),3*(C38+$M$39))),)</f>
        <v/>
      </c>
      <c r="F38" s="15"/>
      <c r="G38" s="696" t="s">
        <v>478</v>
      </c>
      <c r="H38" s="698" t="str">
        <f>IFERROR(__xludf.DUMMYFUNCTION("if(isblank(AM74),,if(OR('Formula References'!$O$154=""Heavy"",'Formula References'!$O$154=""Medium""),
   if(REGEXMATCH($M$36,'Formula References'!$O$154),AM$74,ROUNDUP(AM$74*2/3/5)*5)
   ,AM$74))"),"")</f>
        <v/>
      </c>
      <c r="I38" s="699" t="str">
        <f t="shared" si="13"/>
        <v/>
      </c>
      <c r="J38" s="699" t="str">
        <f>if(isnumber(H38),IF(ISNUMBER($M$38),$M$38*(H38+$M$39),
   IF(NOT(OR('Formula References'!$O$154="Medium",'Formula References'!$O$154="Heavy")),4*(H38+$M$39),3*(H38+$M$39))),)</f>
        <v/>
      </c>
      <c r="K38" s="11"/>
      <c r="L38" s="460" t="s">
        <v>813</v>
      </c>
      <c r="M38" s="717"/>
      <c r="N38" s="15"/>
      <c r="O38" s="366">
        <f>SUM(Q38:S38)</f>
        <v>3</v>
      </c>
      <c r="P38" s="215" t="s">
        <v>145</v>
      </c>
      <c r="Q38" s="372">
        <f>Dexterity</f>
        <v>3</v>
      </c>
      <c r="R38" s="719"/>
      <c r="S38" s="721">
        <f>IFERROR(__xludf.DUMMYFUNCTION("if(
or(arrayformula(regexmatch($AR$76:$AR$110,""Initiative""))),
   sum(arrayformula(iferror(value(regexextract(filter(
      $AR$76:$AR$110,
         $K$76:$K$110=""ACTIVE"",
         regexmatch($AR$76:$AR$110,""Initiative"")),
       ""[-\d]+""))))),)"),0.0)</f>
        <v>0</v>
      </c>
      <c r="T38" s="15"/>
      <c r="U38" s="723" t="b">
        <v>0</v>
      </c>
      <c r="V38" s="725" t="s">
        <v>815</v>
      </c>
      <c r="W38" s="67"/>
      <c r="X38" s="69"/>
      <c r="Y38" s="727"/>
      <c r="Z38" s="725" t="s">
        <v>816</v>
      </c>
      <c r="AA38" s="67"/>
      <c r="AB38" s="69"/>
      <c r="AC38" s="15"/>
      <c r="AD38" s="244" t="str">
        <f>IF(OR(
  iferror(vlookup($AE$2, 'Class Skills'!$A:$BE,MATCH(AE38,'Class Skills'!$1:$1,0),false),"")="X",
  iferror(vlookup($AE$3, 'Class Skills'!$A:$BE,MATCH(AE38,'Class Skills'!$1:$1,0),false),"")="X",
  iferror(vlookup($AE$4, 'Class Skills'!$A:$BE,MATCH(AE38,'Class Skills'!$1:$1,0),false),"")="X",
  iferror(vlookup(#REF!, 'Class Skills'!$A:$BE,MATCH(AE38,'Class Skills'!$1:$1,0),false),"")="X"),"X",)</f>
        <v/>
      </c>
      <c r="AE38" s="249" t="s">
        <v>733</v>
      </c>
      <c r="AF38" s="251"/>
      <c r="AG38" s="251"/>
      <c r="AH38" s="254"/>
      <c r="AI38" s="257" t="str">
        <f>HLOOKUP(AE38,'Class Skills'!$1:$3,3,false)</f>
        <v>Int</v>
      </c>
      <c r="AJ38" s="260" t="str">
        <f>if(AND(HLOOKUP(AE38,'Class Skills'!$1:$2,2,false)="Trained Only",AL38&lt;1),,SUM(AL38:AQ38))</f>
        <v/>
      </c>
      <c r="AK38" s="263" t="s">
        <v>166</v>
      </c>
      <c r="AL38" s="266"/>
      <c r="AM38" s="270">
        <f>IFERROR(__xludf.DUMMYFUNCTION("offset($E$8,match(AI38,ARRAYFORMULA(Proper(lower(REGEXEXTRACT($E$9:$E$14,""\w\w\w"")))),0),2)"),8.0)</f>
        <v>8</v>
      </c>
      <c r="AN38" s="270" t="str">
        <f t="shared" si="12"/>
        <v/>
      </c>
      <c r="AO38" s="427"/>
      <c r="AP38" s="276">
        <f>IFERROR(__xludf.DUMMYFUNCTION("if(
or(arrayformula(regexmatch($AR$76:$AR$110,AE38))),
   sum(arrayformula(iferror(value(regexextract(filter(
      $AR$76:$AR$110,
         $K$76:$K$110=""ACTIVE"",
         regexmatch($AR$76:$AR$110,AE38)),
       ""[-\d]+"")))))+tSkill,tSkill)"),0.0)</f>
        <v>0</v>
      </c>
      <c r="AQ38" s="288" t="str">
        <f>iferror(if(
if(hlookup(AE38,'Class Skills'!$1:$4,4,false)="Armor Penalty",'Formula References'!$Q$156,)
+if(AND(isnumber($C$38),AE38="Climb"),8,)
+if(AND(isnumber($C$39),AE38="Swim"),8,)
+if(AE38="Fly", Vlookup(Size,SizeTable,5,False),)
+if(AE38="Fly",if($M$37="Clumsy",-8,if($M$37="Poor",-4,if($M$37="Average",0,if($M$37="Good",4,if($M$37="Perfect",8,0))))))
+if(AE38="Stealth",Vlookup(Size,SizeTable,6,False))
=0,,
if(hlookup(AE38,'Class Skills'!$1:$4,4,false)="Armor Penalty",'Formula References'!$Q$156,)
+if(AND(isnumber($C$38),AE38="Climb"),8,)
+if(AND(isnumber($C$39),AE38="Swim"),8,)
+if(AE38="Fly", Vlookup(Size,SizeTable,5,False),)
+if(AE38="Fly",if($M$37="Clumsy",-8,if($M$37="Poor",-4,if($M$37="Average",0,if($M$37="Good",4,if($M$37="Perfect",8,0))))))
+if(AE38="Stealth",Vlookup(Size,SizeTable,6,False))),"")</f>
        <v/>
      </c>
      <c r="AR38" s="194"/>
      <c r="AS38" s="672"/>
      <c r="AT38" s="673"/>
      <c r="AU38" s="674"/>
      <c r="AV38" s="222"/>
      <c r="AW38" s="222"/>
      <c r="AX38" s="222"/>
      <c r="AY38" s="222"/>
      <c r="AZ38" s="222"/>
      <c r="BA38" s="222"/>
      <c r="BB38" s="222"/>
      <c r="BC38" s="222"/>
      <c r="BD38" s="194"/>
      <c r="BE38" s="675" t="s">
        <v>450</v>
      </c>
      <c r="BF38" s="676"/>
      <c r="BG38" s="677"/>
      <c r="BH38" s="222"/>
      <c r="BI38" s="222"/>
      <c r="BJ38" s="222"/>
      <c r="BK38" s="222"/>
      <c r="BL38" s="222"/>
      <c r="BM38" s="222"/>
      <c r="BN38" s="222"/>
      <c r="BO38" s="222"/>
      <c r="BP38" s="18"/>
      <c r="BQ38" s="19"/>
      <c r="BR38" s="19"/>
      <c r="BS38" s="19"/>
      <c r="BT38" s="19"/>
    </row>
    <row r="39" ht="4.5" customHeight="1">
      <c r="A39" s="15"/>
      <c r="B39" s="696" t="s">
        <v>740</v>
      </c>
      <c r="C39" s="698" t="str">
        <f>IFERROR(__xludf.DUMMYFUNCTION("if(isblank(AN74),,if(OR('Formula References'!$O$154=""Heavy"",'Formula References'!$O$154=""Medium""),
   if(REGEXMATCH($M$36,'Formula References'!$O$154),AN$74,ROUNDUP(AN$74*2/3/5)*5)
   ,AN$74))"),"")</f>
        <v/>
      </c>
      <c r="D39" s="699" t="str">
        <f t="shared" si="14"/>
        <v/>
      </c>
      <c r="E39" s="699" t="str">
        <f>if(isnumber(C39),IF(ISNUMBER($M$38),$M$38*(C39+$M$39),
   IF(NOT(OR('Formula References'!$O$154="Medium",'Formula References'!$O$154="Heavy")),4*(C39+$M$39),3*(C39+$M$39))),)</f>
        <v/>
      </c>
      <c r="F39" s="15"/>
      <c r="G39" s="696" t="s">
        <v>821</v>
      </c>
      <c r="H39" s="698" t="str">
        <f>IFERROR(__xludf.DUMMYFUNCTION("if(isblank(AO74),,if(OR('Formula References'!$O$154=""Heavy"",'Formula References'!$O$154=""Medium""),
   if(REGEXMATCH($M$36,'Formula References'!$O$154),AO$74,ROUNDUP(AO$74*2/3/5)*5)
   ,AO$74))"),"")</f>
        <v/>
      </c>
      <c r="I39" s="699" t="str">
        <f t="shared" si="13"/>
        <v/>
      </c>
      <c r="J39" s="699" t="str">
        <f>if(isnumber(H39),IF(ISNUMBER($M$38),$M$38*(H39+$M$39),
   IF(NOT(OR('Formula References'!$O$154="Medium",'Formula References'!$O$154="Heavy")),4*(H39+$M$39),3*(H39+$M$39))),)</f>
        <v/>
      </c>
      <c r="K39" s="11"/>
      <c r="L39" s="460" t="s">
        <v>822</v>
      </c>
      <c r="M39" s="717"/>
      <c r="N39" s="15"/>
      <c r="O39" s="15"/>
      <c r="P39" s="15"/>
      <c r="Q39" s="15"/>
      <c r="R39" s="15"/>
      <c r="S39" s="15"/>
      <c r="T39" s="15"/>
      <c r="U39" s="735"/>
      <c r="V39" s="736" t="s">
        <v>823</v>
      </c>
      <c r="W39" s="737"/>
      <c r="X39" s="738"/>
      <c r="Y39" s="735"/>
      <c r="Z39" s="736" t="s">
        <v>824</v>
      </c>
      <c r="AA39" s="737"/>
      <c r="AB39" s="738"/>
      <c r="AC39" s="15"/>
      <c r="AD39" s="244" t="str">
        <f>IF(OR(
  iferror(vlookup($AE$2, 'Class Skills'!$A:$BE,MATCH(AE39,'Class Skills'!$1:$1,0),false),"")="X",
  iferror(vlookup($AE$3, 'Class Skills'!$A:$BE,MATCH(AE39,'Class Skills'!$1:$1,0),false),"")="X",
  iferror(vlookup($AE$4, 'Class Skills'!$A:$BE,MATCH(AE39,'Class Skills'!$1:$1,0),false),"")="X",
  iferror(vlookup(#REF!, 'Class Skills'!$A:$BE,MATCH(AE39,'Class Skills'!$1:$1,0),false),"")="X"),"X",)</f>
        <v/>
      </c>
      <c r="AE39" s="249" t="s">
        <v>734</v>
      </c>
      <c r="AF39" s="251"/>
      <c r="AG39" s="251"/>
      <c r="AH39" s="254"/>
      <c r="AI39" s="257" t="str">
        <f>HLOOKUP(AE39,'Class Skills'!$1:$3,3,false)</f>
        <v>Int</v>
      </c>
      <c r="AJ39" s="260" t="str">
        <f>if(AND(HLOOKUP(AE39,'Class Skills'!$1:$2,2,false)="Trained Only",AL39&lt;1),,SUM(AL39:AQ39))</f>
        <v/>
      </c>
      <c r="AK39" s="263" t="s">
        <v>166</v>
      </c>
      <c r="AL39" s="266"/>
      <c r="AM39" s="270">
        <f>IFERROR(__xludf.DUMMYFUNCTION("offset($E$8,match(AI39,ARRAYFORMULA(Proper(lower(REGEXEXTRACT($E$9:$E$14,""\w\w\w"")))),0),2)"),8.0)</f>
        <v>8</v>
      </c>
      <c r="AN39" s="270" t="str">
        <f t="shared" si="12"/>
        <v/>
      </c>
      <c r="AO39" s="427"/>
      <c r="AP39" s="276">
        <f>IFERROR(__xludf.DUMMYFUNCTION("if(
or(arrayformula(regexmatch($AR$76:$AR$110,AE39))),
   sum(arrayformula(iferror(value(regexextract(filter(
      $AR$76:$AR$110,
         $K$76:$K$110=""ACTIVE"",
         regexmatch($AR$76:$AR$110,AE39)),
       ""[-\d]+"")))))+tSkill,tSkill)"),0.0)</f>
        <v>0</v>
      </c>
      <c r="AQ39" s="288" t="str">
        <f>iferror(if(
if(hlookup(AE39,'Class Skills'!$1:$4,4,false)="Armor Penalty",'Formula References'!$Q$156,)
+if(AND(isnumber($C$38),AE39="Climb"),8,)
+if(AND(isnumber($C$39),AE39="Swim"),8,)
+if(AE39="Fly", Vlookup(Size,SizeTable,5,False),)
+if(AE39="Fly",if($M$37="Clumsy",-8,if($M$37="Poor",-4,if($M$37="Average",0,if($M$37="Good",4,if($M$37="Perfect",8,0))))))
+if(AE39="Stealth",Vlookup(Size,SizeTable,6,False))
=0,,
if(hlookup(AE39,'Class Skills'!$1:$4,4,false)="Armor Penalty",'Formula References'!$Q$156,)
+if(AND(isnumber($C$38),AE39="Climb"),8,)
+if(AND(isnumber($C$39),AE39="Swim"),8,)
+if(AE39="Fly", Vlookup(Size,SizeTable,5,False),)
+if(AE39="Fly",if($M$37="Clumsy",-8,if($M$37="Poor",-4,if($M$37="Average",0,if($M$37="Good",4,if($M$37="Perfect",8,0))))))
+if(AE39="Stealth",Vlookup(Size,SizeTable,6,False))),"")</f>
        <v/>
      </c>
      <c r="AR39" s="194"/>
      <c r="AS39" s="672"/>
      <c r="AT39" s="673"/>
      <c r="AU39" s="674"/>
      <c r="AV39" s="222"/>
      <c r="AW39" s="222"/>
      <c r="AX39" s="222"/>
      <c r="AY39" s="222"/>
      <c r="AZ39" s="222"/>
      <c r="BA39" s="222"/>
      <c r="BB39" s="222"/>
      <c r="BC39" s="222"/>
      <c r="BD39" s="194"/>
      <c r="BE39" s="675" t="s">
        <v>476</v>
      </c>
      <c r="BF39" s="676"/>
      <c r="BG39" s="677"/>
      <c r="BH39" s="222"/>
      <c r="BI39" s="222"/>
      <c r="BJ39" s="222"/>
      <c r="BK39" s="222"/>
      <c r="BL39" s="222"/>
      <c r="BM39" s="222"/>
      <c r="BN39" s="222"/>
      <c r="BO39" s="222"/>
      <c r="BP39" s="18"/>
      <c r="BQ39" s="19"/>
      <c r="BR39" s="19"/>
      <c r="BS39" s="19"/>
      <c r="BT39" s="19"/>
    </row>
    <row r="40">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c r="AA40" s="15"/>
      <c r="AB40" s="15"/>
      <c r="AC40" s="15"/>
      <c r="AD40" s="244" t="str">
        <f>IF(OR(
  iferror(vlookup($AE$2, 'Class Skills'!$A:$BE,MATCH(AE40,'Class Skills'!$1:$1,0),false),"")="X",
  iferror(vlookup($AE$3, 'Class Skills'!$A:$BE,MATCH(AE40,'Class Skills'!$1:$1,0),false),"")="X",
  iferror(vlookup($AE$4, 'Class Skills'!$A:$BE,MATCH(AE40,'Class Skills'!$1:$1,0),false),"")="X",
  iferror(vlookup(#REF!, 'Class Skills'!$A:$BE,MATCH(AE40,'Class Skills'!$1:$1,0),false),"")="X"),"X",)</f>
        <v/>
      </c>
      <c r="AE40" s="249" t="s">
        <v>735</v>
      </c>
      <c r="AF40" s="251"/>
      <c r="AG40" s="251"/>
      <c r="AH40" s="254"/>
      <c r="AI40" s="257" t="str">
        <f>HLOOKUP(AE40,'Class Skills'!$1:$3,3,false)</f>
        <v>Int</v>
      </c>
      <c r="AJ40" s="260" t="str">
        <f>if(AND(HLOOKUP(AE40,'Class Skills'!$1:$2,2,false)="Trained Only",AL40&lt;1),,SUM(AL40:AQ40))</f>
        <v/>
      </c>
      <c r="AK40" s="263" t="s">
        <v>166</v>
      </c>
      <c r="AL40" s="266"/>
      <c r="AM40" s="270">
        <f>IFERROR(__xludf.DUMMYFUNCTION("offset($E$8,match(AI40,ARRAYFORMULA(Proper(lower(REGEXEXTRACT($E$9:$E$14,""\w\w\w"")))),0),2)"),8.0)</f>
        <v>8</v>
      </c>
      <c r="AN40" s="270" t="str">
        <f t="shared" si="12"/>
        <v/>
      </c>
      <c r="AO40" s="427"/>
      <c r="AP40" s="276">
        <f>IFERROR(__xludf.DUMMYFUNCTION("if(
or(arrayformula(regexmatch($AR$76:$AR$110,AE40))),
   sum(arrayformula(iferror(value(regexextract(filter(
      $AR$76:$AR$110,
         $K$76:$K$110=""ACTIVE"",
         regexmatch($AR$76:$AR$110,AE40)),
       ""[-\d]+"")))))+tSkill,tSkill)"),0.0)</f>
        <v>0</v>
      </c>
      <c r="AQ40" s="288" t="str">
        <f>iferror(if(
if(hlookup(AE40,'Class Skills'!$1:$4,4,false)="Armor Penalty",'Formula References'!$Q$156,)
+if(AND(isnumber($C$38),AE40="Climb"),8,)
+if(AND(isnumber($C$39),AE40="Swim"),8,)
+if(AE40="Fly", Vlookup(Size,SizeTable,5,False),)
+if(AE40="Fly",if($M$37="Clumsy",-8,if($M$37="Poor",-4,if($M$37="Average",0,if($M$37="Good",4,if($M$37="Perfect",8,0))))))
+if(AE40="Stealth",Vlookup(Size,SizeTable,6,False))
=0,,
if(hlookup(AE40,'Class Skills'!$1:$4,4,false)="Armor Penalty",'Formula References'!$Q$156,)
+if(AND(isnumber($C$38),AE40="Climb"),8,)
+if(AND(isnumber($C$39),AE40="Swim"),8,)
+if(AE40="Fly", Vlookup(Size,SizeTable,5,False),)
+if(AE40="Fly",if($M$37="Clumsy",-8,if($M$37="Poor",-4,if($M$37="Average",0,if($M$37="Good",4,if($M$37="Perfect",8,0))))))
+if(AE40="Stealth",Vlookup(Size,SizeTable,6,False))),"")</f>
        <v/>
      </c>
      <c r="AR40" s="194"/>
      <c r="AS40" s="672"/>
      <c r="AT40" s="673"/>
      <c r="AU40" s="674"/>
      <c r="AV40" s="222"/>
      <c r="AW40" s="222"/>
      <c r="AX40" s="222"/>
      <c r="AY40" s="222"/>
      <c r="AZ40" s="222"/>
      <c r="BA40" s="222"/>
      <c r="BB40" s="222"/>
      <c r="BC40" s="222"/>
      <c r="BD40" s="194"/>
      <c r="BE40" s="675" t="s">
        <v>503</v>
      </c>
      <c r="BF40" s="676"/>
      <c r="BG40" s="683"/>
      <c r="BH40" s="222"/>
      <c r="BI40" s="222"/>
      <c r="BJ40" s="222"/>
      <c r="BK40" s="222"/>
      <c r="BL40" s="222"/>
      <c r="BM40" s="222"/>
      <c r="BN40" s="222"/>
      <c r="BO40" s="222"/>
      <c r="BP40" s="18"/>
      <c r="BQ40" s="19"/>
      <c r="BR40" s="19"/>
      <c r="BS40" s="19"/>
      <c r="BT40" s="19"/>
    </row>
    <row r="41">
      <c r="A41" s="15"/>
      <c r="B41" s="432" t="s">
        <v>851</v>
      </c>
      <c r="C41" s="432" t="s">
        <v>852</v>
      </c>
      <c r="D41" s="432" t="s">
        <v>648</v>
      </c>
      <c r="E41" s="769" t="s">
        <v>853</v>
      </c>
      <c r="F41" s="191"/>
      <c r="G41" s="191"/>
      <c r="H41" s="191"/>
      <c r="I41" s="191"/>
      <c r="J41" s="191"/>
      <c r="K41" s="191"/>
      <c r="L41" s="191"/>
      <c r="M41" s="184" t="s">
        <v>125</v>
      </c>
      <c r="N41" s="184" t="s">
        <v>855</v>
      </c>
      <c r="O41" s="184" t="s">
        <v>856</v>
      </c>
      <c r="P41" s="184" t="s">
        <v>12</v>
      </c>
      <c r="Q41" s="184" t="s">
        <v>857</v>
      </c>
      <c r="R41" s="184" t="s">
        <v>858</v>
      </c>
      <c r="S41" s="771" t="str">
        <f>iferror(IF(OR((HLOOKUP(#REF!,'Class Skills'!$3:$4,2,false)="Trained Only"),#REF!="T (Trained Only)"),"*",),"")</f>
        <v/>
      </c>
      <c r="T41" s="184" t="s">
        <v>861</v>
      </c>
      <c r="U41" s="191"/>
      <c r="V41" s="191"/>
      <c r="W41" s="191"/>
      <c r="X41" s="184" t="s">
        <v>862</v>
      </c>
      <c r="Y41" s="191"/>
      <c r="Z41" s="184" t="s">
        <v>656</v>
      </c>
      <c r="AA41" s="191"/>
      <c r="AB41" s="184" t="s">
        <v>864</v>
      </c>
      <c r="AC41" s="15"/>
      <c r="AD41" s="244" t="str">
        <f>IF(OR(
  iferror(vlookup($AE$2, 'Class Skills'!$A:$BE,MATCH(AE41,'Class Skills'!$1:$1,0),false),"")="X",
  iferror(vlookup($AE$3, 'Class Skills'!$A:$BE,MATCH(AE41,'Class Skills'!$1:$1,0),false),"")="X",
  iferror(vlookup($AE$4, 'Class Skills'!$A:$BE,MATCH(AE41,'Class Skills'!$1:$1,0),false),"")="X",
  iferror(vlookup(#REF!, 'Class Skills'!$A:$BE,MATCH(AE41,'Class Skills'!$1:$1,0),false),"")="X"),"X",)</f>
        <v>X</v>
      </c>
      <c r="AE41" s="249" t="s">
        <v>736</v>
      </c>
      <c r="AF41" s="251"/>
      <c r="AG41" s="776"/>
      <c r="AH41" s="776"/>
      <c r="AI41" s="257" t="str">
        <f>HLOOKUP(AE41,'Class Skills'!$1:$3,3,false)</f>
        <v>Int</v>
      </c>
      <c r="AJ41" s="260">
        <f>if(AND(HLOOKUP(AE41,'Class Skills'!$1:$2,2,false)="Trained Only",AL41&lt;1),,SUM(AL41:AQ41))</f>
        <v>22</v>
      </c>
      <c r="AK41" s="263" t="s">
        <v>166</v>
      </c>
      <c r="AL41" s="266">
        <v>3.0</v>
      </c>
      <c r="AM41" s="270">
        <f>IFERROR(__xludf.DUMMYFUNCTION("offset($E$8,match(AI41,ARRAYFORMULA(Proper(lower(REGEXEXTRACT($E$9:$E$14,""\w\w\w"")))),0),2)"),8.0)</f>
        <v>8</v>
      </c>
      <c r="AN41" s="270">
        <f t="shared" si="12"/>
        <v>3</v>
      </c>
      <c r="AO41" s="220">
        <v>8.0</v>
      </c>
      <c r="AP41" s="276">
        <f>IFERROR(__xludf.DUMMYFUNCTION("if(
or(arrayformula(regexmatch($AR$76:$AR$110,AE41))),
   sum(arrayformula(iferror(value(regexextract(filter(
      $AR$76:$AR$110,
         $K$76:$K$110=""ACTIVE"",
         regexmatch($AR$76:$AR$110,AE41)),
       ""[-\d]+"")))))+tSkill,tSkill)"),0.0)</f>
        <v>0</v>
      </c>
      <c r="AQ41" s="288" t="str">
        <f>iferror(if(
if(hlookup(AE41,'Class Skills'!$1:$4,4,false)="Armor Penalty",'Formula References'!$Q$156,)
+if(AND(isnumber($C$38),AE41="Climb"),8,)
+if(AND(isnumber($C$39),AE41="Swim"),8,)
+if(AE41="Fly", Vlookup(Size,SizeTable,5,False),)
+if(AE41="Fly",if($M$37="Clumsy",-8,if($M$37="Poor",-4,if($M$37="Average",0,if($M$37="Good",4,if($M$37="Perfect",8,0))))))
+if(AE41="Stealth",Vlookup(Size,SizeTable,6,False))
=0,,
if(hlookup(AE41,'Class Skills'!$1:$4,4,false)="Armor Penalty",'Formula References'!$Q$156,)
+if(AND(isnumber($C$38),AE41="Climb"),8,)
+if(AND(isnumber($C$39),AE41="Swim"),8,)
+if(AE41="Fly", Vlookup(Size,SizeTable,5,False),)
+if(AE41="Fly",if($M$37="Clumsy",-8,if($M$37="Poor",-4,if($M$37="Average",0,if($M$37="Good",4,if($M$37="Perfect",8,0))))))
+if(AE41="Stealth",Vlookup(Size,SizeTable,6,False))),"")</f>
        <v/>
      </c>
      <c r="AR41" s="194"/>
      <c r="AS41" s="672"/>
      <c r="AT41" s="673"/>
      <c r="AU41" s="682"/>
      <c r="AV41" s="222"/>
      <c r="AW41" s="222"/>
      <c r="AX41" s="222"/>
      <c r="AY41" s="222"/>
      <c r="AZ41" s="222"/>
      <c r="BA41" s="222"/>
      <c r="BB41" s="222"/>
      <c r="BC41" s="222"/>
      <c r="BD41" s="194"/>
      <c r="BE41" s="675" t="s">
        <v>529</v>
      </c>
      <c r="BF41" s="676"/>
      <c r="BG41" s="683"/>
      <c r="BH41" s="222"/>
      <c r="BI41" s="222"/>
      <c r="BJ41" s="222"/>
      <c r="BK41" s="222"/>
      <c r="BL41" s="222"/>
      <c r="BM41" s="222"/>
      <c r="BN41" s="222"/>
      <c r="BO41" s="222"/>
      <c r="BP41" s="18"/>
      <c r="BQ41" s="19"/>
      <c r="BR41" s="19"/>
      <c r="BS41" s="19"/>
      <c r="BT41" s="19"/>
    </row>
    <row r="42">
      <c r="A42" s="15"/>
      <c r="B42" s="560"/>
      <c r="C42" s="561"/>
      <c r="D42" s="780"/>
      <c r="E42" s="781"/>
      <c r="F42" s="23"/>
      <c r="G42" s="23"/>
      <c r="H42" s="23"/>
      <c r="I42" s="23"/>
      <c r="J42" s="23"/>
      <c r="K42" s="23"/>
      <c r="L42" s="564"/>
      <c r="M42" s="782"/>
      <c r="N42" s="783"/>
      <c r="O42" s="784">
        <f>if(isnumber($D$42),$D$42,)+iferror(VLOOKUP($M$42,'Formula References'!$A$150:$H$206,2,false),"")+IFERROR(VLOOKUP($N$42,'Formula References'!$A$209:$H$232,2,false),"")</f>
        <v>0</v>
      </c>
      <c r="P42" s="784">
        <f>MIN(0,-1*iferror(VLOOKUP($M$42,'Formula References'!$A$150:$H$206,4,false),"")+IFERROR(VLOOKUP($N$42,'Formula References'!$A$209:$H$232,4,false),"")+B42+if(OR(D42&gt;0,D42="Mwk"),1,))</f>
        <v>0</v>
      </c>
      <c r="Q42" s="784" t="str">
        <f>if(
iferror(OR(isblank($M$42),isblank(VLOOKUP($M$42,'Formula References'!$A$150:$H$206,3,false))),""),,
iferror(VLOOKUP($M$42,'Formula References'!$A$150:$H$206,3,false),"")+IFERROR(VLOOKUP($N$42,'Formula References'!$A$209:$H$232,3,false),"")+C42)</f>
        <v/>
      </c>
      <c r="R42" s="787">
        <f>MAX(0,iferror(VLOOKUP($M$42,'Formula References'!$A$150:$H$206,5,false),"")+IFERROR(VLOOKUP($N$42,'Formula References'!$A$209:$H$232,5,false),""))</f>
        <v>0</v>
      </c>
      <c r="S42" s="788" t="str">
        <f t="shared" ref="S42:S43" si="15">iferror(IF(OR((HLOOKUP(T42,'Class Skills'!$3:$4,2,false)="Trained Only"),#REF!="T (Trained Only)"),"*",),"")</f>
        <v/>
      </c>
      <c r="T42" s="789"/>
      <c r="U42" s="23"/>
      <c r="V42" s="23"/>
      <c r="W42" s="564"/>
      <c r="X42" s="791"/>
      <c r="Y42" s="564"/>
      <c r="Z42" s="792"/>
      <c r="AA42" s="564"/>
      <c r="AB42" s="793"/>
      <c r="AC42" s="15"/>
      <c r="AD42" s="244" t="str">
        <f>IF(OR(
  iferror(vlookup($AE$2, 'Class Skills'!$A:$BE,MATCH(AE42,'Class Skills'!$1:$1,0),false),"")="X",
  iferror(vlookup($AE$3, 'Class Skills'!$A:$BE,MATCH(AE42,'Class Skills'!$1:$1,0),false),"")="X",
  iferror(vlookup($AE$4, 'Class Skills'!$A:$BE,MATCH(AE42,'Class Skills'!$1:$1,0),false),"")="X",
  iferror(vlookup(#REF!, 'Class Skills'!$A:$BE,MATCH(AE42,'Class Skills'!$1:$1,0),false),"")="X"),"X",)</f>
        <v/>
      </c>
      <c r="AE42" s="249" t="s">
        <v>739</v>
      </c>
      <c r="AF42" s="251"/>
      <c r="AG42" s="776"/>
      <c r="AH42" s="776"/>
      <c r="AI42" s="257" t="str">
        <f>HLOOKUP(AE42,'Class Skills'!$1:$3,3,false)</f>
        <v>Dex</v>
      </c>
      <c r="AJ42" s="260" t="str">
        <f>if(AND(HLOOKUP(AE42,'Class Skills'!$1:$2,2,false)="Trained Only",AL42&lt;1),,SUM(AL42:AQ42))</f>
        <v/>
      </c>
      <c r="AK42" s="263" t="s">
        <v>166</v>
      </c>
      <c r="AL42" s="266"/>
      <c r="AM42" s="270">
        <f>IFERROR(__xludf.DUMMYFUNCTION("offset($E$8,match(AI42,ARRAYFORMULA(Proper(lower(REGEXEXTRACT($E$9:$E$14,""\w\w\w"")))),0),2)"),3.0)</f>
        <v>3</v>
      </c>
      <c r="AN42" s="270" t="str">
        <f t="shared" si="12"/>
        <v/>
      </c>
      <c r="AO42" s="427"/>
      <c r="AP42" s="276">
        <f>IFERROR(__xludf.DUMMYFUNCTION("if(
or(arrayformula(regexmatch($AR$76:$AR$110,AE42))),
   sum(arrayformula(iferror(value(regexextract(filter(
      $AR$76:$AR$110,
         $K$76:$K$110=""ACTIVE"",
         regexmatch($AR$76:$AR$110,AE42)),
       ""[-\d]+"")))))+tSkill,tSkill)"),0.0)</f>
        <v>0</v>
      </c>
      <c r="AQ42" s="288" t="str">
        <f>iferror(if(
if(hlookup(AE42,'Class Skills'!$1:$4,4,false)="Armor Penalty",'Formula References'!$Q$156,)
+if(AND(isnumber($C$38),AE42="Climb"),8,)
+if(AND(isnumber($C$39),AE42="Swim"),8,)
+if(AE42="Fly", Vlookup(Size,SizeTable,5,False),)
+if(AE42="Fly",if($M$37="Clumsy",-8,if($M$37="Poor",-4,if($M$37="Average",0,if($M$37="Good",4,if($M$37="Perfect",8,0))))))
+if(AE42="Stealth",Vlookup(Size,SizeTable,6,False))
=0,,
if(hlookup(AE42,'Class Skills'!$1:$4,4,false)="Armor Penalty",'Formula References'!$Q$156,)
+if(AND(isnumber($C$38),AE42="Climb"),8,)
+if(AND(isnumber($C$39),AE42="Swim"),8,)
+if(AE42="Fly", Vlookup(Size,SizeTable,5,False),)
+if(AE42="Fly",if($M$37="Clumsy",-8,if($M$37="Poor",-4,if($M$37="Average",0,if($M$37="Good",4,if($M$37="Perfect",8,0))))))
+if(AE42="Stealth",Vlookup(Size,SizeTable,6,False))),"")</f>
        <v/>
      </c>
      <c r="AR42" s="194"/>
      <c r="AS42" s="672"/>
      <c r="AT42" s="673"/>
      <c r="AU42" s="682"/>
      <c r="AV42" s="222"/>
      <c r="AW42" s="222"/>
      <c r="AX42" s="222"/>
      <c r="AY42" s="222"/>
      <c r="AZ42" s="222"/>
      <c r="BA42" s="222"/>
      <c r="BB42" s="222"/>
      <c r="BC42" s="222"/>
      <c r="BD42" s="194"/>
      <c r="BE42" s="675" t="s">
        <v>556</v>
      </c>
      <c r="BF42" s="676"/>
      <c r="BG42" s="683"/>
      <c r="BH42" s="222"/>
      <c r="BI42" s="222"/>
      <c r="BJ42" s="222"/>
      <c r="BK42" s="222"/>
      <c r="BL42" s="222"/>
      <c r="BM42" s="222"/>
      <c r="BN42" s="222"/>
      <c r="BO42" s="222"/>
      <c r="BP42" s="18"/>
      <c r="BQ42" s="19"/>
      <c r="BR42" s="19"/>
      <c r="BS42" s="19"/>
      <c r="BT42" s="19"/>
    </row>
    <row r="43">
      <c r="A43" s="15"/>
      <c r="B43" s="560"/>
      <c r="C43" s="561"/>
      <c r="D43" s="780"/>
      <c r="E43" s="781"/>
      <c r="F43" s="23"/>
      <c r="G43" s="23"/>
      <c r="H43" s="23"/>
      <c r="I43" s="23"/>
      <c r="J43" s="23"/>
      <c r="K43" s="23"/>
      <c r="L43" s="564"/>
      <c r="M43" s="782"/>
      <c r="N43" s="782"/>
      <c r="O43" s="784">
        <f>if(isnumber($D$43),$D$43,)+iferror(VLOOKUP($M$43,'Formula References'!$A$150:$H$206,2,false),"")+IFERROR(VLOOKUP($N$43,'Formula References'!$A$209:$H$232,2,false),"")</f>
        <v>0</v>
      </c>
      <c r="P43" s="784">
        <f>MIN(0,-1*iferror(VLOOKUP($M$43,'Formula References'!$A$150:$H$206,4,false),"")+IFERROR(VLOOKUP($N$43,'Formula References'!$A$209:$H$232,4,false),"")+B43+if(OR(D43&gt;0,D43="Mwk"),1,))</f>
        <v>0</v>
      </c>
      <c r="Q43" s="784" t="str">
        <f>if(
iferror(OR(isblank($M$43),isblank(VLOOKUP($M$43,'Formula References'!$A$150:$H$206,3,false))),""),,
iferror(VLOOKUP($M$43,'Formula References'!$A$150:$H$206,3,false),"")+IFERROR(VLOOKUP($N$43,'Formula References'!$A$209:$H$232,3,false),"")+C43)</f>
        <v/>
      </c>
      <c r="R43" s="787">
        <f>MAX(0,iferror(VLOOKUP($M$43,'Formula References'!$A$150:$H$206,5,false),"")+IFERROR(VLOOKUP($N$43,'Formula References'!$A$209:$H$232,5,false),""))</f>
        <v>0</v>
      </c>
      <c r="S43" s="788" t="str">
        <f t="shared" si="15"/>
        <v/>
      </c>
      <c r="T43" s="789"/>
      <c r="U43" s="23"/>
      <c r="V43" s="23"/>
      <c r="W43" s="564"/>
      <c r="X43" s="791"/>
      <c r="Y43" s="564"/>
      <c r="Z43" s="798"/>
      <c r="AA43" s="564"/>
      <c r="AB43" s="793"/>
      <c r="AC43" s="15"/>
      <c r="AD43" s="244" t="str">
        <f>IF(OR(
  iferror(vlookup($AE$2, 'Class Skills'!$A:$BE,MATCH(AE43,'Class Skills'!$1:$1,0),false),"")="X",
  iferror(vlookup($AE$3, 'Class Skills'!$A:$BE,MATCH(AE43,'Class Skills'!$1:$1,0),false),"")="X",
  iferror(vlookup($AE$4, 'Class Skills'!$A:$BE,MATCH(AE43,'Class Skills'!$1:$1,0),false),"")="X",
  iferror(vlookup(#REF!, 'Class Skills'!$A:$BE,MATCH(AE43,'Class Skills'!$1:$1,0),false),"")="X"),"X",)</f>
        <v>X</v>
      </c>
      <c r="AE43" s="799" t="s">
        <v>737</v>
      </c>
      <c r="AF43" s="468"/>
      <c r="AG43" s="776"/>
      <c r="AH43" s="776"/>
      <c r="AI43" s="257" t="str">
        <f>HLOOKUP(AE43,'Class Skills'!$1:$3,3,false)</f>
        <v>Cha</v>
      </c>
      <c r="AJ43" s="260">
        <f>if(AND(HLOOKUP(AE43,'Class Skills'!$1:$2,2,false)="Trained Only",AL43&lt;1),,SUM(AL43:AQ43))</f>
        <v>0</v>
      </c>
      <c r="AK43" s="263" t="s">
        <v>166</v>
      </c>
      <c r="AL43" s="266"/>
      <c r="AM43" s="270">
        <f>IFERROR(__xludf.DUMMYFUNCTION("offset($E$8,match(AI43,ARRAYFORMULA(Proper(lower(REGEXEXTRACT($E$9:$E$14,""\w\w\w"")))),0),2)"),0.0)</f>
        <v>0</v>
      </c>
      <c r="AN43" s="270" t="str">
        <f t="shared" si="12"/>
        <v/>
      </c>
      <c r="AO43" s="427"/>
      <c r="AP43" s="276">
        <f>IFERROR(__xludf.DUMMYFUNCTION("if(
or(arrayformula(regexmatch($AR$76:$AR$110,AE43))),
   sum(arrayformula(iferror(value(regexextract(filter(
      $AR$76:$AR$110,
         $K$76:$K$110=""ACTIVE"",
         regexmatch($AR$76:$AR$110,AE43)),
       ""[-\d]+"")))))+tSkill,tSkill)"),0.0)</f>
        <v>0</v>
      </c>
      <c r="AQ43" s="288" t="str">
        <f>iferror(if(
if(hlookup(AE43,'Class Skills'!$1:$4,4,false)="Armor Penalty",'Formula References'!$Q$156,)
+if(AND(isnumber($C$38),AE43="Climb"),8,)
+if(AND(isnumber($C$39),AE43="Swim"),8,)
+if(AE43="Fly", Vlookup(Size,SizeTable,5,False),)
+if(AE43="Fly",if($M$37="Clumsy",-8,if($M$37="Poor",-4,if($M$37="Average",0,if($M$37="Good",4,if($M$37="Perfect",8,0))))))
+if(AE43="Stealth",Vlookup(Size,SizeTable,6,False))
=0,,
if(hlookup(AE43,'Class Skills'!$1:$4,4,false)="Armor Penalty",'Formula References'!$Q$156,)
+if(AND(isnumber($C$38),AE43="Climb"),8,)
+if(AND(isnumber($C$39),AE43="Swim"),8,)
+if(AE43="Fly", Vlookup(Size,SizeTable,5,False),)
+if(AE43="Fly",if($M$37="Clumsy",-8,if($M$37="Poor",-4,if($M$37="Average",0,if($M$37="Good",4,if($M$37="Perfect",8,0))))))
+if(AE43="Stealth",Vlookup(Size,SizeTable,6,False))),"")</f>
        <v/>
      </c>
      <c r="AR43" s="194"/>
      <c r="AS43" s="672"/>
      <c r="AT43" s="673"/>
      <c r="AU43" s="682"/>
      <c r="AV43" s="222"/>
      <c r="AW43" s="222"/>
      <c r="AX43" s="222"/>
      <c r="AY43" s="222"/>
      <c r="AZ43" s="222"/>
      <c r="BA43" s="222"/>
      <c r="BB43" s="222"/>
      <c r="BC43" s="222"/>
      <c r="BD43" s="194"/>
      <c r="BE43" s="675" t="s">
        <v>569</v>
      </c>
      <c r="BF43" s="676"/>
      <c r="BG43" s="677"/>
      <c r="BH43" s="222"/>
      <c r="BI43" s="222"/>
      <c r="BJ43" s="222"/>
      <c r="BK43" s="222"/>
      <c r="BL43" s="222"/>
      <c r="BM43" s="222"/>
      <c r="BN43" s="222"/>
      <c r="BO43" s="222"/>
      <c r="BP43" s="18"/>
      <c r="BQ43" s="19"/>
      <c r="BR43" s="19"/>
      <c r="BS43" s="19"/>
      <c r="BT43" s="19"/>
    </row>
    <row r="44">
      <c r="A44" s="15"/>
      <c r="B44" s="15"/>
      <c r="C44" s="15"/>
      <c r="D44" s="15"/>
      <c r="E44" s="15"/>
      <c r="F44" s="15"/>
      <c r="G44" s="15"/>
      <c r="H44" s="227" t="s">
        <v>913</v>
      </c>
      <c r="I44" s="15"/>
      <c r="J44" s="15"/>
      <c r="K44" s="15"/>
      <c r="L44" s="15"/>
      <c r="M44" s="15"/>
      <c r="N44" s="15"/>
      <c r="O44" s="15"/>
      <c r="P44" s="15"/>
      <c r="Q44" s="15"/>
      <c r="R44" s="15"/>
      <c r="S44" s="15"/>
      <c r="T44" s="789"/>
      <c r="U44" s="23"/>
      <c r="V44" s="23"/>
      <c r="W44" s="564"/>
      <c r="X44" s="791"/>
      <c r="Y44" s="564"/>
      <c r="Z44" s="801"/>
      <c r="AA44" s="564"/>
      <c r="AB44" s="793"/>
      <c r="AC44" s="15"/>
      <c r="AD44" s="244" t="str">
        <f>IF(OR(
  iferror(vlookup($AE$2, 'Class Skills'!$A:$BE,MATCH(AE44,'Class Skills'!$1:$1,0),false),"")="X",
  iferror(vlookup($AE$3, 'Class Skills'!$A:$BE,MATCH(AE44,'Class Skills'!$1:$1,0),false),"")="X",
  iferror(vlookup($AE$4, 'Class Skills'!$A:$BE,MATCH(AE44,'Class Skills'!$1:$1,0),false),"")="X",
  iferror(vlookup(#REF!, 'Class Skills'!$A:$BE,MATCH(AE44,'Class Skills'!$1:$1,0),false),"")="X"),"X",)</f>
        <v>X</v>
      </c>
      <c r="AE44" s="799" t="s">
        <v>737</v>
      </c>
      <c r="AF44" s="468"/>
      <c r="AG44" s="776"/>
      <c r="AH44" s="776"/>
      <c r="AI44" s="257" t="str">
        <f>HLOOKUP(AE44,'Class Skills'!$1:$3,3,false)</f>
        <v>Cha</v>
      </c>
      <c r="AJ44" s="260">
        <f>if(AND(HLOOKUP(AE44,'Class Skills'!$1:$2,2,false)="Trained Only",AL44&lt;1),,SUM(AL44:AQ44))</f>
        <v>0</v>
      </c>
      <c r="AK44" s="263" t="s">
        <v>166</v>
      </c>
      <c r="AL44" s="266"/>
      <c r="AM44" s="270">
        <f>IFERROR(__xludf.DUMMYFUNCTION("offset($E$8,match(AI44,ARRAYFORMULA(Proper(lower(REGEXEXTRACT($E$9:$E$14,""\w\w\w"")))),0),2)"),0.0)</f>
        <v>0</v>
      </c>
      <c r="AN44" s="270" t="str">
        <f t="shared" si="12"/>
        <v/>
      </c>
      <c r="AO44" s="427"/>
      <c r="AP44" s="276">
        <f>IFERROR(__xludf.DUMMYFUNCTION("if(
or(arrayformula(regexmatch($AR$76:$AR$110,AE44))),
   sum(arrayformula(iferror(value(regexextract(filter(
      $AR$76:$AR$110,
         $K$76:$K$110=""ACTIVE"",
         regexmatch($AR$76:$AR$110,AE44)),
       ""[-\d]+"")))))+tSkill,tSkill)"),0.0)</f>
        <v>0</v>
      </c>
      <c r="AQ44" s="288" t="str">
        <f>iferror(if(
if(hlookup(AE44,'Class Skills'!$1:$4,4,false)="Armor Penalty",'Formula References'!$Q$156,)
+if(AND(isnumber($C$38),AE44="Climb"),8,)
+if(AND(isnumber($C$39),AE44="Swim"),8,)
+if(AE44="Fly", Vlookup(Size,SizeTable,5,False),)
+if(AE44="Fly",if($M$37="Clumsy",-8,if($M$37="Poor",-4,if($M$37="Average",0,if($M$37="Good",4,if($M$37="Perfect",8,0))))))
+if(AE44="Stealth",Vlookup(Size,SizeTable,6,False))
=0,,
if(hlookup(AE44,'Class Skills'!$1:$4,4,false)="Armor Penalty",'Formula References'!$Q$156,)
+if(AND(isnumber($C$38),AE44="Climb"),8,)
+if(AND(isnumber($C$39),AE44="Swim"),8,)
+if(AE44="Fly", Vlookup(Size,SizeTable,5,False),)
+if(AE44="Fly",if($M$37="Clumsy",-8,if($M$37="Poor",-4,if($M$37="Average",0,if($M$37="Good",4,if($M$37="Perfect",8,0))))))
+if(AE44="Stealth",Vlookup(Size,SizeTable,6,False))),"")</f>
        <v/>
      </c>
      <c r="AR44" s="194"/>
      <c r="AS44" s="672"/>
      <c r="AT44" s="673"/>
      <c r="AU44" s="682"/>
      <c r="AV44" s="222"/>
      <c r="AW44" s="222"/>
      <c r="AX44" s="222"/>
      <c r="AY44" s="222"/>
      <c r="AZ44" s="222"/>
      <c r="BA44" s="222"/>
      <c r="BB44" s="222"/>
      <c r="BC44" s="222"/>
      <c r="BD44" s="194"/>
      <c r="BE44" s="675" t="s">
        <v>576</v>
      </c>
      <c r="BF44" s="676"/>
      <c r="BG44" s="683"/>
      <c r="BH44" s="222"/>
      <c r="BI44" s="222"/>
      <c r="BJ44" s="222"/>
      <c r="BK44" s="222"/>
      <c r="BL44" s="222"/>
      <c r="BM44" s="222"/>
      <c r="BN44" s="222"/>
      <c r="BO44" s="222"/>
      <c r="BP44" s="18"/>
      <c r="BQ44" s="19"/>
      <c r="BR44" s="19"/>
      <c r="BS44" s="19"/>
      <c r="BT44" s="19"/>
    </row>
    <row r="45">
      <c r="A45" s="15"/>
      <c r="B45" s="514"/>
      <c r="C45" s="67"/>
      <c r="D45" s="67"/>
      <c r="E45" s="67"/>
      <c r="F45" s="67"/>
      <c r="G45" s="67"/>
      <c r="H45" s="67"/>
      <c r="I45" s="67"/>
      <c r="J45" s="67"/>
      <c r="K45" s="67"/>
      <c r="L45" s="67"/>
      <c r="M45" s="67"/>
      <c r="N45" s="67"/>
      <c r="O45" s="67"/>
      <c r="P45" s="67"/>
      <c r="Q45" s="67"/>
      <c r="R45" s="69"/>
      <c r="S45" s="15"/>
      <c r="T45" s="789"/>
      <c r="U45" s="23"/>
      <c r="V45" s="23"/>
      <c r="W45" s="564"/>
      <c r="X45" s="791"/>
      <c r="Y45" s="564"/>
      <c r="Z45" s="798"/>
      <c r="AA45" s="564"/>
      <c r="AB45" s="793"/>
      <c r="AC45" s="15"/>
      <c r="AD45" s="244" t="str">
        <f>IF(OR(
  iferror(vlookup($AE$2, 'Class Skills'!$A:$BE,MATCH(AE45,'Class Skills'!$1:$1,0),false),"")="X",
  iferror(vlookup($AE$3, 'Class Skills'!$A:$BE,MATCH(AE45,'Class Skills'!$1:$1,0),false),"")="X",
  iferror(vlookup($AE$4, 'Class Skills'!$A:$BE,MATCH(AE45,'Class Skills'!$1:$1,0),false),"")="X",
  iferror(vlookup(#REF!, 'Class Skills'!$A:$BE,MATCH(AE45,'Class Skills'!$1:$1,0),false),"")="X"),"X",)</f>
        <v>X</v>
      </c>
      <c r="AE45" s="799" t="s">
        <v>737</v>
      </c>
      <c r="AF45" s="468"/>
      <c r="AG45" s="776"/>
      <c r="AH45" s="776"/>
      <c r="AI45" s="257" t="str">
        <f>HLOOKUP(AE45,'Class Skills'!$1:$3,3,false)</f>
        <v>Cha</v>
      </c>
      <c r="AJ45" s="260">
        <f>if(AND(HLOOKUP(AE45,'Class Skills'!$1:$2,2,false)="Trained Only",AL45&lt;1),,SUM(AL45:AQ45))</f>
        <v>0</v>
      </c>
      <c r="AK45" s="263" t="s">
        <v>166</v>
      </c>
      <c r="AL45" s="266"/>
      <c r="AM45" s="270">
        <f>IFERROR(__xludf.DUMMYFUNCTION("offset($E$8,match(AI45,ARRAYFORMULA(Proper(lower(REGEXEXTRACT($E$9:$E$14,""\w\w\w"")))),0),2)"),0.0)</f>
        <v>0</v>
      </c>
      <c r="AN45" s="270" t="str">
        <f t="shared" si="12"/>
        <v/>
      </c>
      <c r="AO45" s="427"/>
      <c r="AP45" s="276">
        <f>IFERROR(__xludf.DUMMYFUNCTION("if(
or(arrayformula(regexmatch($AR$76:$AR$110,AE45))),
   sum(arrayformula(iferror(value(regexextract(filter(
      $AR$76:$AR$110,
         $K$76:$K$110=""ACTIVE"",
         regexmatch($AR$76:$AR$110,AE45)),
       ""[-\d]+"")))))+tSkill,tSkill)"),0.0)</f>
        <v>0</v>
      </c>
      <c r="AQ45" s="288" t="str">
        <f>iferror(if(
if(hlookup(AE45,'Class Skills'!$1:$4,4,false)="Armor Penalty",'Formula References'!$Q$156,)
+if(AND(isnumber($C$38),AE45="Climb"),8,)
+if(AND(isnumber($C$39),AE45="Swim"),8,)
+if(AE45="Fly", Vlookup(Size,SizeTable,5,False),)
+if(AE45="Fly",if($M$37="Clumsy",-8,if($M$37="Poor",-4,if($M$37="Average",0,if($M$37="Good",4,if($M$37="Perfect",8,0))))))
+if(AE45="Stealth",Vlookup(Size,SizeTable,6,False))
=0,,
if(hlookup(AE45,'Class Skills'!$1:$4,4,false)="Armor Penalty",'Formula References'!$Q$156,)
+if(AND(isnumber($C$38),AE45="Climb"),8,)
+if(AND(isnumber($C$39),AE45="Swim"),8,)
+if(AE45="Fly", Vlookup(Size,SizeTable,5,False),)
+if(AE45="Fly",if($M$37="Clumsy",-8,if($M$37="Poor",-4,if($M$37="Average",0,if($M$37="Good",4,if($M$37="Perfect",8,0))))))
+if(AE45="Stealth",Vlookup(Size,SizeTable,6,False))),"")</f>
        <v/>
      </c>
      <c r="AR45" s="194"/>
      <c r="AS45" s="672"/>
      <c r="AT45" s="673"/>
      <c r="AU45" s="682"/>
      <c r="AV45" s="222"/>
      <c r="AW45" s="222"/>
      <c r="AX45" s="222"/>
      <c r="AY45" s="222"/>
      <c r="AZ45" s="222"/>
      <c r="BA45" s="222"/>
      <c r="BB45" s="222"/>
      <c r="BC45" s="222"/>
      <c r="BD45" s="194"/>
      <c r="BE45" s="675" t="s">
        <v>576</v>
      </c>
      <c r="BF45" s="676"/>
      <c r="BG45" s="683"/>
      <c r="BH45" s="222"/>
      <c r="BI45" s="222"/>
      <c r="BJ45" s="222"/>
      <c r="BK45" s="222"/>
      <c r="BL45" s="222"/>
      <c r="BM45" s="222"/>
      <c r="BN45" s="222"/>
      <c r="BO45" s="222"/>
      <c r="BP45" s="18"/>
      <c r="BQ45" s="19"/>
      <c r="BR45" s="19"/>
      <c r="BS45" s="19"/>
      <c r="BT45" s="19"/>
    </row>
    <row r="46">
      <c r="A46" s="15"/>
      <c r="B46" s="111"/>
      <c r="C46" s="114"/>
      <c r="D46" s="114"/>
      <c r="E46" s="114"/>
      <c r="F46" s="114"/>
      <c r="G46" s="114"/>
      <c r="H46" s="114"/>
      <c r="I46" s="114"/>
      <c r="J46" s="114"/>
      <c r="K46" s="114"/>
      <c r="L46" s="114"/>
      <c r="M46" s="114"/>
      <c r="N46" s="114"/>
      <c r="O46" s="114"/>
      <c r="P46" s="114"/>
      <c r="Q46" s="114"/>
      <c r="R46" s="68"/>
      <c r="S46" s="15"/>
      <c r="T46" s="789"/>
      <c r="U46" s="23"/>
      <c r="V46" s="23"/>
      <c r="W46" s="564"/>
      <c r="X46" s="791"/>
      <c r="Y46" s="564"/>
      <c r="Z46" s="798"/>
      <c r="AA46" s="564"/>
      <c r="AB46" s="793"/>
      <c r="AC46" s="788" t="str">
        <f>iferror(IF(OR((HLOOKUP(#REF!,'Class Skills'!$3:$4,2,false)="Trained Only"),#REF!="T (Trained Only)"),"*",),"")</f>
        <v/>
      </c>
      <c r="AD46" s="821" t="s">
        <v>945</v>
      </c>
      <c r="AE46" s="114"/>
      <c r="AF46" s="114"/>
      <c r="AG46" s="822"/>
      <c r="AH46" s="114"/>
      <c r="AI46" s="114"/>
      <c r="AJ46" s="114"/>
      <c r="AK46" s="114"/>
      <c r="AL46" s="114"/>
      <c r="AM46" s="114"/>
      <c r="AN46" s="114"/>
      <c r="AO46" s="114"/>
      <c r="AP46" s="114"/>
      <c r="AQ46" s="114"/>
      <c r="AR46" s="194"/>
      <c r="AS46" s="672"/>
      <c r="AT46" s="673"/>
      <c r="AU46" s="682"/>
      <c r="AV46" s="222"/>
      <c r="AW46" s="222"/>
      <c r="AX46" s="222"/>
      <c r="AY46" s="222"/>
      <c r="AZ46" s="222"/>
      <c r="BA46" s="222"/>
      <c r="BB46" s="222"/>
      <c r="BC46" s="222"/>
      <c r="BD46" s="194"/>
      <c r="BE46" s="824"/>
      <c r="BF46" s="676"/>
      <c r="BG46" s="683"/>
      <c r="BH46" s="222"/>
      <c r="BI46" s="222"/>
      <c r="BJ46" s="222"/>
      <c r="BK46" s="222"/>
      <c r="BL46" s="222"/>
      <c r="BM46" s="222"/>
      <c r="BN46" s="222"/>
      <c r="BO46" s="222"/>
      <c r="BP46" s="18"/>
      <c r="BQ46" s="19"/>
      <c r="BR46" s="19"/>
      <c r="BS46" s="19"/>
      <c r="BT46" s="19"/>
    </row>
    <row r="47">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c r="AA47" s="15"/>
      <c r="AB47" s="15"/>
      <c r="AC47" s="15"/>
      <c r="AD47" s="15"/>
      <c r="AE47" s="15"/>
      <c r="AF47" s="15"/>
      <c r="AG47" s="15"/>
      <c r="AH47" s="15"/>
      <c r="AI47" s="15"/>
      <c r="AJ47" s="15"/>
      <c r="AK47" s="15"/>
      <c r="AL47" s="15"/>
      <c r="AM47" s="15"/>
      <c r="AN47" s="15"/>
      <c r="AO47" s="15"/>
      <c r="AP47" s="15"/>
      <c r="AQ47" s="15"/>
      <c r="AR47" s="194"/>
      <c r="AS47" s="194"/>
      <c r="AT47" s="194"/>
      <c r="AU47" s="194"/>
      <c r="AV47" s="194"/>
      <c r="AW47" s="194"/>
      <c r="AX47" s="194"/>
      <c r="AY47" s="194"/>
      <c r="AZ47" s="194"/>
      <c r="BA47" s="194"/>
      <c r="BB47" s="194"/>
      <c r="BC47" s="194"/>
      <c r="BD47" s="194"/>
      <c r="BE47" s="194"/>
      <c r="BF47" s="194"/>
      <c r="BG47" s="194"/>
      <c r="BH47" s="194"/>
      <c r="BI47" s="194"/>
      <c r="BJ47" s="194"/>
      <c r="BK47" s="194"/>
      <c r="BL47" s="194"/>
      <c r="BM47" s="194"/>
      <c r="BN47" s="194"/>
      <c r="BO47" s="194"/>
      <c r="BP47" s="18"/>
      <c r="BQ47" s="19"/>
      <c r="BR47" s="19"/>
      <c r="BS47" s="19"/>
      <c r="BT47" s="19"/>
    </row>
    <row r="48">
      <c r="A48" s="830"/>
      <c r="B48" s="56" t="s">
        <v>959</v>
      </c>
      <c r="C48" s="60"/>
      <c r="D48" s="60"/>
      <c r="E48" s="60"/>
      <c r="F48" s="60"/>
      <c r="G48" s="60"/>
      <c r="H48" s="60"/>
      <c r="I48" s="60"/>
      <c r="J48" s="60"/>
      <c r="K48" s="60"/>
      <c r="L48" s="63"/>
      <c r="M48" s="685"/>
      <c r="N48" s="56" t="s">
        <v>963</v>
      </c>
      <c r="O48" s="60"/>
      <c r="P48" s="60"/>
      <c r="Q48" s="60"/>
      <c r="R48" s="60"/>
      <c r="S48" s="60"/>
      <c r="T48" s="60"/>
      <c r="U48" s="60"/>
      <c r="V48" s="60"/>
      <c r="W48" s="60"/>
      <c r="X48" s="63"/>
      <c r="Y48" s="685"/>
      <c r="Z48" s="56" t="s">
        <v>964</v>
      </c>
      <c r="AA48" s="60"/>
      <c r="AB48" s="60"/>
      <c r="AC48" s="60"/>
      <c r="AD48" s="60"/>
      <c r="AE48" s="60"/>
      <c r="AF48" s="60"/>
      <c r="AG48" s="60"/>
      <c r="AH48" s="60"/>
      <c r="AI48" s="60"/>
      <c r="AJ48" s="63"/>
      <c r="AK48" s="685"/>
      <c r="AL48" s="832" t="s">
        <v>965</v>
      </c>
      <c r="AM48" s="60"/>
      <c r="AN48" s="60"/>
      <c r="AO48" s="60"/>
      <c r="AP48" s="60"/>
      <c r="AQ48" s="60"/>
      <c r="AR48" s="60"/>
      <c r="AS48" s="60"/>
      <c r="AT48" s="60"/>
      <c r="AU48" s="60"/>
      <c r="AV48" s="60"/>
      <c r="AW48" s="60"/>
      <c r="AX48" s="60"/>
      <c r="AY48" s="60"/>
      <c r="AZ48" s="60"/>
      <c r="BA48" s="60"/>
      <c r="BB48" s="60"/>
      <c r="BC48" s="60"/>
      <c r="BD48" s="60"/>
      <c r="BE48" s="60"/>
      <c r="BF48" s="60"/>
      <c r="BG48" s="60"/>
      <c r="BH48" s="60"/>
      <c r="BI48" s="60"/>
      <c r="BJ48" s="60"/>
      <c r="BK48" s="60"/>
      <c r="BL48" s="60"/>
      <c r="BM48" s="60"/>
      <c r="BN48" s="60"/>
      <c r="BO48" s="833"/>
      <c r="BP48" s="194"/>
      <c r="BQ48" s="834"/>
      <c r="BR48" s="834"/>
      <c r="BS48" s="834"/>
      <c r="BT48" s="834"/>
    </row>
    <row r="49">
      <c r="A49" s="830"/>
      <c r="B49" s="835" t="s">
        <v>967</v>
      </c>
      <c r="C49" s="836" t="s">
        <v>968</v>
      </c>
      <c r="D49" s="175"/>
      <c r="E49" s="175"/>
      <c r="F49" s="175"/>
      <c r="G49" s="175"/>
      <c r="H49" s="175"/>
      <c r="I49" s="175"/>
      <c r="J49" s="175"/>
      <c r="K49" s="175"/>
      <c r="L49" s="175"/>
      <c r="M49" s="840"/>
      <c r="N49" s="841"/>
      <c r="O49" s="845" t="s">
        <v>971</v>
      </c>
      <c r="P49" s="175"/>
      <c r="Q49" s="175"/>
      <c r="R49" s="175"/>
      <c r="S49" s="175"/>
      <c r="T49" s="175"/>
      <c r="U49" s="175"/>
      <c r="V49" s="175"/>
      <c r="W49" s="175"/>
      <c r="X49" s="175"/>
      <c r="Y49" s="847"/>
      <c r="Z49" s="848" t="s">
        <v>691</v>
      </c>
      <c r="AA49" s="845" t="s">
        <v>975</v>
      </c>
      <c r="AB49" s="175"/>
      <c r="AC49" s="175"/>
      <c r="AD49" s="175"/>
      <c r="AE49" s="175"/>
      <c r="AF49" s="175"/>
      <c r="AG49" s="175"/>
      <c r="AH49" s="175"/>
      <c r="AI49" s="175"/>
      <c r="AJ49" s="175"/>
      <c r="AK49" s="853"/>
      <c r="AL49" s="855" t="s">
        <v>979</v>
      </c>
      <c r="BO49" s="269"/>
      <c r="BP49" s="194"/>
      <c r="BQ49" s="834"/>
      <c r="BR49" s="834"/>
      <c r="BS49" s="834"/>
      <c r="BT49" s="834"/>
    </row>
    <row r="50">
      <c r="A50" s="830"/>
      <c r="B50" s="858" t="s">
        <v>967</v>
      </c>
      <c r="C50" s="860" t="s">
        <v>981</v>
      </c>
      <c r="D50" s="222"/>
      <c r="E50" s="222"/>
      <c r="F50" s="222"/>
      <c r="G50" s="222"/>
      <c r="H50" s="222"/>
      <c r="I50" s="222"/>
      <c r="J50" s="222"/>
      <c r="K50" s="222"/>
      <c r="L50" s="222"/>
      <c r="M50" s="840"/>
      <c r="N50" s="863"/>
      <c r="O50" s="864" t="s">
        <v>984</v>
      </c>
      <c r="P50" s="222"/>
      <c r="Q50" s="222"/>
      <c r="R50" s="222"/>
      <c r="S50" s="222"/>
      <c r="T50" s="222"/>
      <c r="U50" s="222"/>
      <c r="V50" s="222"/>
      <c r="W50" s="222"/>
      <c r="X50" s="222"/>
      <c r="Y50" s="847"/>
      <c r="Z50" s="848" t="s">
        <v>989</v>
      </c>
      <c r="AA50" s="867" t="s">
        <v>991</v>
      </c>
      <c r="AB50" s="175"/>
      <c r="AC50" s="175"/>
      <c r="AD50" s="175"/>
      <c r="AE50" s="175"/>
      <c r="AF50" s="175"/>
      <c r="AG50" s="175"/>
      <c r="AH50" s="175"/>
      <c r="AI50" s="175"/>
      <c r="AJ50" s="175"/>
      <c r="AK50" s="853"/>
      <c r="AL50" s="855" t="s">
        <v>994</v>
      </c>
      <c r="BO50" s="269"/>
      <c r="BP50" s="830"/>
      <c r="BQ50" s="834"/>
      <c r="BR50" s="834"/>
      <c r="BS50" s="834"/>
      <c r="BT50" s="834"/>
    </row>
    <row r="51">
      <c r="A51" s="830"/>
      <c r="B51" s="858" t="s">
        <v>996</v>
      </c>
      <c r="C51" s="860"/>
      <c r="D51" s="222"/>
      <c r="E51" s="222"/>
      <c r="F51" s="222"/>
      <c r="G51" s="222"/>
      <c r="H51" s="222"/>
      <c r="I51" s="222"/>
      <c r="J51" s="222"/>
      <c r="K51" s="222"/>
      <c r="L51" s="222"/>
      <c r="M51" s="840"/>
      <c r="N51" s="874"/>
      <c r="O51" s="864" t="s">
        <v>1007</v>
      </c>
      <c r="P51" s="222"/>
      <c r="Q51" s="222"/>
      <c r="R51" s="222"/>
      <c r="S51" s="222"/>
      <c r="T51" s="222"/>
      <c r="U51" s="222"/>
      <c r="V51" s="222"/>
      <c r="W51" s="222"/>
      <c r="X51" s="222"/>
      <c r="Y51" s="847"/>
      <c r="Z51" s="874" t="s">
        <v>692</v>
      </c>
      <c r="AA51" s="877" t="s">
        <v>1009</v>
      </c>
      <c r="AB51" s="222"/>
      <c r="AC51" s="222"/>
      <c r="AD51" s="222"/>
      <c r="AE51" s="222"/>
      <c r="AF51" s="222"/>
      <c r="AG51" s="222"/>
      <c r="AH51" s="222"/>
      <c r="AI51" s="222"/>
      <c r="AJ51" s="222"/>
      <c r="AK51" s="853"/>
      <c r="AL51" s="880"/>
      <c r="BO51" s="269"/>
      <c r="BP51" s="830"/>
      <c r="BQ51" s="834"/>
      <c r="BR51" s="834"/>
      <c r="BS51" s="834"/>
      <c r="BT51" s="834"/>
    </row>
    <row r="52">
      <c r="A52" s="830"/>
      <c r="B52" s="858" t="s">
        <v>967</v>
      </c>
      <c r="C52" s="860"/>
      <c r="D52" s="222"/>
      <c r="E52" s="222"/>
      <c r="F52" s="222"/>
      <c r="G52" s="222"/>
      <c r="H52" s="222"/>
      <c r="I52" s="222"/>
      <c r="J52" s="222"/>
      <c r="K52" s="222"/>
      <c r="L52" s="222"/>
      <c r="M52" s="840"/>
      <c r="N52" s="874"/>
      <c r="O52" s="864" t="s">
        <v>1015</v>
      </c>
      <c r="P52" s="222"/>
      <c r="Q52" s="222"/>
      <c r="R52" s="222"/>
      <c r="S52" s="222"/>
      <c r="T52" s="222"/>
      <c r="U52" s="222"/>
      <c r="V52" s="222"/>
      <c r="W52" s="222"/>
      <c r="X52" s="222"/>
      <c r="Y52" s="847"/>
      <c r="Z52" s="874" t="s">
        <v>693</v>
      </c>
      <c r="AA52" s="877" t="s">
        <v>1017</v>
      </c>
      <c r="AB52" s="222"/>
      <c r="AC52" s="222"/>
      <c r="AD52" s="222"/>
      <c r="AE52" s="222"/>
      <c r="AF52" s="222"/>
      <c r="AG52" s="222"/>
      <c r="AH52" s="222"/>
      <c r="AI52" s="222"/>
      <c r="AJ52" s="222"/>
      <c r="AK52" s="853"/>
      <c r="AL52" s="880"/>
      <c r="BO52" s="269"/>
      <c r="BP52" s="830"/>
      <c r="BQ52" s="834"/>
      <c r="BR52" s="834"/>
      <c r="BS52" s="834"/>
      <c r="BT52" s="834"/>
    </row>
    <row r="53">
      <c r="A53" s="830"/>
      <c r="B53" s="882"/>
      <c r="C53" s="860"/>
      <c r="D53" s="222"/>
      <c r="E53" s="222"/>
      <c r="F53" s="222"/>
      <c r="G53" s="222"/>
      <c r="H53" s="222"/>
      <c r="I53" s="222"/>
      <c r="J53" s="222"/>
      <c r="K53" s="222"/>
      <c r="L53" s="222"/>
      <c r="M53" s="884"/>
      <c r="N53" s="874"/>
      <c r="Y53" s="847"/>
      <c r="Z53" s="874"/>
      <c r="AA53" s="877"/>
      <c r="AB53" s="222"/>
      <c r="AC53" s="222"/>
      <c r="AD53" s="222"/>
      <c r="AE53" s="222"/>
      <c r="AF53" s="222"/>
      <c r="AG53" s="222"/>
      <c r="AH53" s="222"/>
      <c r="AI53" s="222"/>
      <c r="AJ53" s="222"/>
      <c r="AK53" s="853"/>
      <c r="AL53" s="880"/>
      <c r="BO53" s="269"/>
      <c r="BP53" s="830"/>
      <c r="BQ53" s="834"/>
      <c r="BR53" s="834"/>
      <c r="BS53" s="834"/>
      <c r="BT53" s="834"/>
    </row>
    <row r="54">
      <c r="A54" s="830"/>
      <c r="B54" s="887" t="s">
        <v>1021</v>
      </c>
      <c r="C54" s="60"/>
      <c r="D54" s="60"/>
      <c r="E54" s="60"/>
      <c r="F54" s="60"/>
      <c r="G54" s="60"/>
      <c r="H54" s="60"/>
      <c r="I54" s="60"/>
      <c r="J54" s="60"/>
      <c r="K54" s="60"/>
      <c r="L54" s="63"/>
      <c r="M54" s="884"/>
      <c r="N54" s="874"/>
      <c r="O54" s="864" t="s">
        <v>1023</v>
      </c>
      <c r="P54" s="222"/>
      <c r="Q54" s="222"/>
      <c r="R54" s="222"/>
      <c r="S54" s="222"/>
      <c r="T54" s="222"/>
      <c r="U54" s="222"/>
      <c r="V54" s="222"/>
      <c r="W54" s="222"/>
      <c r="X54" s="222"/>
      <c r="Y54" s="847"/>
      <c r="Z54" s="874"/>
      <c r="AA54" s="877"/>
      <c r="AB54" s="222"/>
      <c r="AC54" s="222"/>
      <c r="AD54" s="222"/>
      <c r="AE54" s="222"/>
      <c r="AF54" s="222"/>
      <c r="AG54" s="222"/>
      <c r="AH54" s="222"/>
      <c r="AI54" s="222"/>
      <c r="AJ54" s="222"/>
      <c r="AK54" s="853"/>
      <c r="AL54" s="880"/>
      <c r="BO54" s="269"/>
      <c r="BP54" s="830"/>
      <c r="BQ54" s="834"/>
      <c r="BR54" s="834"/>
      <c r="BS54" s="834"/>
      <c r="BT54" s="834"/>
    </row>
    <row r="55">
      <c r="A55" s="830"/>
      <c r="B55" s="891"/>
      <c r="C55" s="864" t="s">
        <v>1025</v>
      </c>
      <c r="D55" s="222"/>
      <c r="E55" s="222"/>
      <c r="F55" s="222"/>
      <c r="G55" s="222"/>
      <c r="H55" s="222"/>
      <c r="I55" s="222"/>
      <c r="J55" s="222"/>
      <c r="K55" s="222"/>
      <c r="L55" s="222"/>
      <c r="M55" s="840"/>
      <c r="N55" s="874"/>
      <c r="O55" s="877" t="s">
        <v>1027</v>
      </c>
      <c r="P55" s="222"/>
      <c r="Q55" s="222"/>
      <c r="R55" s="222"/>
      <c r="S55" s="222"/>
      <c r="T55" s="222"/>
      <c r="U55" s="222"/>
      <c r="V55" s="222"/>
      <c r="W55" s="222"/>
      <c r="X55" s="222"/>
      <c r="Y55" s="847"/>
      <c r="Z55" s="874"/>
      <c r="AA55" s="877"/>
      <c r="AB55" s="222"/>
      <c r="AC55" s="222"/>
      <c r="AD55" s="222"/>
      <c r="AE55" s="222"/>
      <c r="AF55" s="222"/>
      <c r="AG55" s="222"/>
      <c r="AH55" s="222"/>
      <c r="AI55" s="222"/>
      <c r="AJ55" s="222"/>
      <c r="AK55" s="853"/>
      <c r="AL55" s="880"/>
      <c r="BO55" s="269"/>
      <c r="BP55" s="830"/>
      <c r="BQ55" s="834"/>
      <c r="BR55" s="834"/>
      <c r="BS55" s="834"/>
      <c r="BT55" s="834"/>
    </row>
    <row r="56">
      <c r="A56" s="830"/>
      <c r="B56" s="893"/>
      <c r="C56" s="877" t="s">
        <v>1030</v>
      </c>
      <c r="D56" s="222"/>
      <c r="E56" s="222"/>
      <c r="F56" s="222"/>
      <c r="G56" s="222"/>
      <c r="H56" s="222"/>
      <c r="I56" s="222"/>
      <c r="J56" s="222"/>
      <c r="K56" s="222"/>
      <c r="L56" s="222"/>
      <c r="M56" s="840"/>
      <c r="N56" s="863"/>
      <c r="O56" s="894" t="s">
        <v>1031</v>
      </c>
      <c r="P56" s="222"/>
      <c r="Q56" s="222"/>
      <c r="R56" s="222"/>
      <c r="S56" s="222"/>
      <c r="T56" s="222"/>
      <c r="U56" s="222"/>
      <c r="V56" s="222"/>
      <c r="W56" s="222"/>
      <c r="X56" s="222"/>
      <c r="Y56" s="847"/>
      <c r="Z56" s="874"/>
      <c r="AA56" s="877"/>
      <c r="AB56" s="222"/>
      <c r="AC56" s="222"/>
      <c r="AD56" s="222"/>
      <c r="AE56" s="222"/>
      <c r="AF56" s="222"/>
      <c r="AG56" s="222"/>
      <c r="AH56" s="222"/>
      <c r="AI56" s="222"/>
      <c r="AJ56" s="222"/>
      <c r="AK56" s="853"/>
      <c r="AL56" s="880"/>
      <c r="BO56" s="269"/>
      <c r="BP56" s="830"/>
      <c r="BQ56" s="834"/>
      <c r="BR56" s="834"/>
      <c r="BS56" s="834"/>
      <c r="BT56" s="834"/>
    </row>
    <row r="57">
      <c r="A57" s="830"/>
      <c r="B57" s="893"/>
      <c r="C57" s="894" t="s">
        <v>1034</v>
      </c>
      <c r="D57" s="222"/>
      <c r="E57" s="222"/>
      <c r="F57" s="222"/>
      <c r="G57" s="222"/>
      <c r="H57" s="222"/>
      <c r="I57" s="222"/>
      <c r="J57" s="222"/>
      <c r="K57" s="222"/>
      <c r="L57" s="222"/>
      <c r="M57" s="840"/>
      <c r="N57" s="893"/>
      <c r="O57" s="894" t="s">
        <v>1036</v>
      </c>
      <c r="P57" s="222"/>
      <c r="Q57" s="222"/>
      <c r="R57" s="222"/>
      <c r="S57" s="222"/>
      <c r="T57" s="222"/>
      <c r="U57" s="222"/>
      <c r="V57" s="222"/>
      <c r="W57" s="222"/>
      <c r="X57" s="222"/>
      <c r="Y57" s="847"/>
      <c r="Z57" s="874"/>
      <c r="AA57" s="877"/>
      <c r="AB57" s="222"/>
      <c r="AC57" s="222"/>
      <c r="AD57" s="222"/>
      <c r="AE57" s="222"/>
      <c r="AF57" s="222"/>
      <c r="AG57" s="222"/>
      <c r="AH57" s="222"/>
      <c r="AI57" s="222"/>
      <c r="AJ57" s="222"/>
      <c r="AK57" s="853"/>
      <c r="AL57" s="880"/>
      <c r="BO57" s="269"/>
      <c r="BP57" s="830"/>
      <c r="BQ57" s="834"/>
      <c r="BR57" s="834"/>
      <c r="BS57" s="834"/>
      <c r="BT57" s="834"/>
    </row>
    <row r="58">
      <c r="A58" s="830"/>
      <c r="B58" s="893"/>
      <c r="C58" s="896"/>
      <c r="D58" s="222"/>
      <c r="E58" s="222"/>
      <c r="F58" s="222"/>
      <c r="G58" s="222"/>
      <c r="H58" s="222"/>
      <c r="I58" s="222"/>
      <c r="J58" s="222"/>
      <c r="K58" s="222"/>
      <c r="L58" s="222"/>
      <c r="M58" s="840"/>
      <c r="N58" s="893"/>
      <c r="O58" s="894" t="s">
        <v>1040</v>
      </c>
      <c r="P58" s="222"/>
      <c r="Q58" s="222"/>
      <c r="R58" s="222"/>
      <c r="S58" s="222"/>
      <c r="T58" s="222"/>
      <c r="U58" s="222"/>
      <c r="V58" s="222"/>
      <c r="W58" s="222"/>
      <c r="X58" s="222"/>
      <c r="Y58" s="847"/>
      <c r="Z58" s="874"/>
      <c r="AA58" s="877"/>
      <c r="AB58" s="222"/>
      <c r="AC58" s="222"/>
      <c r="AD58" s="222"/>
      <c r="AE58" s="222"/>
      <c r="AF58" s="222"/>
      <c r="AG58" s="222"/>
      <c r="AH58" s="222"/>
      <c r="AI58" s="222"/>
      <c r="AJ58" s="222"/>
      <c r="AK58" s="853"/>
      <c r="AL58" s="880"/>
      <c r="BO58" s="269"/>
      <c r="BP58" s="830"/>
      <c r="BQ58" s="834"/>
      <c r="BR58" s="834"/>
      <c r="BS58" s="834"/>
      <c r="BT58" s="834"/>
    </row>
    <row r="59">
      <c r="A59" s="830"/>
      <c r="B59" s="893"/>
      <c r="C59" s="896"/>
      <c r="D59" s="222"/>
      <c r="E59" s="222"/>
      <c r="F59" s="222"/>
      <c r="G59" s="222"/>
      <c r="H59" s="222"/>
      <c r="I59" s="222"/>
      <c r="J59" s="222"/>
      <c r="K59" s="222"/>
      <c r="L59" s="222"/>
      <c r="M59" s="840"/>
      <c r="N59" s="893"/>
      <c r="O59" s="894" t="s">
        <v>1043</v>
      </c>
      <c r="P59" s="222"/>
      <c r="Q59" s="222"/>
      <c r="R59" s="222"/>
      <c r="S59" s="222"/>
      <c r="T59" s="222"/>
      <c r="U59" s="222"/>
      <c r="V59" s="222"/>
      <c r="W59" s="222"/>
      <c r="X59" s="222"/>
      <c r="Y59" s="847"/>
      <c r="Z59" s="874"/>
      <c r="AA59" s="877"/>
      <c r="AB59" s="222"/>
      <c r="AC59" s="222"/>
      <c r="AD59" s="222"/>
      <c r="AE59" s="222"/>
      <c r="AF59" s="222"/>
      <c r="AG59" s="222"/>
      <c r="AH59" s="222"/>
      <c r="AI59" s="222"/>
      <c r="AJ59" s="222"/>
      <c r="AK59" s="853"/>
      <c r="AL59" s="880"/>
      <c r="BO59" s="269"/>
      <c r="BP59" s="830"/>
      <c r="BQ59" s="834"/>
      <c r="BR59" s="834"/>
      <c r="BS59" s="834"/>
      <c r="BT59" s="834"/>
    </row>
    <row r="60">
      <c r="A60" s="830"/>
      <c r="B60" s="893"/>
      <c r="C60" s="896"/>
      <c r="D60" s="222"/>
      <c r="E60" s="222"/>
      <c r="F60" s="222"/>
      <c r="G60" s="222"/>
      <c r="H60" s="222"/>
      <c r="I60" s="222"/>
      <c r="J60" s="222"/>
      <c r="K60" s="222"/>
      <c r="L60" s="222"/>
      <c r="M60" s="840"/>
      <c r="N60" s="893"/>
      <c r="O60" s="894" t="s">
        <v>1046</v>
      </c>
      <c r="P60" s="222"/>
      <c r="Q60" s="222"/>
      <c r="R60" s="222"/>
      <c r="S60" s="222"/>
      <c r="T60" s="222"/>
      <c r="U60" s="222"/>
      <c r="V60" s="222"/>
      <c r="W60" s="222"/>
      <c r="X60" s="222"/>
      <c r="Y60" s="847"/>
      <c r="Z60" s="874"/>
      <c r="AA60" s="877"/>
      <c r="AB60" s="222"/>
      <c r="AC60" s="222"/>
      <c r="AD60" s="222"/>
      <c r="AE60" s="222"/>
      <c r="AF60" s="222"/>
      <c r="AG60" s="222"/>
      <c r="AH60" s="222"/>
      <c r="AI60" s="222"/>
      <c r="AJ60" s="222"/>
      <c r="AK60" s="853"/>
      <c r="AL60" s="880"/>
      <c r="BO60" s="269"/>
      <c r="BP60" s="830"/>
      <c r="BQ60" s="834"/>
      <c r="BR60" s="834"/>
      <c r="BS60" s="834"/>
      <c r="BT60" s="834"/>
    </row>
    <row r="61">
      <c r="A61" s="830"/>
      <c r="B61" s="893"/>
      <c r="C61" s="896"/>
      <c r="D61" s="222"/>
      <c r="E61" s="222"/>
      <c r="F61" s="222"/>
      <c r="G61" s="222"/>
      <c r="H61" s="222"/>
      <c r="I61" s="222"/>
      <c r="J61" s="222"/>
      <c r="K61" s="222"/>
      <c r="L61" s="222"/>
      <c r="M61" s="840"/>
      <c r="N61" s="893"/>
      <c r="O61" s="894" t="s">
        <v>1050</v>
      </c>
      <c r="P61" s="222"/>
      <c r="Q61" s="222"/>
      <c r="R61" s="222"/>
      <c r="S61" s="222"/>
      <c r="T61" s="222"/>
      <c r="U61" s="222"/>
      <c r="V61" s="222"/>
      <c r="W61" s="222"/>
      <c r="X61" s="222"/>
      <c r="Y61" s="847"/>
      <c r="Z61" s="874"/>
      <c r="AA61" s="877"/>
      <c r="AB61" s="222"/>
      <c r="AC61" s="222"/>
      <c r="AD61" s="222"/>
      <c r="AE61" s="222"/>
      <c r="AF61" s="222"/>
      <c r="AG61" s="222"/>
      <c r="AH61" s="222"/>
      <c r="AI61" s="222"/>
      <c r="AJ61" s="222"/>
      <c r="AK61" s="853"/>
      <c r="AL61" s="880"/>
      <c r="BO61" s="269"/>
      <c r="BP61" s="830"/>
      <c r="BQ61" s="834"/>
      <c r="BR61" s="834"/>
      <c r="BS61" s="834"/>
      <c r="BT61" s="834"/>
    </row>
    <row r="62">
      <c r="A62" s="830"/>
      <c r="B62" s="898"/>
      <c r="C62" s="899"/>
      <c r="D62" s="222"/>
      <c r="E62" s="222"/>
      <c r="F62" s="222"/>
      <c r="G62" s="222"/>
      <c r="H62" s="222"/>
      <c r="I62" s="222"/>
      <c r="J62" s="222"/>
      <c r="K62" s="222"/>
      <c r="L62" s="222"/>
      <c r="M62" s="900"/>
      <c r="N62" s="898"/>
      <c r="O62" s="894" t="s">
        <v>1056</v>
      </c>
      <c r="P62" s="222"/>
      <c r="Q62" s="222"/>
      <c r="R62" s="222"/>
      <c r="S62" s="222"/>
      <c r="T62" s="222"/>
      <c r="U62" s="222"/>
      <c r="V62" s="222"/>
      <c r="W62" s="222"/>
      <c r="X62" s="222"/>
      <c r="Y62" s="847"/>
      <c r="Z62" s="874"/>
      <c r="AA62" s="877"/>
      <c r="AB62" s="222"/>
      <c r="AC62" s="222"/>
      <c r="AD62" s="222"/>
      <c r="AE62" s="222"/>
      <c r="AF62" s="222"/>
      <c r="AG62" s="222"/>
      <c r="AH62" s="222"/>
      <c r="AI62" s="222"/>
      <c r="AJ62" s="222"/>
      <c r="AK62" s="853"/>
      <c r="AL62" s="880"/>
      <c r="BO62" s="269"/>
      <c r="BP62" s="830"/>
      <c r="BQ62" s="834"/>
      <c r="BR62" s="834"/>
      <c r="BS62" s="834"/>
      <c r="BT62" s="834"/>
    </row>
    <row r="63">
      <c r="A63" s="901"/>
      <c r="B63" s="898"/>
      <c r="C63" s="899"/>
      <c r="D63" s="222"/>
      <c r="E63" s="222"/>
      <c r="F63" s="222"/>
      <c r="G63" s="222"/>
      <c r="H63" s="222"/>
      <c r="I63" s="222"/>
      <c r="J63" s="222"/>
      <c r="K63" s="222"/>
      <c r="L63" s="222"/>
      <c r="M63" s="900"/>
      <c r="N63" s="898"/>
      <c r="O63" s="899"/>
      <c r="P63" s="222"/>
      <c r="Q63" s="222"/>
      <c r="R63" s="222"/>
      <c r="S63" s="222"/>
      <c r="T63" s="222"/>
      <c r="U63" s="222"/>
      <c r="V63" s="222"/>
      <c r="W63" s="222"/>
      <c r="X63" s="222"/>
      <c r="Y63" s="847"/>
      <c r="Z63" s="874"/>
      <c r="AA63" s="864"/>
      <c r="AB63" s="222"/>
      <c r="AC63" s="222"/>
      <c r="AD63" s="222"/>
      <c r="AE63" s="222"/>
      <c r="AF63" s="222"/>
      <c r="AG63" s="222"/>
      <c r="AH63" s="222"/>
      <c r="AI63" s="222"/>
      <c r="AJ63" s="222"/>
      <c r="AK63" s="853"/>
      <c r="AL63" s="880"/>
      <c r="BO63" s="269"/>
      <c r="BP63" s="830"/>
      <c r="BQ63" s="834"/>
      <c r="BR63" s="834"/>
      <c r="BS63" s="834"/>
      <c r="BT63" s="834"/>
    </row>
    <row r="64">
      <c r="A64" s="830"/>
      <c r="B64" s="898"/>
      <c r="C64" s="899"/>
      <c r="D64" s="222"/>
      <c r="E64" s="222"/>
      <c r="F64" s="222"/>
      <c r="G64" s="222"/>
      <c r="H64" s="222"/>
      <c r="I64" s="222"/>
      <c r="J64" s="222"/>
      <c r="K64" s="222"/>
      <c r="L64" s="222"/>
      <c r="M64" s="900"/>
      <c r="N64" s="898"/>
      <c r="O64" s="899"/>
      <c r="P64" s="222"/>
      <c r="Q64" s="222"/>
      <c r="R64" s="222"/>
      <c r="S64" s="222"/>
      <c r="T64" s="222"/>
      <c r="U64" s="222"/>
      <c r="V64" s="222"/>
      <c r="W64" s="222"/>
      <c r="X64" s="222"/>
      <c r="Y64" s="847"/>
      <c r="Z64" s="874"/>
      <c r="AA64" s="864"/>
      <c r="AB64" s="222"/>
      <c r="AC64" s="222"/>
      <c r="AD64" s="222"/>
      <c r="AE64" s="222"/>
      <c r="AF64" s="222"/>
      <c r="AG64" s="222"/>
      <c r="AH64" s="222"/>
      <c r="AI64" s="222"/>
      <c r="AJ64" s="222"/>
      <c r="AK64" s="853"/>
      <c r="AL64" s="880"/>
      <c r="BO64" s="269"/>
      <c r="BP64" s="830"/>
      <c r="BQ64" s="834"/>
      <c r="BR64" s="834"/>
      <c r="BS64" s="834"/>
      <c r="BT64" s="834"/>
    </row>
    <row r="65">
      <c r="A65" s="830"/>
      <c r="B65" s="898"/>
      <c r="C65" s="899"/>
      <c r="D65" s="222"/>
      <c r="E65" s="222"/>
      <c r="F65" s="222"/>
      <c r="G65" s="222"/>
      <c r="H65" s="222"/>
      <c r="I65" s="222"/>
      <c r="J65" s="222"/>
      <c r="K65" s="222"/>
      <c r="L65" s="222"/>
      <c r="M65" s="900"/>
      <c r="N65" s="898"/>
      <c r="O65" s="899"/>
      <c r="P65" s="222"/>
      <c r="Q65" s="222"/>
      <c r="R65" s="222"/>
      <c r="S65" s="222"/>
      <c r="T65" s="222"/>
      <c r="U65" s="222"/>
      <c r="V65" s="222"/>
      <c r="W65" s="222"/>
      <c r="X65" s="222"/>
      <c r="Y65" s="847"/>
      <c r="Z65" s="874"/>
      <c r="AA65" s="864"/>
      <c r="AB65" s="222"/>
      <c r="AC65" s="222"/>
      <c r="AD65" s="222"/>
      <c r="AE65" s="222"/>
      <c r="AF65" s="222"/>
      <c r="AG65" s="222"/>
      <c r="AH65" s="222"/>
      <c r="AI65" s="222"/>
      <c r="AJ65" s="222"/>
      <c r="AK65" s="853"/>
      <c r="AL65" s="880"/>
      <c r="BO65" s="269"/>
      <c r="BP65" s="830"/>
      <c r="BQ65" s="834"/>
      <c r="BR65" s="834"/>
      <c r="BS65" s="834"/>
      <c r="BT65" s="834"/>
    </row>
    <row r="66">
      <c r="A66" s="830"/>
      <c r="B66" s="898"/>
      <c r="C66" s="899"/>
      <c r="D66" s="222"/>
      <c r="E66" s="222"/>
      <c r="F66" s="222"/>
      <c r="G66" s="222"/>
      <c r="H66" s="222"/>
      <c r="I66" s="222"/>
      <c r="J66" s="222"/>
      <c r="K66" s="222"/>
      <c r="L66" s="222"/>
      <c r="M66" s="900"/>
      <c r="N66" s="898"/>
      <c r="O66" s="899"/>
      <c r="P66" s="222"/>
      <c r="Q66" s="222"/>
      <c r="R66" s="222"/>
      <c r="S66" s="222"/>
      <c r="T66" s="222"/>
      <c r="U66" s="222"/>
      <c r="V66" s="222"/>
      <c r="W66" s="222"/>
      <c r="X66" s="222"/>
      <c r="Y66" s="847"/>
      <c r="Z66" s="874"/>
      <c r="AA66" s="864"/>
      <c r="AB66" s="222"/>
      <c r="AC66" s="222"/>
      <c r="AD66" s="222"/>
      <c r="AE66" s="222"/>
      <c r="AF66" s="222"/>
      <c r="AG66" s="222"/>
      <c r="AH66" s="222"/>
      <c r="AI66" s="222"/>
      <c r="AJ66" s="222"/>
      <c r="AK66" s="853"/>
      <c r="AL66" s="880"/>
      <c r="BO66" s="269"/>
      <c r="BP66" s="830"/>
      <c r="BQ66" s="834"/>
      <c r="BR66" s="834"/>
      <c r="BS66" s="834"/>
      <c r="BT66" s="834"/>
    </row>
    <row r="67">
      <c r="A67" s="830"/>
      <c r="B67" s="898"/>
      <c r="C67" s="899"/>
      <c r="D67" s="222"/>
      <c r="E67" s="222"/>
      <c r="F67" s="222"/>
      <c r="G67" s="222"/>
      <c r="H67" s="222"/>
      <c r="I67" s="222"/>
      <c r="J67" s="222"/>
      <c r="K67" s="222"/>
      <c r="L67" s="222"/>
      <c r="M67" s="900"/>
      <c r="N67" s="898"/>
      <c r="O67" s="899"/>
      <c r="P67" s="222"/>
      <c r="Q67" s="222"/>
      <c r="R67" s="222"/>
      <c r="S67" s="222"/>
      <c r="T67" s="222"/>
      <c r="U67" s="222"/>
      <c r="V67" s="222"/>
      <c r="W67" s="222"/>
      <c r="X67" s="222"/>
      <c r="Y67" s="847"/>
      <c r="Z67" s="874"/>
      <c r="AA67" s="864"/>
      <c r="AB67" s="222"/>
      <c r="AC67" s="222"/>
      <c r="AD67" s="222"/>
      <c r="AE67" s="222"/>
      <c r="AF67" s="222"/>
      <c r="AG67" s="222"/>
      <c r="AH67" s="222"/>
      <c r="AI67" s="222"/>
      <c r="AJ67" s="222"/>
      <c r="AK67" s="853"/>
      <c r="AL67" s="880"/>
      <c r="BO67" s="269"/>
      <c r="BP67" s="830"/>
      <c r="BQ67" s="834"/>
      <c r="BR67" s="834"/>
      <c r="BS67" s="834"/>
      <c r="BT67" s="834"/>
    </row>
    <row r="68">
      <c r="A68" s="830"/>
      <c r="B68" s="903"/>
      <c r="C68" s="905"/>
      <c r="D68" s="906"/>
      <c r="E68" s="906"/>
      <c r="F68" s="906"/>
      <c r="G68" s="906"/>
      <c r="H68" s="906"/>
      <c r="I68" s="906"/>
      <c r="J68" s="906"/>
      <c r="K68" s="906"/>
      <c r="L68" s="906"/>
      <c r="M68" s="900"/>
      <c r="N68" s="903"/>
      <c r="O68" s="905"/>
      <c r="P68" s="906"/>
      <c r="Q68" s="906"/>
      <c r="R68" s="906"/>
      <c r="S68" s="906"/>
      <c r="T68" s="906"/>
      <c r="U68" s="906"/>
      <c r="V68" s="906"/>
      <c r="W68" s="906"/>
      <c r="X68" s="906"/>
      <c r="Y68" s="847"/>
      <c r="Z68" s="907"/>
      <c r="AA68" s="908"/>
      <c r="AB68" s="906"/>
      <c r="AC68" s="906"/>
      <c r="AD68" s="906"/>
      <c r="AE68" s="906"/>
      <c r="AF68" s="906"/>
      <c r="AG68" s="906"/>
      <c r="AH68" s="906"/>
      <c r="AI68" s="906"/>
      <c r="AJ68" s="906"/>
      <c r="AK68" s="853"/>
      <c r="AL68" s="909"/>
      <c r="AM68" s="114"/>
      <c r="AN68" s="114"/>
      <c r="AO68" s="114"/>
      <c r="AP68" s="114"/>
      <c r="AQ68" s="114"/>
      <c r="AR68" s="114"/>
      <c r="AS68" s="114"/>
      <c r="AT68" s="114"/>
      <c r="AU68" s="114"/>
      <c r="AV68" s="114"/>
      <c r="AW68" s="114"/>
      <c r="AX68" s="114"/>
      <c r="AY68" s="114"/>
      <c r="AZ68" s="114"/>
      <c r="BA68" s="114"/>
      <c r="BB68" s="114"/>
      <c r="BC68" s="114"/>
      <c r="BD68" s="114"/>
      <c r="BE68" s="114"/>
      <c r="BF68" s="114"/>
      <c r="BG68" s="114"/>
      <c r="BH68" s="114"/>
      <c r="BI68" s="114"/>
      <c r="BJ68" s="114"/>
      <c r="BK68" s="114"/>
      <c r="BL68" s="114"/>
      <c r="BM68" s="114"/>
      <c r="BN68" s="114"/>
      <c r="BO68" s="68"/>
      <c r="BP68" s="830"/>
      <c r="BQ68" s="834"/>
      <c r="BR68" s="834"/>
      <c r="BS68" s="834"/>
      <c r="BT68" s="834"/>
    </row>
    <row r="69">
      <c r="A69" s="830"/>
      <c r="B69" s="830"/>
      <c r="C69" s="830"/>
      <c r="D69" s="830"/>
      <c r="E69" s="830"/>
      <c r="F69" s="830"/>
      <c r="G69" s="830"/>
      <c r="H69" s="830"/>
      <c r="I69" s="830"/>
      <c r="J69" s="830"/>
      <c r="K69" s="830"/>
      <c r="L69" s="830"/>
      <c r="M69" s="830"/>
      <c r="N69" s="830"/>
      <c r="O69" s="830"/>
      <c r="P69" s="830"/>
      <c r="Q69" s="830"/>
      <c r="R69" s="830"/>
      <c r="S69" s="830"/>
      <c r="T69" s="830"/>
      <c r="U69" s="830"/>
      <c r="V69" s="830"/>
      <c r="W69" s="830"/>
      <c r="X69" s="830"/>
      <c r="Y69" s="830"/>
      <c r="Z69" s="830"/>
      <c r="AA69" s="830"/>
      <c r="AB69" s="830"/>
      <c r="AC69" s="830"/>
      <c r="AD69" s="830"/>
      <c r="AE69" s="830"/>
      <c r="AF69" s="830"/>
      <c r="AG69" s="830"/>
      <c r="AH69" s="830"/>
      <c r="AI69" s="830"/>
      <c r="AJ69" s="830"/>
      <c r="AK69" s="830"/>
      <c r="AL69" s="830"/>
      <c r="AM69" s="830"/>
      <c r="AN69" s="830"/>
      <c r="AO69" s="830"/>
      <c r="AP69" s="830"/>
      <c r="AQ69" s="830"/>
      <c r="AR69" s="830"/>
      <c r="AS69" s="830"/>
      <c r="AT69" s="830"/>
      <c r="AU69" s="830"/>
      <c r="AV69" s="830"/>
      <c r="AW69" s="830"/>
      <c r="AX69" s="830"/>
      <c r="AY69" s="830"/>
      <c r="AZ69" s="830"/>
      <c r="BA69" s="830"/>
      <c r="BB69" s="830"/>
      <c r="BC69" s="830"/>
      <c r="BD69" s="830"/>
      <c r="BE69" s="830"/>
      <c r="BF69" s="830"/>
      <c r="BG69" s="830"/>
      <c r="BH69" s="830"/>
      <c r="BI69" s="830"/>
      <c r="BJ69" s="830"/>
      <c r="BK69" s="830"/>
      <c r="BL69" s="830"/>
      <c r="BM69" s="830"/>
      <c r="BN69" s="830"/>
      <c r="BO69" s="830"/>
      <c r="BP69" s="830"/>
      <c r="BQ69" s="834"/>
      <c r="BR69" s="834"/>
      <c r="BS69" s="834"/>
      <c r="BT69" s="834"/>
    </row>
    <row r="70">
      <c r="A70" s="15"/>
      <c r="B70" s="911" t="s">
        <v>1080</v>
      </c>
      <c r="C70" s="197"/>
      <c r="D70" s="197"/>
      <c r="E70" s="199"/>
      <c r="F70" s="912"/>
      <c r="G70" s="912"/>
      <c r="H70" s="912"/>
      <c r="I70" s="912"/>
      <c r="J70" s="912"/>
      <c r="K70" s="912"/>
      <c r="L70" s="912"/>
      <c r="M70" s="912"/>
      <c r="N70" s="912"/>
      <c r="O70" s="912"/>
      <c r="P70" s="912"/>
      <c r="Q70" s="912"/>
      <c r="R70" s="912"/>
      <c r="S70" s="912"/>
      <c r="T70" s="912"/>
      <c r="U70" s="912"/>
      <c r="V70" s="912"/>
      <c r="W70" s="912"/>
      <c r="X70" s="912"/>
      <c r="Y70" s="912"/>
      <c r="Z70" s="912"/>
      <c r="AA70" s="912"/>
      <c r="AB70" s="912"/>
      <c r="AC70" s="912"/>
      <c r="AD70" s="912"/>
      <c r="AE70" s="912"/>
      <c r="AF70" s="912"/>
      <c r="AG70" s="912"/>
      <c r="AH70" s="912"/>
      <c r="AI70" s="912"/>
      <c r="AJ70" s="912"/>
      <c r="AK70" s="912"/>
      <c r="AL70" s="912"/>
      <c r="AM70" s="912"/>
      <c r="AN70" s="912"/>
      <c r="AO70" s="912"/>
      <c r="AP70" s="912"/>
      <c r="AQ70" s="912"/>
      <c r="AR70" s="912"/>
      <c r="AS70" s="912"/>
      <c r="AT70" s="912"/>
      <c r="AU70" s="912"/>
      <c r="AV70" s="912"/>
      <c r="AW70" s="912"/>
      <c r="AX70" s="912"/>
      <c r="AY70" s="912"/>
      <c r="AZ70" s="912"/>
      <c r="BA70" s="912"/>
      <c r="BB70" s="56" t="s">
        <v>1087</v>
      </c>
      <c r="BC70" s="60"/>
      <c r="BD70" s="60"/>
      <c r="BE70" s="60"/>
      <c r="BF70" s="60"/>
      <c r="BG70" s="60"/>
      <c r="BH70" s="833"/>
      <c r="BI70" s="913"/>
      <c r="BJ70" s="913"/>
      <c r="BK70" s="913"/>
      <c r="BL70" s="913"/>
      <c r="BM70" s="913"/>
      <c r="BN70" s="913"/>
      <c r="BO70" s="913"/>
      <c r="BP70" s="830"/>
      <c r="BQ70" s="834"/>
      <c r="BR70" s="834"/>
      <c r="BS70" s="834"/>
      <c r="BT70" s="834"/>
    </row>
    <row r="71">
      <c r="A71" s="15"/>
      <c r="B71" s="25"/>
      <c r="C71" s="25"/>
      <c r="D71" s="25"/>
      <c r="E71" s="25"/>
      <c r="F71" s="25"/>
      <c r="G71" s="25"/>
      <c r="H71" s="25"/>
      <c r="I71" s="25"/>
      <c r="J71" s="25"/>
      <c r="K71" s="25"/>
      <c r="L71" s="25"/>
      <c r="M71" s="25"/>
      <c r="N71" s="25"/>
      <c r="O71" s="25"/>
      <c r="P71" s="25"/>
      <c r="Q71" s="25"/>
      <c r="R71" s="25"/>
      <c r="S71" s="25"/>
      <c r="T71" s="25"/>
      <c r="U71" s="25"/>
      <c r="V71" s="25"/>
      <c r="W71" s="25"/>
      <c r="X71" s="25"/>
      <c r="Y71" s="25"/>
      <c r="Z71" s="25"/>
      <c r="AA71" s="25"/>
      <c r="AB71" s="25"/>
      <c r="AC71" s="25"/>
      <c r="AD71" s="25"/>
      <c r="AE71" s="25"/>
      <c r="AF71" s="25"/>
      <c r="AG71" s="25"/>
      <c r="AH71" s="25"/>
      <c r="AI71" s="25"/>
      <c r="AJ71" s="25"/>
      <c r="AK71" s="25"/>
      <c r="AL71" s="25"/>
      <c r="AM71" s="25"/>
      <c r="AN71" s="25"/>
      <c r="AO71" s="25"/>
      <c r="AP71" s="25"/>
      <c r="AQ71" s="25"/>
      <c r="AR71" s="901"/>
      <c r="AS71" s="834"/>
      <c r="AT71" s="834"/>
      <c r="AU71" s="834"/>
      <c r="AV71" s="834"/>
      <c r="AW71" s="834"/>
      <c r="AX71" s="834"/>
      <c r="AY71" s="834"/>
      <c r="AZ71" s="834"/>
      <c r="BA71" s="834"/>
      <c r="BB71" s="914"/>
      <c r="BC71" s="914" t="s">
        <v>1093</v>
      </c>
      <c r="BD71" s="834"/>
      <c r="BE71" s="834"/>
      <c r="BF71" s="834"/>
      <c r="BG71" s="834"/>
      <c r="BH71" s="834"/>
      <c r="BI71" s="834"/>
      <c r="BJ71" s="834"/>
      <c r="BK71" s="834"/>
      <c r="BL71" s="834"/>
      <c r="BM71" s="834"/>
      <c r="BN71" s="834"/>
      <c r="BO71" s="834"/>
      <c r="BP71" s="830"/>
      <c r="BQ71" s="834" t="str">
        <f>if(BM71=True, "Slashing","")</f>
        <v/>
      </c>
      <c r="BR71" s="834"/>
      <c r="BS71" s="834"/>
      <c r="BT71" s="834"/>
    </row>
    <row r="72">
      <c r="A72" s="15"/>
      <c r="B72" s="915" t="s">
        <v>1095</v>
      </c>
      <c r="C72" s="705"/>
      <c r="D72" s="705"/>
      <c r="E72" s="705"/>
      <c r="F72" s="705"/>
      <c r="G72" s="916" t="s">
        <v>656</v>
      </c>
      <c r="H72" s="705"/>
      <c r="I72" s="705"/>
      <c r="J72" s="705"/>
      <c r="K72" s="917" t="s">
        <v>1098</v>
      </c>
      <c r="L72" s="705"/>
      <c r="M72" s="705"/>
      <c r="N72" s="918" t="s">
        <v>1100</v>
      </c>
      <c r="O72" s="705"/>
      <c r="P72" s="919" t="s">
        <v>1101</v>
      </c>
      <c r="Q72" s="705"/>
      <c r="R72" s="705"/>
      <c r="S72" s="919" t="s">
        <v>1102</v>
      </c>
      <c r="T72" s="705"/>
      <c r="U72" s="705"/>
      <c r="V72" s="705"/>
      <c r="W72" s="705"/>
      <c r="X72" s="705"/>
      <c r="Y72" s="919" t="s">
        <v>1104</v>
      </c>
      <c r="Z72" s="705"/>
      <c r="AA72" s="705"/>
      <c r="AB72" s="705"/>
      <c r="AC72" s="705"/>
      <c r="AD72" s="919" t="s">
        <v>1105</v>
      </c>
      <c r="AE72" s="705"/>
      <c r="AF72" s="705"/>
      <c r="AG72" s="920" t="s">
        <v>1008</v>
      </c>
      <c r="AH72" s="919" t="s">
        <v>1106</v>
      </c>
      <c r="AI72" s="705"/>
      <c r="AJ72" s="705"/>
      <c r="AK72" s="921" t="s">
        <v>1109</v>
      </c>
      <c r="AL72" s="920" t="s">
        <v>95</v>
      </c>
      <c r="AM72" s="705"/>
      <c r="AN72" s="705"/>
      <c r="AO72" s="705"/>
      <c r="AP72" s="705"/>
      <c r="AQ72" s="919" t="s">
        <v>1111</v>
      </c>
      <c r="AR72" s="705"/>
      <c r="AS72" s="705"/>
      <c r="AT72" s="705"/>
      <c r="AU72" s="705"/>
      <c r="AV72" s="705"/>
      <c r="AW72" s="705"/>
      <c r="AX72" s="705"/>
      <c r="AY72" s="705"/>
      <c r="AZ72" s="706"/>
      <c r="BA72" s="834"/>
      <c r="BB72" s="922"/>
      <c r="BC72" s="67"/>
      <c r="BD72" s="67"/>
      <c r="BE72" s="67"/>
      <c r="BF72" s="67"/>
      <c r="BG72" s="67"/>
      <c r="BH72" s="67"/>
      <c r="BI72" s="67"/>
      <c r="BJ72" s="67"/>
      <c r="BK72" s="67"/>
      <c r="BL72" s="67"/>
      <c r="BM72" s="67"/>
      <c r="BN72" s="67"/>
      <c r="BO72" s="69"/>
      <c r="BP72" s="830"/>
      <c r="BQ72" s="923"/>
      <c r="BR72" s="834"/>
      <c r="BS72" s="834"/>
      <c r="BT72" s="834"/>
    </row>
    <row r="73">
      <c r="A73" s="15"/>
      <c r="B73" s="924"/>
      <c r="C73" s="925"/>
      <c r="D73" s="925"/>
      <c r="E73" s="925"/>
      <c r="F73" s="925"/>
      <c r="G73" s="924"/>
      <c r="H73" s="925"/>
      <c r="I73" s="925"/>
      <c r="J73" s="925"/>
      <c r="K73" s="924"/>
      <c r="L73" s="925"/>
      <c r="M73" s="925"/>
      <c r="N73" s="926" t="s">
        <v>856</v>
      </c>
      <c r="O73" s="927" t="s">
        <v>1116</v>
      </c>
      <c r="P73" s="928" t="s">
        <v>14</v>
      </c>
      <c r="Q73" s="929" t="s">
        <v>159</v>
      </c>
      <c r="R73" s="929" t="s">
        <v>16</v>
      </c>
      <c r="S73" s="930" t="s">
        <v>762</v>
      </c>
      <c r="T73" s="929" t="s">
        <v>466</v>
      </c>
      <c r="U73" s="929" t="s">
        <v>1118</v>
      </c>
      <c r="V73" s="929" t="s">
        <v>581</v>
      </c>
      <c r="W73" s="929" t="s">
        <v>763</v>
      </c>
      <c r="X73" s="929" t="s">
        <v>761</v>
      </c>
      <c r="Y73" s="928" t="s">
        <v>1119</v>
      </c>
      <c r="Z73" s="929" t="s">
        <v>1120</v>
      </c>
      <c r="AA73" s="931" t="s">
        <v>1121</v>
      </c>
      <c r="AB73" s="931" t="s">
        <v>1123</v>
      </c>
      <c r="AC73" s="931" t="s">
        <v>1124</v>
      </c>
      <c r="AD73" s="928" t="s">
        <v>1119</v>
      </c>
      <c r="AE73" s="929" t="s">
        <v>1120</v>
      </c>
      <c r="AF73" s="931" t="s">
        <v>1124</v>
      </c>
      <c r="AG73" s="930" t="s">
        <v>1125</v>
      </c>
      <c r="AH73" s="928" t="s">
        <v>1126</v>
      </c>
      <c r="AI73" s="932" t="s">
        <v>1104</v>
      </c>
      <c r="AJ73" s="929" t="s">
        <v>655</v>
      </c>
      <c r="AK73" s="924"/>
      <c r="AL73" s="930" t="s">
        <v>120</v>
      </c>
      <c r="AM73" s="929" t="s">
        <v>478</v>
      </c>
      <c r="AN73" s="929" t="s">
        <v>740</v>
      </c>
      <c r="AO73" s="934" t="s">
        <v>821</v>
      </c>
      <c r="AP73" s="929" t="s">
        <v>261</v>
      </c>
      <c r="AQ73" s="930" t="s">
        <v>1128</v>
      </c>
      <c r="AR73" s="929" t="s">
        <v>1130</v>
      </c>
      <c r="AS73" s="925"/>
      <c r="AT73" s="925"/>
      <c r="AU73" s="925"/>
      <c r="AV73" s="925"/>
      <c r="AW73" s="925"/>
      <c r="AX73" s="925"/>
      <c r="AY73" s="925"/>
      <c r="AZ73" s="935"/>
      <c r="BA73" s="834"/>
      <c r="BB73" s="111"/>
      <c r="BC73" s="114"/>
      <c r="BD73" s="114"/>
      <c r="BE73" s="114"/>
      <c r="BF73" s="114"/>
      <c r="BG73" s="114"/>
      <c r="BH73" s="114"/>
      <c r="BI73" s="114"/>
      <c r="BJ73" s="114"/>
      <c r="BK73" s="114"/>
      <c r="BL73" s="114"/>
      <c r="BM73" s="114"/>
      <c r="BN73" s="114"/>
      <c r="BO73" s="68"/>
      <c r="BP73" s="830"/>
      <c r="BQ73" s="834"/>
      <c r="BR73" s="834"/>
      <c r="BS73" s="834"/>
      <c r="BT73" s="834"/>
    </row>
    <row r="74">
      <c r="A74" s="25"/>
      <c r="B74" s="936" t="s">
        <v>1132</v>
      </c>
      <c r="C74" s="925"/>
      <c r="D74" s="925"/>
      <c r="E74" s="925"/>
      <c r="F74" s="935"/>
      <c r="G74" s="936"/>
      <c r="H74" s="925"/>
      <c r="I74" s="925"/>
      <c r="J74" s="935"/>
      <c r="K74" s="936"/>
      <c r="L74" s="925"/>
      <c r="M74" s="935"/>
      <c r="N74" s="937">
        <f>IFERROR(__xludf.DUMMYFUNCTION("SUM(MAX(IFERROR(FILTER(N76:N116,$K76:$K116 = ""ACTIVE"",$G76:$G116 = ""Alchemical"",N76:N116&gt;0)))+SUM(IFERROR(FILTER(N76:N116,$K76:$K116 = ""ACTIVE"",$G76:$G116 = ""Alchemical"",N76:N116&lt;0))),
MAX(IFERROR(FILTER(N76:N116,$K76:$K116 = ""ACTIVE"",$G76:$G116"&amp;" = ""Armor"",N76:N116&gt;0)))+SUM(IFERROR(FILTER(N76:N116,$K76:$K116 = ""ACTIVE"",$G76:$G116 = ""Armor"",N76:N116&lt;0))),
MAX(IFERROR(FILTER(N76:N116,$K76:$K116 = ""ACTIVE"",$G76:$G116 = ""Competence"",N76:N116&gt;0)))+SUM(IFERROR(FILTER(N76:N116,$K76:$K116 = ""A"&amp;"CTIVE"",$G76:$G116 = ""Competence"",N76:N116&lt;0))),
MAX(IFERROR(FILTER(N76:N116,$K76:$K116 = ""ACTIVE"",$G76:$G116 = ""Deflect/Enhance/Resist"",N76:N116&gt;0)))+SUM(IFERROR(FILTER(N76:N116,$K76:$K116 = ""ACTIVE"",$G76:$G116 = ""Deflect/Enhance/Resist"",N76:N1"&amp;"16&lt;0))),
MAX(IFERROR(FILTER(N76:N116,$K76:$K116 = ""ACTIVE"",$G76:$G116 = ""Insight"",N76:N116&gt;0)))+SUM(IFERROR(FILTER(N76:N116,$K76:$K116 = ""ACTIVE"",$G76:$G116 = ""Insight"",N76:N116&lt;0))),
MAX(IFERROR(FILTER(N76:N116,$K76:$K116 = ""ACTIVE"",$G76:$G116 "&amp;"= ""Luck"",N76:N116&gt;0)))+SUM(IFERROR(FILTER(N76:N116,$K76:$K116 = ""ACTIVE"",$G76:$G116 = ""Luck"",N76:N116&lt;0))),
MAX(IFERROR(FILTER(N76:N116,$K76:$K116 = ""ACTIVE"",$G76:$G116 = ""Morale"",N76:N116&gt;0)))+SUM(IFERROR(FILTER(N76:N116,$K76:$K116 = ""ACTIVE"""&amp;",$G76:$G116 = ""Morale"",N76:N116&lt;0))),
MAX(IFERROR(FILTER(N76:N116,$K76:$K116 = ""ACTIVE"",$G76:$G116 = ""Precision Damage"",N76:N116&gt;0)))+SUM(IFERROR(FILTER(N76:N116,$K76:$K116 = ""ACTIVE"",$G76:$G116 = ""Precision Damage"",N76:N116&lt;0))),
MAX(IFERROR(FI"&amp;"LTER(N76:N116,$K76:$K116 = ""ACTIVE"",$G76:$G116 = ""Sacred / Profane"",N76:N116&gt;0)))+SUM(IFERROR(FILTER(N76:N116,$K76:$K116 = ""ACTIVE"",$G76:$G116 = ""Sacred / Profane"",N76:N116&lt;0))),
MAX(IFERROR(FILTER(N76:N116,$K76:$K116 = ""ACTIVE"",$G76:$G116 = ""S"&amp;"ize"",N76:N116&gt;0)))+SUM(IFERROR(FILTER(N76:N116,$K76:$K116 = ""ACTIVE"",$G76:$G116 = ""Size"",N76:N116&lt;0))),
SUM(IFERROR(FILTER(N76:N116,$K76:$K116 = ""ACTIVE"",$G76:$G116 = ""Untyped (stacks)"")),),
SUM(IFERROR(FILTER(N76:N116,$K76:$K116 = ""ACTIVE"",$G7"&amp;"6:$G116 = ""Dodge (stacks)"")),),
SUM(IFERROR(FILTER(N76:N116,$K76:$K116 = ""ACTIVE"",$G76:$G116 = ""Circumstance (stacks)"")),))
"),8.0)</f>
        <v>8</v>
      </c>
      <c r="O74" s="937">
        <f>IFERROR(__xludf.DUMMYFUNCTION("SUM(MAX(IFERROR(FILTER(O76:O116,$K76:$K116 = ""ACTIVE"",$G76:$G116 = ""Alchemical"",O76:O116&gt;0)))+SUM(IFERROR(FILTER(O76:O116,$K76:$K116 = ""ACTIVE"",$G76:$G116 = ""Alchemical"",O76:O116&lt;0))),
MAX(IFERROR(FILTER(O76:O116,$K76:$K116 = ""ACTIVE"",$G76:$G116"&amp;" = ""Armor"",O76:O116&gt;0)))+SUM(IFERROR(FILTER(O76:O116,$K76:$K116 = ""ACTIVE"",$G76:$G116 = ""Armor"",O76:O116&lt;0))),
MAX(IFERROR(FILTER(O76:O116,$K76:$K116 = ""ACTIVE"",$G76:$G116 = ""Competence"",O76:O116&gt;0)))+SUM(IFERROR(FILTER(O76:O116,$K76:$K116 = ""A"&amp;"CTIVE"",$G76:$G116 = ""Competence"",O76:O116&lt;0))),
MAX(IFERROR(FILTER(O76:O116,$K76:$K116 = ""ACTIVE"",$G76:$G116 = ""Deflect/Enhance/Resist"",O76:O116&gt;0)))+SUM(IFERROR(FILTER(O76:O116,$K76:$K116 = ""ACTIVE"",$G76:$G116 = ""Deflect/Enhance/Resist"",O76:O1"&amp;"16&lt;0))),
MAX(IFERROR(FILTER(O76:O116,$K76:$K116 = ""ACTIVE"",$G76:$G116 = ""Insight"",O76:O116&gt;0)))+SUM(IFERROR(FILTER(O76:O116,$K76:$K116 = ""ACTIVE"",$G76:$G116 = ""Insight"",O76:O116&lt;0))),
MAX(IFERROR(FILTER(O76:O116,$K76:$K116 = ""ACTIVE"",$G76:$G116 "&amp;"= ""Luck"",O76:O116&gt;0)))+SUM(IFERROR(FILTER(O76:O116,$K76:$K116 = ""ACTIVE"",$G76:$G116 = ""Luck"",O76:O116&lt;0))),
MAX(IFERROR(FILTER(O76:O116,$K76:$K116 = ""ACTIVE"",$G76:$G116 = ""Morale"",O76:O116&gt;0)))+SUM(IFERROR(FILTER(O76:O116,$K76:$K116 = ""ACTIVE"""&amp;",$G76:$G116 = ""Morale"",O76:O116&lt;0))),
MAX(IFERROR(FILTER(O76:O116,$K76:$K116 = ""ACTIVE"",$G76:$G116 = ""Precision Damage"",O76:O116&gt;0)))+SUM(IFERROR(FILTER(O76:O116,$K76:$K116 = ""ACTIVE"",$G76:$G116 = ""Precision Damage"",O76:O116&lt;0))),
MAX(IFERROR(FI"&amp;"LTER(O76:O116,$K76:$K116 = ""ACTIVE"",$G76:$G116 = ""Sacred / Profane"",O76:O116&gt;0)))+SUM(IFERROR(FILTER(O76:O116,$K76:$K116 = ""ACTIVE"",$G76:$G116 = ""Sacred / Profane"",O76:O116&lt;0))),
MAX(IFERROR(FILTER(O76:O116,$K76:$K116 = ""ACTIVE"",$G76:$G116 = ""S"&amp;"ize"",O76:O116&gt;0)))+SUM(IFERROR(FILTER(O76:O116,$K76:$K116 = ""ACTIVE"",$G76:$G116 = ""Size"",O76:O116&lt;0))),
SUM(IFERROR(FILTER(O76:O116,$K76:$K116 = ""ACTIVE"",$G76:$G116 = ""Untyped (stacks)"")),),
SUM(IFERROR(FILTER(O76:O116,$K76:$K116 = ""ACTIVE"",$G7"&amp;"6:$G116 = ""Dodge (stacks)"")),),
SUM(IFERROR(FILTER(O76:O116,$K76:$K116 = ""ACTIVE"",$G76:$G116 = ""Circumstance (stacks)"")),))
"),0.0)</f>
        <v>0</v>
      </c>
      <c r="P74" s="937">
        <f>IFERROR(__xludf.DUMMYFUNCTION("SUM(MAX(IFERROR(FILTER(P76:P116,$K76:$K116 = ""ACTIVE"",$G76:$G116 = ""Alchemical"",P76:P116&gt;0)))+SUM(IFERROR(FILTER(P76:P116,$K76:$K116 = ""ACTIVE"",$G76:$G116 = ""Alchemical"",P76:P116&lt;0))),
MAX(IFERROR(FILTER(P76:P116,$K76:$K116 = ""ACTIVE"",$G76:$G116"&amp;" = ""Armor"",P76:P116&gt;0)))+SUM(IFERROR(FILTER(P76:P116,$K76:$K116 = ""ACTIVE"",$G76:$G116 = ""Armor"",P76:P116&lt;0))),
MAX(IFERROR(FILTER(P76:P116,$K76:$K116 = ""ACTIVE"",$G76:$G116 = ""Competence"",P76:P116&gt;0)))+SUM(IFERROR(FILTER(P76:P116,$K76:$K116 = ""A"&amp;"CTIVE"",$G76:$G116 = ""Competence"",P76:P116&lt;0))),
MAX(IFERROR(FILTER(P76:P116,$K76:$K116 = ""ACTIVE"",$G76:$G116 = ""Deflect/Enhance/Resist"",P76:P116&gt;0)))+SUM(IFERROR(FILTER(P76:P116,$K76:$K116 = ""ACTIVE"",$G76:$G116 = ""Deflect/Enhance/Resist"",P76:P1"&amp;"16&lt;0))),
MAX(IFERROR(FILTER(P76:P116,$K76:$K116 = ""ACTIVE"",$G76:$G116 = ""Insight"",P76:P116&gt;0)))+SUM(IFERROR(FILTER(P76:P116,$K76:$K116 = ""ACTIVE"",$G76:$G116 = ""Insight"",P76:P116&lt;0))),
MAX(IFERROR(FILTER(P76:P116,$K76:$K116 = ""ACTIVE"",$G76:$G116 "&amp;"= ""Luck"",P76:P116&gt;0)))+SUM(IFERROR(FILTER(P76:P116,$K76:$K116 = ""ACTIVE"",$G76:$G116 = ""Luck"",P76:P116&lt;0))),
MAX(IFERROR(FILTER(P76:P116,$K76:$K116 = ""ACTIVE"",$G76:$G116 = ""Morale"",P76:P116&gt;0)))+SUM(IFERROR(FILTER(P76:P116,$K76:$K116 = ""ACTIVE"""&amp;",$G76:$G116 = ""Morale"",P76:P116&lt;0))),
MAX(IFERROR(FILTER(P76:P116,$K76:$K116 = ""ACTIVE"",$G76:$G116 = ""Precision Damage"",P76:P116&gt;0)))+SUM(IFERROR(FILTER(P76:P116,$K76:$K116 = ""ACTIVE"",$G76:$G116 = ""Precision Damage"",P76:P116&lt;0))),
MAX(IFERROR(FI"&amp;"LTER(P76:P116,$K76:$K116 = ""ACTIVE"",$G76:$G116 = ""Sacred / Profane"",P76:P116&gt;0)))+SUM(IFERROR(FILTER(P76:P116,$K76:$K116 = ""ACTIVE"",$G76:$G116 = ""Sacred / Profane"",P76:P116&lt;0))),
MAX(IFERROR(FILTER(P76:P116,$K76:$K116 = ""ACTIVE"",$G76:$G116 = ""S"&amp;"ize"",P76:P116&gt;0)))+SUM(IFERROR(FILTER(P76:P116,$K76:$K116 = ""ACTIVE"",$G76:$G116 = ""Size"",P76:P116&lt;0))),
SUM(IFERROR(FILTER(P76:P116,$K76:$K116 = ""ACTIVE"",$G76:$G116 = ""Untyped (stacks)"")),),
SUM(IFERROR(FILTER(P76:P116,$K76:$K116 = ""ACTIVE"",$G7"&amp;"6:$G116 = ""Dodge (stacks)"")),),
SUM(IFERROR(FILTER(P76:P116,$K76:$K116 = ""ACTIVE"",$G76:$G116 = ""Circumstance (stacks)"")),))
"),0.0)</f>
        <v>0</v>
      </c>
      <c r="Q74" s="937">
        <f>IFERROR(__xludf.DUMMYFUNCTION("SUM(MAX(IFERROR(FILTER(Q76:Q116,$K76:$K116 = ""ACTIVE"",$G76:$G116 = ""Alchemical"",Q76:Q116&gt;0)))+SUM(IFERROR(FILTER(Q76:Q116,$K76:$K116 = ""ACTIVE"",$G76:$G116 = ""Alchemical"",Q76:Q116&lt;0))),
MAX(IFERROR(FILTER(Q76:Q116,$K76:$K116 = ""ACTIVE"",$G76:$G116"&amp;" = ""Armor"",Q76:Q116&gt;0)))+SUM(IFERROR(FILTER(Q76:Q116,$K76:$K116 = ""ACTIVE"",$G76:$G116 = ""Armor"",Q76:Q116&lt;0))),
MAX(IFERROR(FILTER(Q76:Q116,$K76:$K116 = ""ACTIVE"",$G76:$G116 = ""Competence"",Q76:Q116&gt;0)))+SUM(IFERROR(FILTER(Q76:Q116,$K76:$K116 = ""A"&amp;"CTIVE"",$G76:$G116 = ""Competence"",Q76:Q116&lt;0))),
MAX(IFERROR(FILTER(Q76:Q116,$K76:$K116 = ""ACTIVE"",$G76:$G116 = ""Deflect/Enhance/Resist"",Q76:Q116&gt;0)))+SUM(IFERROR(FILTER(Q76:Q116,$K76:$K116 = ""ACTIVE"",$G76:$G116 = ""Deflect/Enhance/Resist"",Q76:Q1"&amp;"16&lt;0))),
MAX(IFERROR(FILTER(Q76:Q116,$K76:$K116 = ""ACTIVE"",$G76:$G116 = ""Insight"",Q76:Q116&gt;0)))+SUM(IFERROR(FILTER(Q76:Q116,$K76:$K116 = ""ACTIVE"",$G76:$G116 = ""Insight"",Q76:Q116&lt;0))),
MAX(IFERROR(FILTER(Q76:Q116,$K76:$K116 = ""ACTIVE"",$G76:$G116 "&amp;"= ""Luck"",Q76:Q116&gt;0)))+SUM(IFERROR(FILTER(Q76:Q116,$K76:$K116 = ""ACTIVE"",$G76:$G116 = ""Luck"",Q76:Q116&lt;0))),
MAX(IFERROR(FILTER(Q76:Q116,$K76:$K116 = ""ACTIVE"",$G76:$G116 = ""Morale"",Q76:Q116&gt;0)))+SUM(IFERROR(FILTER(Q76:Q116,$K76:$K116 = ""ACTIVE"""&amp;",$G76:$G116 = ""Morale"",Q76:Q116&lt;0))),
MAX(IFERROR(FILTER(Q76:Q116,$K76:$K116 = ""ACTIVE"",$G76:$G116 = ""Precision Damage"",Q76:Q116&gt;0)))+SUM(IFERROR(FILTER(Q76:Q116,$K76:$K116 = ""ACTIVE"",$G76:$G116 = ""Precision Damage"",Q76:Q116&lt;0))),
MAX(IFERROR(FI"&amp;"LTER(Q76:Q116,$K76:$K116 = ""ACTIVE"",$G76:$G116 = ""Sacred / Profane"",Q76:Q116&gt;0)))+SUM(IFERROR(FILTER(Q76:Q116,$K76:$K116 = ""ACTIVE"",$G76:$G116 = ""Sacred / Profane"",Q76:Q116&lt;0))),
MAX(IFERROR(FILTER(Q76:Q116,$K76:$K116 = ""ACTIVE"",$G76:$G116 = ""S"&amp;"ize"",Q76:Q116&gt;0)))+SUM(IFERROR(FILTER(Q76:Q116,$K76:$K116 = ""ACTIVE"",$G76:$G116 = ""Size"",Q76:Q116&lt;0))),
SUM(IFERROR(FILTER(Q76:Q116,$K76:$K116 = ""ACTIVE"",$G76:$G116 = ""Untyped (stacks)"")),),
SUM(IFERROR(FILTER(Q76:Q116,$K76:$K116 = ""ACTIVE"",$G7"&amp;"6:$G116 = ""Dodge (stacks)"")),),
SUM(IFERROR(FILTER(Q76:Q116,$K76:$K116 = ""ACTIVE"",$G76:$G116 = ""Circumstance (stacks)"")),))
"),0.0)</f>
        <v>0</v>
      </c>
      <c r="R74" s="937">
        <f>IFERROR(__xludf.DUMMYFUNCTION("SUM(MAX(IFERROR(FILTER(R76:R116,$K76:$K116 = ""ACTIVE"",$G76:$G116 = ""Alchemical"",R76:R116&gt;0)))+SUM(IFERROR(FILTER(R76:R116,$K76:$K116 = ""ACTIVE"",$G76:$G116 = ""Alchemical"",R76:R116&lt;0))),
MAX(IFERROR(FILTER(R76:R116,$K76:$K116 = ""ACTIVE"",$G76:$G116"&amp;" = ""Armor"",R76:R116&gt;0)))+SUM(IFERROR(FILTER(R76:R116,$K76:$K116 = ""ACTIVE"",$G76:$G116 = ""Armor"",R76:R116&lt;0))),
MAX(IFERROR(FILTER(R76:R116,$K76:$K116 = ""ACTIVE"",$G76:$G116 = ""Competence"",R76:R116&gt;0)))+SUM(IFERROR(FILTER(R76:R116,$K76:$K116 = ""A"&amp;"CTIVE"",$G76:$G116 = ""Competence"",R76:R116&lt;0))),
MAX(IFERROR(FILTER(R76:R116,$K76:$K116 = ""ACTIVE"",$G76:$G116 = ""Deflect/Enhance/Resist"",R76:R116&gt;0)))+SUM(IFERROR(FILTER(R76:R116,$K76:$K116 = ""ACTIVE"",$G76:$G116 = ""Deflect/Enhance/Resist"",R76:R1"&amp;"16&lt;0))),
MAX(IFERROR(FILTER(R76:R116,$K76:$K116 = ""ACTIVE"",$G76:$G116 = ""Insight"",R76:R116&gt;0)))+SUM(IFERROR(FILTER(R76:R116,$K76:$K116 = ""ACTIVE"",$G76:$G116 = ""Insight"",R76:R116&lt;0))),
MAX(IFERROR(FILTER(R76:R116,$K76:$K116 = ""ACTIVE"",$G76:$G116 "&amp;"= ""Luck"",R76:R116&gt;0)))+SUM(IFERROR(FILTER(R76:R116,$K76:$K116 = ""ACTIVE"",$G76:$G116 = ""Luck"",R76:R116&lt;0))),
MAX(IFERROR(FILTER(R76:R116,$K76:$K116 = ""ACTIVE"",$G76:$G116 = ""Morale"",R76:R116&gt;0)))+SUM(IFERROR(FILTER(R76:R116,$K76:$K116 = ""ACTIVE"""&amp;",$G76:$G116 = ""Morale"",R76:R116&lt;0))),
MAX(IFERROR(FILTER(R76:R116,$K76:$K116 = ""ACTIVE"",$G76:$G116 = ""Precision Damage"",R76:R116&gt;0)))+SUM(IFERROR(FILTER(R76:R116,$K76:$K116 = ""ACTIVE"",$G76:$G116 = ""Precision Damage"",R76:R116&lt;0))),
MAX(IFERROR(FI"&amp;"LTER(R76:R116,$K76:$K116 = ""ACTIVE"",$G76:$G116 = ""Sacred / Profane"",R76:R116&gt;0)))+SUM(IFERROR(FILTER(R76:R116,$K76:$K116 = ""ACTIVE"",$G76:$G116 = ""Sacred / Profane"",R76:R116&lt;0))),
MAX(IFERROR(FILTER(R76:R116,$K76:$K116 = ""ACTIVE"",$G76:$G116 = ""S"&amp;"ize"",R76:R116&gt;0)))+SUM(IFERROR(FILTER(R76:R116,$K76:$K116 = ""ACTIVE"",$G76:$G116 = ""Size"",R76:R116&lt;0))),
SUM(IFERROR(FILTER(R76:R116,$K76:$K116 = ""ACTIVE"",$G76:$G116 = ""Untyped (stacks)"")),),
SUM(IFERROR(FILTER(R76:R116,$K76:$K116 = ""ACTIVE"",$G7"&amp;"6:$G116 = ""Dodge (stacks)"")),),
SUM(IFERROR(FILTER(R76:R116,$K76:$K116 = ""ACTIVE"",$G76:$G116 = ""Circumstance (stacks)"")),))
"),0.0)</f>
        <v>0</v>
      </c>
      <c r="S74" s="937">
        <f>IFERROR(__xludf.DUMMYFUNCTION("SUM(MAX(IFERROR(FILTER(S76:S116,$K76:$K116 = ""ACTIVE"",$G76:$G116 = ""Alchemical"",S76:S116&gt;0)))+SUM(IFERROR(FILTER(S76:S116,$K76:$K116 = ""ACTIVE"",$G76:$G116 = ""Alchemical"",S76:S116&lt;0))),
MAX(IFERROR(FILTER(S76:S116,$K76:$K116 = ""ACTIVE"",$G76:$G116"&amp;" = ""Armor"",S76:S116&gt;0)))+SUM(IFERROR(FILTER(S76:S116,$K76:$K116 = ""ACTIVE"",$G76:$G116 = ""Armor"",S76:S116&lt;0))),
MAX(IFERROR(FILTER(S76:S116,$K76:$K116 = ""ACTIVE"",$G76:$G116 = ""Competence"",S76:S116&gt;0)))+SUM(IFERROR(FILTER(S76:S116,$K76:$K116 = ""A"&amp;"CTIVE"",$G76:$G116 = ""Competence"",S76:S116&lt;0))),
MAX(IFERROR(FILTER(S76:S116,$K76:$K116 = ""ACTIVE"",$G76:$G116 = ""Deflect/Enhance/Resist"",S76:S116&gt;0)))+SUM(IFERROR(FILTER(S76:S116,$K76:$K116 = ""ACTIVE"",$G76:$G116 = ""Deflect/Enhance/Resist"",S76:S1"&amp;"16&lt;0))),
MAX(IFERROR(FILTER(S76:S116,$K76:$K116 = ""ACTIVE"",$G76:$G116 = ""Insight"",S76:S116&gt;0)))+SUM(IFERROR(FILTER(S76:S116,$K76:$K116 = ""ACTIVE"",$G76:$G116 = ""Insight"",S76:S116&lt;0))),
MAX(IFERROR(FILTER(S76:S116,$K76:$K116 = ""ACTIVE"",$G76:$G116 "&amp;"= ""Luck"",S76:S116&gt;0)))+SUM(IFERROR(FILTER(S76:S116,$K76:$K116 = ""ACTIVE"",$G76:$G116 = ""Luck"",S76:S116&lt;0))),
MAX(IFERROR(FILTER(S76:S116,$K76:$K116 = ""ACTIVE"",$G76:$G116 = ""Morale"",S76:S116&gt;0)))+SUM(IFERROR(FILTER(S76:S116,$K76:$K116 = ""ACTIVE"""&amp;",$G76:$G116 = ""Morale"",S76:S116&lt;0))),
MAX(IFERROR(FILTER(S76:S116,$K76:$K116 = ""ACTIVE"",$G76:$G116 = ""Precision Damage"",S76:S116&gt;0)))+SUM(IFERROR(FILTER(S76:S116,$K76:$K116 = ""ACTIVE"",$G76:$G116 = ""Precision Damage"",S76:S116&lt;0))),
MAX(IFERROR(FI"&amp;"LTER(S76:S116,$K76:$K116 = ""ACTIVE"",$G76:$G116 = ""Sacred / Profane"",S76:S116&gt;0)))+SUM(IFERROR(FILTER(S76:S116,$K76:$K116 = ""ACTIVE"",$G76:$G116 = ""Sacred / Profane"",S76:S116&lt;0))),
MAX(IFERROR(FILTER(S76:S116,$K76:$K116 = ""ACTIVE"",$G76:$G116 = ""S"&amp;"ize"",S76:S116&gt;0)))+SUM(IFERROR(FILTER(S76:S116,$K76:$K116 = ""ACTIVE"",$G76:$G116 = ""Size"",S76:S116&lt;0))),
SUM(IFERROR(FILTER(S76:S116,$K76:$K116 = ""ACTIVE"",$G76:$G116 = ""Untyped (stacks)"")),),
SUM(IFERROR(FILTER(S76:S116,$K76:$K116 = ""ACTIVE"",$G7"&amp;"6:$G116 = ""Dodge (stacks)"")),),
SUM(IFERROR(FILTER(S76:S116,$K76:$K116 = ""ACTIVE"",$G76:$G116 = ""Circumstance (stacks)"")),))
"),0.0)</f>
        <v>0</v>
      </c>
      <c r="T74" s="937">
        <f>IFERROR(__xludf.DUMMYFUNCTION("SUM(MAX(IFERROR(FILTER(T76:T116,$K76:$K116 = ""ACTIVE"",$G76:$G116 = ""Alchemical"",T76:T116&gt;0)))+SUM(IFERROR(FILTER(T76:T116,$K76:$K116 = ""ACTIVE"",$G76:$G116 = ""Alchemical"",T76:T116&lt;0))),
MAX(IFERROR(FILTER(T76:T116,$K76:$K116 = ""ACTIVE"",$G76:$G116"&amp;" = ""Armor"",T76:T116&gt;0)))+SUM(IFERROR(FILTER(T76:T116,$K76:$K116 = ""ACTIVE"",$G76:$G116 = ""Armor"",T76:T116&lt;0))),
MAX(IFERROR(FILTER(T76:T116,$K76:$K116 = ""ACTIVE"",$G76:$G116 = ""Competence"",T76:T116&gt;0)))+SUM(IFERROR(FILTER(T76:T116,$K76:$K116 = ""A"&amp;"CTIVE"",$G76:$G116 = ""Competence"",T76:T116&lt;0))),
MAX(IFERROR(FILTER(T76:T116,$K76:$K116 = ""ACTIVE"",$G76:$G116 = ""Deflect/Enhance/Resist"",T76:T116&gt;0)))+SUM(IFERROR(FILTER(T76:T116,$K76:$K116 = ""ACTIVE"",$G76:$G116 = ""Deflect/Enhance/Resist"",T76:T1"&amp;"16&lt;0))),
MAX(IFERROR(FILTER(T76:T116,$K76:$K116 = ""ACTIVE"",$G76:$G116 = ""Insight"",T76:T116&gt;0)))+SUM(IFERROR(FILTER(T76:T116,$K76:$K116 = ""ACTIVE"",$G76:$G116 = ""Insight"",T76:T116&lt;0))),
MAX(IFERROR(FILTER(T76:T116,$K76:$K116 = ""ACTIVE"",$G76:$G116 "&amp;"= ""Luck"",T76:T116&gt;0)))+SUM(IFERROR(FILTER(T76:T116,$K76:$K116 = ""ACTIVE"",$G76:$G116 = ""Luck"",T76:T116&lt;0))),
MAX(IFERROR(FILTER(T76:T116,$K76:$K116 = ""ACTIVE"",$G76:$G116 = ""Morale"",T76:T116&gt;0)))+SUM(IFERROR(FILTER(T76:T116,$K76:$K116 = ""ACTIVE"""&amp;",$G76:$G116 = ""Morale"",T76:T116&lt;0))),
MAX(IFERROR(FILTER(T76:T116,$K76:$K116 = ""ACTIVE"",$G76:$G116 = ""Precision Damage"",T76:T116&gt;0)))+SUM(IFERROR(FILTER(T76:T116,$K76:$K116 = ""ACTIVE"",$G76:$G116 = ""Precision Damage"",T76:T116&lt;0))),
MAX(IFERROR(FI"&amp;"LTER(T76:T116,$K76:$K116 = ""ACTIVE"",$G76:$G116 = ""Sacred / Profane"",T76:T116&gt;0)))+SUM(IFERROR(FILTER(T76:T116,$K76:$K116 = ""ACTIVE"",$G76:$G116 = ""Sacred / Profane"",T76:T116&lt;0))),
MAX(IFERROR(FILTER(T76:T116,$K76:$K116 = ""ACTIVE"",$G76:$G116 = ""S"&amp;"ize"",T76:T116&gt;0)))+SUM(IFERROR(FILTER(T76:T116,$K76:$K116 = ""ACTIVE"",$G76:$G116 = ""Size"",T76:T116&lt;0))),
SUM(IFERROR(FILTER(T76:T116,$K76:$K116 = ""ACTIVE"",$G76:$G116 = ""Untyped (stacks)"")),),
SUM(IFERROR(FILTER(T76:T116,$K76:$K116 = ""ACTIVE"",$G7"&amp;"6:$G116 = ""Dodge (stacks)"")),),
SUM(IFERROR(FILTER(T76:T116,$K76:$K116 = ""ACTIVE"",$G76:$G116 = ""Circumstance (stacks)"")),))
"),0.0)</f>
        <v>0</v>
      </c>
      <c r="U74" s="937">
        <f>IFERROR(__xludf.DUMMYFUNCTION("SUM(MAX(IFERROR(FILTER(U76:U116,$K76:$K116 = ""ACTIVE"",$G76:$G116 = ""Alchemical"",U76:U116&gt;0)))+SUM(IFERROR(FILTER(U76:U116,$K76:$K116 = ""ACTIVE"",$G76:$G116 = ""Alchemical"",U76:U116&lt;0))),
MAX(IFERROR(FILTER(U76:U116,$K76:$K116 = ""ACTIVE"",$G76:$G116"&amp;" = ""Armor"",U76:U116&gt;0)))+SUM(IFERROR(FILTER(U76:U116,$K76:$K116 = ""ACTIVE"",$G76:$G116 = ""Armor"",U76:U116&lt;0))),
MAX(IFERROR(FILTER(U76:U116,$K76:$K116 = ""ACTIVE"",$G76:$G116 = ""Competence"",U76:U116&gt;0)))+SUM(IFERROR(FILTER(U76:U116,$K76:$K116 = ""A"&amp;"CTIVE"",$G76:$G116 = ""Competence"",U76:U116&lt;0))),
MAX(IFERROR(FILTER(U76:U116,$K76:$K116 = ""ACTIVE"",$G76:$G116 = ""Deflect/Enhance/Resist"",U76:U116&gt;0)))+SUM(IFERROR(FILTER(U76:U116,$K76:$K116 = ""ACTIVE"",$G76:$G116 = ""Deflect/Enhance/Resist"",U76:U1"&amp;"16&lt;0))),
MAX(IFERROR(FILTER(U76:U116,$K76:$K116 = ""ACTIVE"",$G76:$G116 = ""Insight"",U76:U116&gt;0)))+SUM(IFERROR(FILTER(U76:U116,$K76:$K116 = ""ACTIVE"",$G76:$G116 = ""Insight"",U76:U116&lt;0))),
MAX(IFERROR(FILTER(U76:U116,$K76:$K116 = ""ACTIVE"",$G76:$G116 "&amp;"= ""Luck"",U76:U116&gt;0)))+SUM(IFERROR(FILTER(U76:U116,$K76:$K116 = ""ACTIVE"",$G76:$G116 = ""Luck"",U76:U116&lt;0))),
MAX(IFERROR(FILTER(U76:U116,$K76:$K116 = ""ACTIVE"",$G76:$G116 = ""Morale"",U76:U116&gt;0)))+SUM(IFERROR(FILTER(U76:U116,$K76:$K116 = ""ACTIVE"""&amp;",$G76:$G116 = ""Morale"",U76:U116&lt;0))),
MAX(IFERROR(FILTER(U76:U116,$K76:$K116 = ""ACTIVE"",$G76:$G116 = ""Precision Damage"",U76:U116&gt;0)))+SUM(IFERROR(FILTER(U76:U116,$K76:$K116 = ""ACTIVE"",$G76:$G116 = ""Precision Damage"",U76:U116&lt;0))),
MAX(IFERROR(FI"&amp;"LTER(U76:U116,$K76:$K116 = ""ACTIVE"",$G76:$G116 = ""Sacred / Profane"",U76:U116&gt;0)))+SUM(IFERROR(FILTER(U76:U116,$K76:$K116 = ""ACTIVE"",$G76:$G116 = ""Sacred / Profane"",U76:U116&lt;0))),
MAX(IFERROR(FILTER(U76:U116,$K76:$K116 = ""ACTIVE"",$G76:$G116 = ""S"&amp;"ize"",U76:U116&gt;0)))+SUM(IFERROR(FILTER(U76:U116,$K76:$K116 = ""ACTIVE"",$G76:$G116 = ""Size"",U76:U116&lt;0))),
SUM(IFERROR(FILTER(U76:U116,$K76:$K116 = ""ACTIVE"",$G76:$G116 = ""Untyped (stacks)"")),),
SUM(IFERROR(FILTER(U76:U116,$K76:$K116 = ""ACTIVE"",$G7"&amp;"6:$G116 = ""Dodge (stacks)"")),),
SUM(IFERROR(FILTER(U76:U116,$K76:$K116 = ""ACTIVE"",$G76:$G116 = ""Circumstance (stacks)"")),))
"),0.0)</f>
        <v>0</v>
      </c>
      <c r="V74" s="937">
        <f>IFERROR(__xludf.DUMMYFUNCTION("SUM(MAX(IFERROR(FILTER(V76:V116,$K76:$K116 = ""ACTIVE"",$G76:$G116 = ""Alchemical"",V76:V116&gt;0)))+SUM(IFERROR(FILTER(V76:V116,$K76:$K116 = ""ACTIVE"",$G76:$G116 = ""Alchemical"",V76:V116&lt;0))),
MAX(IFERROR(FILTER(V76:V116,$K76:$K116 = ""ACTIVE"",$G76:$G116"&amp;" = ""Armor"",V76:V116&gt;0)))+SUM(IFERROR(FILTER(V76:V116,$K76:$K116 = ""ACTIVE"",$G76:$G116 = ""Armor"",V76:V116&lt;0))),
MAX(IFERROR(FILTER(V76:V116,$K76:$K116 = ""ACTIVE"",$G76:$G116 = ""Competence"",V76:V116&gt;0)))+SUM(IFERROR(FILTER(V76:V116,$K76:$K116 = ""A"&amp;"CTIVE"",$G76:$G116 = ""Competence"",V76:V116&lt;0))),
MAX(IFERROR(FILTER(V76:V116,$K76:$K116 = ""ACTIVE"",$G76:$G116 = ""Deflect/Enhance/Resist"",V76:V116&gt;0)))+SUM(IFERROR(FILTER(V76:V116,$K76:$K116 = ""ACTIVE"",$G76:$G116 = ""Deflect/Enhance/Resist"",V76:V1"&amp;"16&lt;0))),
MAX(IFERROR(FILTER(V76:V116,$K76:$K116 = ""ACTIVE"",$G76:$G116 = ""Insight"",V76:V116&gt;0)))+SUM(IFERROR(FILTER(V76:V116,$K76:$K116 = ""ACTIVE"",$G76:$G116 = ""Insight"",V76:V116&lt;0))),
MAX(IFERROR(FILTER(V76:V116,$K76:$K116 = ""ACTIVE"",$G76:$G116 "&amp;"= ""Luck"",V76:V116&gt;0)))+SUM(IFERROR(FILTER(V76:V116,$K76:$K116 = ""ACTIVE"",$G76:$G116 = ""Luck"",V76:V116&lt;0))),
MAX(IFERROR(FILTER(V76:V116,$K76:$K116 = ""ACTIVE"",$G76:$G116 = ""Morale"",V76:V116&gt;0)))+SUM(IFERROR(FILTER(V76:V116,$K76:$K116 = ""ACTIVE"""&amp;",$G76:$G116 = ""Morale"",V76:V116&lt;0))),
MAX(IFERROR(FILTER(V76:V116,$K76:$K116 = ""ACTIVE"",$G76:$G116 = ""Precision Damage"",V76:V116&gt;0)))+SUM(IFERROR(FILTER(V76:V116,$K76:$K116 = ""ACTIVE"",$G76:$G116 = ""Precision Damage"",V76:V116&lt;0))),
MAX(IFERROR(FI"&amp;"LTER(V76:V116,$K76:$K116 = ""ACTIVE"",$G76:$G116 = ""Sacred / Profane"",V76:V116&gt;0)))+SUM(IFERROR(FILTER(V76:V116,$K76:$K116 = ""ACTIVE"",$G76:$G116 = ""Sacred / Profane"",V76:V116&lt;0))),
MAX(IFERROR(FILTER(V76:V116,$K76:$K116 = ""ACTIVE"",$G76:$G116 = ""S"&amp;"ize"",V76:V116&gt;0)))+SUM(IFERROR(FILTER(V76:V116,$K76:$K116 = ""ACTIVE"",$G76:$G116 = ""Size"",V76:V116&lt;0))),
SUM(IFERROR(FILTER(V76:V116,$K76:$K116 = ""ACTIVE"",$G76:$G116 = ""Untyped (stacks)"")),),
SUM(IFERROR(FILTER(V76:V116,$K76:$K116 = ""ACTIVE"",$G7"&amp;"6:$G116 = ""Dodge (stacks)"")),),
SUM(IFERROR(FILTER(V76:V116,$K76:$K116 = ""ACTIVE"",$G76:$G116 = ""Circumstance (stacks)"")),))
"),0.0)</f>
        <v>0</v>
      </c>
      <c r="W74" s="937">
        <f>IFERROR(__xludf.DUMMYFUNCTION("SUM(MAX(IFERROR(FILTER(W76:W116,$K76:$K116 = ""ACTIVE"",$G76:$G116 = ""Alchemical"",W76:W116&gt;0)))+SUM(IFERROR(FILTER(W76:W116,$K76:$K116 = ""ACTIVE"",$G76:$G116 = ""Alchemical"",W76:W116&lt;0))),
MAX(IFERROR(FILTER(W76:W116,$K76:$K116 = ""ACTIVE"",$G76:$G116"&amp;" = ""Armor"",W76:W116&gt;0)))+SUM(IFERROR(FILTER(W76:W116,$K76:$K116 = ""ACTIVE"",$G76:$G116 = ""Armor"",W76:W116&lt;0))),
MAX(IFERROR(FILTER(W76:W116,$K76:$K116 = ""ACTIVE"",$G76:$G116 = ""Competence"",W76:W116&gt;0)))+SUM(IFERROR(FILTER(W76:W116,$K76:$K116 = ""A"&amp;"CTIVE"",$G76:$G116 = ""Competence"",W76:W116&lt;0))),
MAX(IFERROR(FILTER(W76:W116,$K76:$K116 = ""ACTIVE"",$G76:$G116 = ""Deflect/Enhance/Resist"",W76:W116&gt;0)))+SUM(IFERROR(FILTER(W76:W116,$K76:$K116 = ""ACTIVE"",$G76:$G116 = ""Deflect/Enhance/Resist"",W76:W1"&amp;"16&lt;0))),
MAX(IFERROR(FILTER(W76:W116,$K76:$K116 = ""ACTIVE"",$G76:$G116 = ""Insight"",W76:W116&gt;0)))+SUM(IFERROR(FILTER(W76:W116,$K76:$K116 = ""ACTIVE"",$G76:$G116 = ""Insight"",W76:W116&lt;0))),
MAX(IFERROR(FILTER(W76:W116,$K76:$K116 = ""ACTIVE"",$G76:$G116 "&amp;"= ""Luck"",W76:W116&gt;0)))+SUM(IFERROR(FILTER(W76:W116,$K76:$K116 = ""ACTIVE"",$G76:$G116 = ""Luck"",W76:W116&lt;0))),
MAX(IFERROR(FILTER(W76:W116,$K76:$K116 = ""ACTIVE"",$G76:$G116 = ""Morale"",W76:W116&gt;0)))+SUM(IFERROR(FILTER(W76:W116,$K76:$K116 = ""ACTIVE"""&amp;",$G76:$G116 = ""Morale"",W76:W116&lt;0))),
MAX(IFERROR(FILTER(W76:W116,$K76:$K116 = ""ACTIVE"",$G76:$G116 = ""Precision Damage"",W76:W116&gt;0)))+SUM(IFERROR(FILTER(W76:W116,$K76:$K116 = ""ACTIVE"",$G76:$G116 = ""Precision Damage"",W76:W116&lt;0))),
MAX(IFERROR(FI"&amp;"LTER(W76:W116,$K76:$K116 = ""ACTIVE"",$G76:$G116 = ""Sacred / Profane"",W76:W116&gt;0)))+SUM(IFERROR(FILTER(W76:W116,$K76:$K116 = ""ACTIVE"",$G76:$G116 = ""Sacred / Profane"",W76:W116&lt;0))),
MAX(IFERROR(FILTER(W76:W116,$K76:$K116 = ""ACTIVE"",$G76:$G116 = ""S"&amp;"ize"",W76:W116&gt;0)))+SUM(IFERROR(FILTER(W76:W116,$K76:$K116 = ""ACTIVE"",$G76:$G116 = ""Size"",W76:W116&lt;0))),
SUM(IFERROR(FILTER(W76:W116,$K76:$K116 = ""ACTIVE"",$G76:$G116 = ""Untyped (stacks)"")),),
SUM(IFERROR(FILTER(W76:W116,$K76:$K116 = ""ACTIVE"",$G7"&amp;"6:$G116 = ""Dodge (stacks)"")),),
SUM(IFERROR(FILTER(W76:W116,$K76:$K116 = ""ACTIVE"",$G76:$G116 = ""Circumstance (stacks)"")),))
"),0.0)</f>
        <v>0</v>
      </c>
      <c r="X74" s="937">
        <f>IFERROR(__xludf.DUMMYFUNCTION("SUM(MAX(IFERROR(FILTER(X76:X116,$K76:$K116 = ""ACTIVE"",$G76:$G116 = ""Alchemical"",X76:X116&gt;0)))+SUM(IFERROR(FILTER(X76:X116,$K76:$K116 = ""ACTIVE"",$G76:$G116 = ""Alchemical"",X76:X116&lt;0))),
MAX(IFERROR(FILTER(X76:X116,$K76:$K116 = ""ACTIVE"",$G76:$G116"&amp;" = ""Armor"",X76:X116&gt;0)))+SUM(IFERROR(FILTER(X76:X116,$K76:$K116 = ""ACTIVE"",$G76:$G116 = ""Armor"",X76:X116&lt;0))),
MAX(IFERROR(FILTER(X76:X116,$K76:$K116 = ""ACTIVE"",$G76:$G116 = ""Competence"",X76:X116&gt;0)))+SUM(IFERROR(FILTER(X76:X116,$K76:$K116 = ""A"&amp;"CTIVE"",$G76:$G116 = ""Competence"",X76:X116&lt;0))),
MAX(IFERROR(FILTER(X76:X116,$K76:$K116 = ""ACTIVE"",$G76:$G116 = ""Deflect/Enhance/Resist"",X76:X116&gt;0)))+SUM(IFERROR(FILTER(X76:X116,$K76:$K116 = ""ACTIVE"",$G76:$G116 = ""Deflect/Enhance/Resist"",X76:X1"&amp;"16&lt;0))),
MAX(IFERROR(FILTER(X76:X116,$K76:$K116 = ""ACTIVE"",$G76:$G116 = ""Insight"",X76:X116&gt;0)))+SUM(IFERROR(FILTER(X76:X116,$K76:$K116 = ""ACTIVE"",$G76:$G116 = ""Insight"",X76:X116&lt;0))),
MAX(IFERROR(FILTER(X76:X116,$K76:$K116 = ""ACTIVE"",$G76:$G116 "&amp;"= ""Luck"",X76:X116&gt;0)))+SUM(IFERROR(FILTER(X76:X116,$K76:$K116 = ""ACTIVE"",$G76:$G116 = ""Luck"",X76:X116&lt;0))),
MAX(IFERROR(FILTER(X76:X116,$K76:$K116 = ""ACTIVE"",$G76:$G116 = ""Morale"",X76:X116&gt;0)))+SUM(IFERROR(FILTER(X76:X116,$K76:$K116 = ""ACTIVE"""&amp;",$G76:$G116 = ""Morale"",X76:X116&lt;0))),
MAX(IFERROR(FILTER(X76:X116,$K76:$K116 = ""ACTIVE"",$G76:$G116 = ""Precision Damage"",X76:X116&gt;0)))+SUM(IFERROR(FILTER(X76:X116,$K76:$K116 = ""ACTIVE"",$G76:$G116 = ""Precision Damage"",X76:X116&lt;0))),
MAX(IFERROR(FI"&amp;"LTER(X76:X116,$K76:$K116 = ""ACTIVE"",$G76:$G116 = ""Sacred / Profane"",X76:X116&gt;0)))+SUM(IFERROR(FILTER(X76:X116,$K76:$K116 = ""ACTIVE"",$G76:$G116 = ""Sacred / Profane"",X76:X116&lt;0))),
MAX(IFERROR(FILTER(X76:X116,$K76:$K116 = ""ACTIVE"",$G76:$G116 = ""S"&amp;"ize"",X76:X116&gt;0)))+SUM(IFERROR(FILTER(X76:X116,$K76:$K116 = ""ACTIVE"",$G76:$G116 = ""Size"",X76:X116&lt;0))),
SUM(IFERROR(FILTER(X76:X116,$K76:$K116 = ""ACTIVE"",$G76:$G116 = ""Untyped (stacks)"")),),
SUM(IFERROR(FILTER(X76:X116,$K76:$K116 = ""ACTIVE"",$G7"&amp;"6:$G116 = ""Dodge (stacks)"")),),
SUM(IFERROR(FILTER(X76:X116,$K76:$K116 = ""ACTIVE"",$G76:$G116 = ""Circumstance (stacks)"")),))
"),0.0)</f>
        <v>0</v>
      </c>
      <c r="Y74" s="937">
        <f>IFERROR(__xludf.DUMMYFUNCTION("SUM(MAX(IFERROR(FILTER(Y76:Y116,$K76:$K116 = ""ACTIVE"",$G76:$G116 = ""Alchemical"",Y76:Y116&gt;0)))+SUM(IFERROR(FILTER(Y76:Y116,$K76:$K116 = ""ACTIVE"",$G76:$G116 = ""Alchemical"",Y76:Y116&lt;0))),
MAX(IFERROR(FILTER(Y76:Y116,$K76:$K116 = ""ACTIVE"",$G76:$G116"&amp;" = ""Armor"",Y76:Y116&gt;0)))+SUM(IFERROR(FILTER(Y76:Y116,$K76:$K116 = ""ACTIVE"",$G76:$G116 = ""Armor"",Y76:Y116&lt;0))),
MAX(IFERROR(FILTER(Y76:Y116,$K76:$K116 = ""ACTIVE"",$G76:$G116 = ""Competence"",Y76:Y116&gt;0)))+SUM(IFERROR(FILTER(Y76:Y116,$K76:$K116 = ""A"&amp;"CTIVE"",$G76:$G116 = ""Competence"",Y76:Y116&lt;0))),
MAX(IFERROR(FILTER(Y76:Y116,$K76:$K116 = ""ACTIVE"",$G76:$G116 = ""Deflect/Enhance/Resist"",Y76:Y116&gt;0)))+SUM(IFERROR(FILTER(Y76:Y116,$K76:$K116 = ""ACTIVE"",$G76:$G116 = ""Deflect/Enhance/Resist"",Y76:Y1"&amp;"16&lt;0))),
MAX(IFERROR(FILTER(Y76:Y116,$K76:$K116 = ""ACTIVE"",$G76:$G116 = ""Insight"",Y76:Y116&gt;0)))+SUM(IFERROR(FILTER(Y76:Y116,$K76:$K116 = ""ACTIVE"",$G76:$G116 = ""Insight"",Y76:Y116&lt;0))),
MAX(IFERROR(FILTER(Y76:Y116,$K76:$K116 = ""ACTIVE"",$G76:$G116 "&amp;"= ""Luck"",Y76:Y116&gt;0)))+SUM(IFERROR(FILTER(Y76:Y116,$K76:$K116 = ""ACTIVE"",$G76:$G116 = ""Luck"",Y76:Y116&lt;0))),
MAX(IFERROR(FILTER(Y76:Y116,$K76:$K116 = ""ACTIVE"",$G76:$G116 = ""Morale"",Y76:Y116&gt;0)))+SUM(IFERROR(FILTER(Y76:Y116,$K76:$K116 = ""ACTIVE"""&amp;",$G76:$G116 = ""Morale"",Y76:Y116&lt;0))),
MAX(IFERROR(FILTER(Y76:Y116,$K76:$K116 = ""ACTIVE"",$G76:$G116 = ""Precision Damage"",Y76:Y116&gt;0)))+SUM(IFERROR(FILTER(Y76:Y116,$K76:$K116 = ""ACTIVE"",$G76:$G116 = ""Precision Damage"",Y76:Y116&lt;0))),
MAX(IFERROR(FI"&amp;"LTER(Y76:Y116,$K76:$K116 = ""ACTIVE"",$G76:$G116 = ""Sacred / Profane"",Y76:Y116&gt;0)))+SUM(IFERROR(FILTER(Y76:Y116,$K76:$K116 = ""ACTIVE"",$G76:$G116 = ""Sacred / Profane"",Y76:Y116&lt;0))),
MAX(IFERROR(FILTER(Y76:Y116,$K76:$K116 = ""ACTIVE"",$G76:$G116 = ""S"&amp;"ize"",Y76:Y116&gt;0)))+SUM(IFERROR(FILTER(Y76:Y116,$K76:$K116 = ""ACTIVE"",$G76:$G116 = ""Size"",Y76:Y116&lt;0))),
SUM(IFERROR(FILTER(Y76:Y116,$K76:$K116 = ""ACTIVE"",$G76:$G116 = ""Untyped (stacks)"")),),
SUM(IFERROR(FILTER(Y76:Y116,$K76:$K116 = ""ACTIVE"",$G7"&amp;"6:$G116 = ""Dodge (stacks)"")),),
SUM(IFERROR(FILTER(Y76:Y116,$K76:$K116 = ""ACTIVE"",$G76:$G116 = ""Circumstance (stacks)"")),))
"),0.0)</f>
        <v>0</v>
      </c>
      <c r="Z74" s="937">
        <f>IFERROR(__xludf.DUMMYFUNCTION("SUM(MAX(IFERROR(FILTER(Z76:Z116,$K76:$K116 = ""ACTIVE"",$G76:$G116 = ""Alchemical"",Z76:Z116&gt;0)))+SUM(IFERROR(FILTER(Z76:Z116,$K76:$K116 = ""ACTIVE"",$G76:$G116 = ""Alchemical"",Z76:Z116&lt;0))),
MAX(IFERROR(FILTER(Z76:Z116,$K76:$K116 = ""ACTIVE"",$G76:$G116"&amp;" = ""Armor"",Z76:Z116&gt;0)))+SUM(IFERROR(FILTER(Z76:Z116,$K76:$K116 = ""ACTIVE"",$G76:$G116 = ""Armor"",Z76:Z116&lt;0))),
MAX(IFERROR(FILTER(Z76:Z116,$K76:$K116 = ""ACTIVE"",$G76:$G116 = ""Competence"",Z76:Z116&gt;0)))+SUM(IFERROR(FILTER(Z76:Z116,$K76:$K116 = ""A"&amp;"CTIVE"",$G76:$G116 = ""Competence"",Z76:Z116&lt;0))),
MAX(IFERROR(FILTER(Z76:Z116,$K76:$K116 = ""ACTIVE"",$G76:$G116 = ""Deflect/Enhance/Resist"",Z76:Z116&gt;0)))+SUM(IFERROR(FILTER(Z76:Z116,$K76:$K116 = ""ACTIVE"",$G76:$G116 = ""Deflect/Enhance/Resist"",Z76:Z1"&amp;"16&lt;0))),
MAX(IFERROR(FILTER(Z76:Z116,$K76:$K116 = ""ACTIVE"",$G76:$G116 = ""Insight"",Z76:Z116&gt;0)))+SUM(IFERROR(FILTER(Z76:Z116,$K76:$K116 = ""ACTIVE"",$G76:$G116 = ""Insight"",Z76:Z116&lt;0))),
MAX(IFERROR(FILTER(Z76:Z116,$K76:$K116 = ""ACTIVE"",$G76:$G116 "&amp;"= ""Luck"",Z76:Z116&gt;0)))+SUM(IFERROR(FILTER(Z76:Z116,$K76:$K116 = ""ACTIVE"",$G76:$G116 = ""Luck"",Z76:Z116&lt;0))),
MAX(IFERROR(FILTER(Z76:Z116,$K76:$K116 = ""ACTIVE"",$G76:$G116 = ""Morale"",Z76:Z116&gt;0)))+SUM(IFERROR(FILTER(Z76:Z116,$K76:$K116 = ""ACTIVE"""&amp;",$G76:$G116 = ""Morale"",Z76:Z116&lt;0))),
MAX(IFERROR(FILTER(Z76:Z116,$K76:$K116 = ""ACTIVE"",$G76:$G116 = ""Precision Damage"",Z76:Z116&gt;0)))+SUM(IFERROR(FILTER(Z76:Z116,$K76:$K116 = ""ACTIVE"",$G76:$G116 = ""Precision Damage"",Z76:Z116&lt;0))),
MAX(IFERROR(FI"&amp;"LTER(Z76:Z116,$K76:$K116 = ""ACTIVE"",$G76:$G116 = ""Sacred / Profane"",Z76:Z116&gt;0)))+SUM(IFERROR(FILTER(Z76:Z116,$K76:$K116 = ""ACTIVE"",$G76:$G116 = ""Sacred / Profane"",Z76:Z116&lt;0))),
MAX(IFERROR(FILTER(Z76:Z116,$K76:$K116 = ""ACTIVE"",$G76:$G116 = ""S"&amp;"ize"",Z76:Z116&gt;0)))+SUM(IFERROR(FILTER(Z76:Z116,$K76:$K116 = ""ACTIVE"",$G76:$G116 = ""Size"",Z76:Z116&lt;0))),
SUM(IFERROR(FILTER(Z76:Z116,$K76:$K116 = ""ACTIVE"",$G76:$G116 = ""Untyped (stacks)"")),),
SUM(IFERROR(FILTER(Z76:Z116,$K76:$K116 = ""ACTIVE"",$G7"&amp;"6:$G116 = ""Dodge (stacks)"")),),
SUM(IFERROR(FILTER(Z76:Z116,$K76:$K116 = ""ACTIVE"",$G76:$G116 = ""Circumstance (stacks)"")),))
"),0.0)</f>
        <v>0</v>
      </c>
      <c r="AA74" s="937">
        <f>IFERROR(__xludf.DUMMYFUNCTION("SUM(MAX(IFERROR(FILTER(AA76:AA116,$K76:$K116 = ""ACTIVE"",$G76:$G116 = ""Alchemical"",AA76:AA116&gt;0)))+SUM(IFERROR(FILTER(AA76:AA116,$K76:$K116 = ""ACTIVE"",$G76:$G116 = ""Alchemical"",AA76:AA116&lt;0))),
MAX(IFERROR(FILTER(AA76:AA116,$K76:$K116 = ""ACTIVE"","&amp;"$G76:$G116 = ""Armor"",AA76:AA116&gt;0)))+SUM(IFERROR(FILTER(AA76:AA116,$K76:$K116 = ""ACTIVE"",$G76:$G116 = ""Armor"",AA76:AA116&lt;0))),
MAX(IFERROR(FILTER(AA76:AA116,$K76:$K116 = ""ACTIVE"",$G76:$G116 = ""Competence"",AA76:AA116&gt;0)))+SUM(IFERROR(FILTER(AA76:"&amp;"AA116,$K76:$K116 = ""ACTIVE"",$G76:$G116 = ""Competence"",AA76:AA116&lt;0))),
MAX(IFERROR(FILTER(AA76:AA116,$K76:$K116 = ""ACTIVE"",$G76:$G116 = ""Deflect/Enhance/Resist"",AA76:AA116&gt;0)))+SUM(IFERROR(FILTER(AA76:AA116,$K76:$K116 = ""ACTIVE"",$G76:$G116 = ""D"&amp;"eflect/Enhance/Resist"",AA76:AA116&lt;0))),
MAX(IFERROR(FILTER(AA76:AA116,$K76:$K116 = ""ACTIVE"",$G76:$G116 = ""Insight"",AA76:AA116&gt;0)))+SUM(IFERROR(FILTER(AA76:AA116,$K76:$K116 = ""ACTIVE"",$G76:$G116 = ""Insight"",AA76:AA116&lt;0))),
MAX(IFERROR(FILTER(AA76"&amp;":AA116,$K76:$K116 = ""ACTIVE"",$G76:$G116 = ""Luck"",AA76:AA116&gt;0)))+SUM(IFERROR(FILTER(AA76:AA116,$K76:$K116 = ""ACTIVE"",$G76:$G116 = ""Luck"",AA76:AA116&lt;0))),
MAX(IFERROR(FILTER(AA76:AA116,$K76:$K116 = ""ACTIVE"",$G76:$G116 = ""Morale"",AA76:AA116&gt;0)))"&amp;"+SUM(IFERROR(FILTER(AA76:AA116,$K76:$K116 = ""ACTIVE"",$G76:$G116 = ""Morale"",AA76:AA116&lt;0))),
MAX(IFERROR(FILTER(AA76:AA116,$K76:$K116 = ""ACTIVE"",$G76:$G116 = ""Precision Damage"",AA76:AA116&gt;0)))+SUM(IFERROR(FILTER(AA76:AA116,$K76:$K116 = ""ACTIVE"",$"&amp;"G76:$G116 = ""Precision Damage"",AA76:AA116&lt;0))),
MAX(IFERROR(FILTER(AA76:AA116,$K76:$K116 = ""ACTIVE"",$G76:$G116 = ""Sacred / Profane"",AA76:AA116&gt;0)))+SUM(IFERROR(FILTER(AA76:AA116,$K76:$K116 = ""ACTIVE"",$G76:$G116 = ""Sacred / Profane"",AA76:AA116&lt;0)"&amp;")),
MAX(IFERROR(FILTER(AA76:AA116,$K76:$K116 = ""ACTIVE"",$G76:$G116 = ""Size"",AA76:AA116&gt;0)))+SUM(IFERROR(FILTER(AA76:AA116,$K76:$K116 = ""ACTIVE"",$G76:$G116 = ""Size"",AA76:AA116&lt;0))),
SUM(IFERROR(FILTER(AA76:AA116,$K76:$K116 = ""ACTIVE"",$G76:$G116 ="&amp;" ""Untyped (stacks)"")),),
SUM(IFERROR(FILTER(AA76:AA116,$K76:$K116 = ""ACTIVE"",$G76:$G116 = ""Dodge (stacks)"")),),
SUM(IFERROR(FILTER(AA76:AA116,$K76:$K116 = ""ACTIVE"",$G76:$G116 = ""Circumstance (stacks)"")),))
"),0.0)</f>
        <v>0</v>
      </c>
      <c r="AB74" s="937">
        <f>IFERROR(__xludf.DUMMYFUNCTION("SUM(MAX(IFERROR(FILTER(AB76:AB116,$K76:$K116 = ""ACTIVE"",$G76:$G116 = ""Alchemical"",AB76:AB116&gt;0)))+SUM(IFERROR(FILTER(AB76:AB116,$K76:$K116 = ""ACTIVE"",$G76:$G116 = ""Alchemical"",AB76:AB116&lt;0))),
MAX(IFERROR(FILTER(AB76:AB116,$K76:$K116 = ""ACTIVE"","&amp;"$G76:$G116 = ""Armor"",AB76:AB116&gt;0)))+SUM(IFERROR(FILTER(AB76:AB116,$K76:$K116 = ""ACTIVE"",$G76:$G116 = ""Armor"",AB76:AB116&lt;0))),
MAX(IFERROR(FILTER(AB76:AB116,$K76:$K116 = ""ACTIVE"",$G76:$G116 = ""Competence"",AB76:AB116&gt;0)))+SUM(IFERROR(FILTER(AB76:"&amp;"AB116,$K76:$K116 = ""ACTIVE"",$G76:$G116 = ""Competence"",AB76:AB116&lt;0))),
MAX(IFERROR(FILTER(AB76:AB116,$K76:$K116 = ""ACTIVE"",$G76:$G116 = ""Deflect/Enhance/Resist"",AB76:AB116&gt;0)))+SUM(IFERROR(FILTER(AB76:AB116,$K76:$K116 = ""ACTIVE"",$G76:$G116 = ""D"&amp;"eflect/Enhance/Resist"",AB76:AB116&lt;0))),
MAX(IFERROR(FILTER(AB76:AB116,$K76:$K116 = ""ACTIVE"",$G76:$G116 = ""Insight"",AB76:AB116&gt;0)))+SUM(IFERROR(FILTER(AB76:AB116,$K76:$K116 = ""ACTIVE"",$G76:$G116 = ""Insight"",AB76:AB116&lt;0))),
MAX(IFERROR(FILTER(AB76"&amp;":AB116,$K76:$K116 = ""ACTIVE"",$G76:$G116 = ""Luck"",AB76:AB116&gt;0)))+SUM(IFERROR(FILTER(AB76:AB116,$K76:$K116 = ""ACTIVE"",$G76:$G116 = ""Luck"",AB76:AB116&lt;0))),
MAX(IFERROR(FILTER(AB76:AB116,$K76:$K116 = ""ACTIVE"",$G76:$G116 = ""Morale"",AB76:AB116&gt;0)))"&amp;"+SUM(IFERROR(FILTER(AB76:AB116,$K76:$K116 = ""ACTIVE"",$G76:$G116 = ""Morale"",AB76:AB116&lt;0))),
MAX(IFERROR(FILTER(AB76:AB116,$K76:$K116 = ""ACTIVE"",$G76:$G116 = ""Precision Damage"",AB76:AB116&gt;0)))+SUM(IFERROR(FILTER(AB76:AB116,$K76:$K116 = ""ACTIVE"",$"&amp;"G76:$G116 = ""Precision Damage"",AB76:AB116&lt;0))),
MAX(IFERROR(FILTER(AB76:AB116,$K76:$K116 = ""ACTIVE"",$G76:$G116 = ""Sacred / Profane"",AB76:AB116&gt;0)))+SUM(IFERROR(FILTER(AB76:AB116,$K76:$K116 = ""ACTIVE"",$G76:$G116 = ""Sacred / Profane"",AB76:AB116&lt;0)"&amp;")),
MAX(IFERROR(FILTER(AB76:AB116,$K76:$K116 = ""ACTIVE"",$G76:$G116 = ""Size"",AB76:AB116&gt;0)))+SUM(IFERROR(FILTER(AB76:AB116,$K76:$K116 = ""ACTIVE"",$G76:$G116 = ""Size"",AB76:AB116&lt;0))),
SUM(IFERROR(FILTER(AB76:AB116,$K76:$K116 = ""ACTIVE"",$G76:$G116 ="&amp;" ""Untyped (stacks)"")),),
SUM(IFERROR(FILTER(AB76:AB116,$K76:$K116 = ""ACTIVE"",$G76:$G116 = ""Dodge (stacks)"")),),
SUM(IFERROR(FILTER(AB76:AB116,$K76:$K116 = ""ACTIVE"",$G76:$G116 = ""Circumstance (stacks)"")),))
"),0.0)</f>
        <v>0</v>
      </c>
      <c r="AC74" s="937">
        <f>IFERROR(__xludf.DUMMYFUNCTION("SUM(MAX(IFERROR(FILTER(AC76:AC116,$K76:$K116 = ""ACTIVE"",$G76:$G116 = ""Alchemical"",AC76:AC116&gt;0)))+SUM(IFERROR(FILTER(AC76:AC116,$K76:$K116 = ""ACTIVE"",$G76:$G116 = ""Alchemical"",AC76:AC116&lt;0))),
MAX(IFERROR(FILTER(AC76:AC116,$K76:$K116 = ""ACTIVE"","&amp;"$G76:$G116 = ""Armor"",AC76:AC116&gt;0)))+SUM(IFERROR(FILTER(AC76:AC116,$K76:$K116 = ""ACTIVE"",$G76:$G116 = ""Armor"",AC76:AC116&lt;0))),
MAX(IFERROR(FILTER(AC76:AC116,$K76:$K116 = ""ACTIVE"",$G76:$G116 = ""Competence"",AC76:AC116&gt;0)))+SUM(IFERROR(FILTER(AC76:"&amp;"AC116,$K76:$K116 = ""ACTIVE"",$G76:$G116 = ""Competence"",AC76:AC116&lt;0))),
MAX(IFERROR(FILTER(AC76:AC116,$K76:$K116 = ""ACTIVE"",$G76:$G116 = ""Deflect/Enhance/Resist"",AC76:AC116&gt;0)))+SUM(IFERROR(FILTER(AC76:AC116,$K76:$K116 = ""ACTIVE"",$G76:$G116 = ""D"&amp;"eflect/Enhance/Resist"",AC76:AC116&lt;0))),
MAX(IFERROR(FILTER(AC76:AC116,$K76:$K116 = ""ACTIVE"",$G76:$G116 = ""Insight"",AC76:AC116&gt;0)))+SUM(IFERROR(FILTER(AC76:AC116,$K76:$K116 = ""ACTIVE"",$G76:$G116 = ""Insight"",AC76:AC116&lt;0))),
MAX(IFERROR(FILTER(AC76"&amp;":AC116,$K76:$K116 = ""ACTIVE"",$G76:$G116 = ""Luck"",AC76:AC116&gt;0)))+SUM(IFERROR(FILTER(AC76:AC116,$K76:$K116 = ""ACTIVE"",$G76:$G116 = ""Luck"",AC76:AC116&lt;0))),
MAX(IFERROR(FILTER(AC76:AC116,$K76:$K116 = ""ACTIVE"",$G76:$G116 = ""Morale"",AC76:AC116&gt;0)))"&amp;"+SUM(IFERROR(FILTER(AC76:AC116,$K76:$K116 = ""ACTIVE"",$G76:$G116 = ""Morale"",AC76:AC116&lt;0))),
MAX(IFERROR(FILTER(AC76:AC116,$K76:$K116 = ""ACTIVE"",$G76:$G116 = ""Precision Damage"",AC76:AC116&gt;0)))+SUM(IFERROR(FILTER(AC76:AC116,$K76:$K116 = ""ACTIVE"",$"&amp;"G76:$G116 = ""Precision Damage"",AC76:AC116&lt;0))),
MAX(IFERROR(FILTER(AC76:AC116,$K76:$K116 = ""ACTIVE"",$G76:$G116 = ""Sacred / Profane"",AC76:AC116&gt;0)))+SUM(IFERROR(FILTER(AC76:AC116,$K76:$K116 = ""ACTIVE"",$G76:$G116 = ""Sacred / Profane"",AC76:AC116&lt;0)"&amp;")),
MAX(IFERROR(FILTER(AC76:AC116,$K76:$K116 = ""ACTIVE"",$G76:$G116 = ""Size"",AC76:AC116&gt;0)))+SUM(IFERROR(FILTER(AC76:AC116,$K76:$K116 = ""ACTIVE"",$G76:$G116 = ""Size"",AC76:AC116&lt;0))),
SUM(IFERROR(FILTER(AC76:AC116,$K76:$K116 = ""ACTIVE"",$G76:$G116 ="&amp;" ""Untyped (stacks)"")),),
SUM(IFERROR(FILTER(AC76:AC116,$K76:$K116 = ""ACTIVE"",$G76:$G116 = ""Dodge (stacks)"")),),
SUM(IFERROR(FILTER(AC76:AC116,$K76:$K116 = ""ACTIVE"",$G76:$G116 = ""Circumstance (stacks)"")),))
"),0.0)</f>
        <v>0</v>
      </c>
      <c r="AD74" s="937">
        <f>IFERROR(__xludf.DUMMYFUNCTION("SUM(MAX(IFERROR(FILTER(AD76:AD116,$K76:$K116 = ""ACTIVE"",$G76:$G116 = ""Alchemical"",AD76:AD116&gt;0)))+SUM(IFERROR(FILTER(AD76:AD116,$K76:$K116 = ""ACTIVE"",$G76:$G116 = ""Alchemical"",AD76:AD116&lt;0))),
MAX(IFERROR(FILTER(AD76:AD116,$K76:$K116 = ""ACTIVE"","&amp;"$G76:$G116 = ""Armor"",AD76:AD116&gt;0)))+SUM(IFERROR(FILTER(AD76:AD116,$K76:$K116 = ""ACTIVE"",$G76:$G116 = ""Armor"",AD76:AD116&lt;0))),
MAX(IFERROR(FILTER(AD76:AD116,$K76:$K116 = ""ACTIVE"",$G76:$G116 = ""Competence"",AD76:AD116&gt;0)))+SUM(IFERROR(FILTER(AD76:"&amp;"AD116,$K76:$K116 = ""ACTIVE"",$G76:$G116 = ""Competence"",AD76:AD116&lt;0))),
MAX(IFERROR(FILTER(AD76:AD116,$K76:$K116 = ""ACTIVE"",$G76:$G116 = ""Deflect/Enhance/Resist"",AD76:AD116&gt;0)))+SUM(IFERROR(FILTER(AD76:AD116,$K76:$K116 = ""ACTIVE"",$G76:$G116 = ""D"&amp;"eflect/Enhance/Resist"",AD76:AD116&lt;0))),
MAX(IFERROR(FILTER(AD76:AD116,$K76:$K116 = ""ACTIVE"",$G76:$G116 = ""Insight"",AD76:AD116&gt;0)))+SUM(IFERROR(FILTER(AD76:AD116,$K76:$K116 = ""ACTIVE"",$G76:$G116 = ""Insight"",AD76:AD116&lt;0))),
MAX(IFERROR(FILTER(AD76"&amp;":AD116,$K76:$K116 = ""ACTIVE"",$G76:$G116 = ""Luck"",AD76:AD116&gt;0)))+SUM(IFERROR(FILTER(AD76:AD116,$K76:$K116 = ""ACTIVE"",$G76:$G116 = ""Luck"",AD76:AD116&lt;0))),
MAX(IFERROR(FILTER(AD76:AD116,$K76:$K116 = ""ACTIVE"",$G76:$G116 = ""Morale"",AD76:AD116&gt;0)))"&amp;"+SUM(IFERROR(FILTER(AD76:AD116,$K76:$K116 = ""ACTIVE"",$G76:$G116 = ""Morale"",AD76:AD116&lt;0))),
MAX(IFERROR(FILTER(AD76:AD116,$K76:$K116 = ""ACTIVE"",$G76:$G116 = ""Precision Damage"",AD76:AD116&gt;0)))+SUM(IFERROR(FILTER(AD76:AD116,$K76:$K116 = ""ACTIVE"",$"&amp;"G76:$G116 = ""Precision Damage"",AD76:AD116&lt;0))),
MAX(IFERROR(FILTER(AD76:AD116,$K76:$K116 = ""ACTIVE"",$G76:$G116 = ""Sacred / Profane"",AD76:AD116&gt;0)))+SUM(IFERROR(FILTER(AD76:AD116,$K76:$K116 = ""ACTIVE"",$G76:$G116 = ""Sacred / Profane"",AD76:AD116&lt;0)"&amp;")),
MAX(IFERROR(FILTER(AD76:AD116,$K76:$K116 = ""ACTIVE"",$G76:$G116 = ""Size"",AD76:AD116&gt;0)))+SUM(IFERROR(FILTER(AD76:AD116,$K76:$K116 = ""ACTIVE"",$G76:$G116 = ""Size"",AD76:AD116&lt;0))),
SUM(IFERROR(FILTER(AD76:AD116,$K76:$K116 = ""ACTIVE"",$G76:$G116 ="&amp;" ""Untyped (stacks)"")),),
SUM(IFERROR(FILTER(AD76:AD116,$K76:$K116 = ""ACTIVE"",$G76:$G116 = ""Dodge (stacks)"")),),
SUM(IFERROR(FILTER(AD76:AD116,$K76:$K116 = ""ACTIVE"",$G76:$G116 = ""Circumstance (stacks)"")),))
"),0.0)</f>
        <v>0</v>
      </c>
      <c r="AE74" s="937">
        <f>IFERROR(__xludf.DUMMYFUNCTION("SUM(MAX(IFERROR(FILTER(AE76:AE116,$K76:$K116 = ""ACTIVE"",$G76:$G116 = ""Alchemical"",AE76:AE116&gt;0)))+SUM(IFERROR(FILTER(AE76:AE116,$K76:$K116 = ""ACTIVE"",$G76:$G116 = ""Alchemical"",AE76:AE116&lt;0))),
MAX(IFERROR(FILTER(AE76:AE116,$K76:$K116 = ""ACTIVE"","&amp;"$G76:$G116 = ""Armor"",AE76:AE116&gt;0)))+SUM(IFERROR(FILTER(AE76:AE116,$K76:$K116 = ""ACTIVE"",$G76:$G116 = ""Armor"",AE76:AE116&lt;0))),
MAX(IFERROR(FILTER(AE76:AE116,$K76:$K116 = ""ACTIVE"",$G76:$G116 = ""Competence"",AE76:AE116&gt;0)))+SUM(IFERROR(FILTER(AE76:"&amp;"AE116,$K76:$K116 = ""ACTIVE"",$G76:$G116 = ""Competence"",AE76:AE116&lt;0))),
MAX(IFERROR(FILTER(AE76:AE116,$K76:$K116 = ""ACTIVE"",$G76:$G116 = ""Deflect/Enhance/Resist"",AE76:AE116&gt;0)))+SUM(IFERROR(FILTER(AE76:AE116,$K76:$K116 = ""ACTIVE"",$G76:$G116 = ""D"&amp;"eflect/Enhance/Resist"",AE76:AE116&lt;0))),
MAX(IFERROR(FILTER(AE76:AE116,$K76:$K116 = ""ACTIVE"",$G76:$G116 = ""Insight"",AE76:AE116&gt;0)))+SUM(IFERROR(FILTER(AE76:AE116,$K76:$K116 = ""ACTIVE"",$G76:$G116 = ""Insight"",AE76:AE116&lt;0))),
MAX(IFERROR(FILTER(AE76"&amp;":AE116,$K76:$K116 = ""ACTIVE"",$G76:$G116 = ""Luck"",AE76:AE116&gt;0)))+SUM(IFERROR(FILTER(AE76:AE116,$K76:$K116 = ""ACTIVE"",$G76:$G116 = ""Luck"",AE76:AE116&lt;0))),
MAX(IFERROR(FILTER(AE76:AE116,$K76:$K116 = ""ACTIVE"",$G76:$G116 = ""Morale"",AE76:AE116&gt;0)))"&amp;"+SUM(IFERROR(FILTER(AE76:AE116,$K76:$K116 = ""ACTIVE"",$G76:$G116 = ""Morale"",AE76:AE116&lt;0))),
MAX(IFERROR(FILTER(AE76:AE116,$K76:$K116 = ""ACTIVE"",$G76:$G116 = ""Precision Damage"",AE76:AE116&gt;0)))+SUM(IFERROR(FILTER(AE76:AE116,$K76:$K116 = ""ACTIVE"",$"&amp;"G76:$G116 = ""Precision Damage"",AE76:AE116&lt;0))),
MAX(IFERROR(FILTER(AE76:AE116,$K76:$K116 = ""ACTIVE"",$G76:$G116 = ""Sacred / Profane"",AE76:AE116&gt;0)))+SUM(IFERROR(FILTER(AE76:AE116,$K76:$K116 = ""ACTIVE"",$G76:$G116 = ""Sacred / Profane"",AE76:AE116&lt;0)"&amp;")),
MAX(IFERROR(FILTER(AE76:AE116,$K76:$K116 = ""ACTIVE"",$G76:$G116 = ""Size"",AE76:AE116&gt;0)))+SUM(IFERROR(FILTER(AE76:AE116,$K76:$K116 = ""ACTIVE"",$G76:$G116 = ""Size"",AE76:AE116&lt;0))),
SUM(IFERROR(FILTER(AE76:AE116,$K76:$K116 = ""ACTIVE"",$G76:$G116 ="&amp;" ""Untyped (stacks)"")),),
SUM(IFERROR(FILTER(AE76:AE116,$K76:$K116 = ""ACTIVE"",$G76:$G116 = ""Dodge (stacks)"")),),
SUM(IFERROR(FILTER(AE76:AE116,$K76:$K116 = ""ACTIVE"",$G76:$G116 = ""Circumstance (stacks)"")),))
"),0.0)</f>
        <v>0</v>
      </c>
      <c r="AF74" s="937">
        <f>IFERROR(__xludf.DUMMYFUNCTION("SUM(MAX(IFERROR(FILTER(AF76:AF116,$K76:$K116 = ""ACTIVE"",$G76:$G116 = ""Alchemical"",AF76:AF116&gt;0)))+SUM(IFERROR(FILTER(AF76:AF116,$K76:$K116 = ""ACTIVE"",$G76:$G116 = ""Alchemical"",AF76:AF116&lt;0))),
MAX(IFERROR(FILTER(AF76:AF116,$K76:$K116 = ""ACTIVE"","&amp;"$G76:$G116 = ""Armor"",AF76:AF116&gt;0)))+SUM(IFERROR(FILTER(AF76:AF116,$K76:$K116 = ""ACTIVE"",$G76:$G116 = ""Armor"",AF76:AF116&lt;0))),
MAX(IFERROR(FILTER(AF76:AF116,$K76:$K116 = ""ACTIVE"",$G76:$G116 = ""Competence"",AF76:AF116&gt;0)))+SUM(IFERROR(FILTER(AF76:"&amp;"AF116,$K76:$K116 = ""ACTIVE"",$G76:$G116 = ""Competence"",AF76:AF116&lt;0))),
MAX(IFERROR(FILTER(AF76:AF116,$K76:$K116 = ""ACTIVE"",$G76:$G116 = ""Deflect/Enhance/Resist"",AF76:AF116&gt;0)))+SUM(IFERROR(FILTER(AF76:AF116,$K76:$K116 = ""ACTIVE"",$G76:$G116 = ""D"&amp;"eflect/Enhance/Resist"",AF76:AF116&lt;0))),
MAX(IFERROR(FILTER(AF76:AF116,$K76:$K116 = ""ACTIVE"",$G76:$G116 = ""Insight"",AF76:AF116&gt;0)))+SUM(IFERROR(FILTER(AF76:AF116,$K76:$K116 = ""ACTIVE"",$G76:$G116 = ""Insight"",AF76:AF116&lt;0))),
MAX(IFERROR(FILTER(AF76"&amp;":AF116,$K76:$K116 = ""ACTIVE"",$G76:$G116 = ""Luck"",AF76:AF116&gt;0)))+SUM(IFERROR(FILTER(AF76:AF116,$K76:$K116 = ""ACTIVE"",$G76:$G116 = ""Luck"",AF76:AF116&lt;0))),
MAX(IFERROR(FILTER(AF76:AF116,$K76:$K116 = ""ACTIVE"",$G76:$G116 = ""Morale"",AF76:AF116&gt;0)))"&amp;"+SUM(IFERROR(FILTER(AF76:AF116,$K76:$K116 = ""ACTIVE"",$G76:$G116 = ""Morale"",AF76:AF116&lt;0))),
MAX(IFERROR(FILTER(AF76:AF116,$K76:$K116 = ""ACTIVE"",$G76:$G116 = ""Precision Damage"",AF76:AF116&gt;0)))+SUM(IFERROR(FILTER(AF76:AF116,$K76:$K116 = ""ACTIVE"",$"&amp;"G76:$G116 = ""Precision Damage"",AF76:AF116&lt;0))),
MAX(IFERROR(FILTER(AF76:AF116,$K76:$K116 = ""ACTIVE"",$G76:$G116 = ""Sacred / Profane"",AF76:AF116&gt;0)))+SUM(IFERROR(FILTER(AF76:AF116,$K76:$K116 = ""ACTIVE"",$G76:$G116 = ""Sacred / Profane"",AF76:AF116&lt;0)"&amp;")),
MAX(IFERROR(FILTER(AF76:AF116,$K76:$K116 = ""ACTIVE"",$G76:$G116 = ""Size"",AF76:AF116&gt;0)))+SUM(IFERROR(FILTER(AF76:AF116,$K76:$K116 = ""ACTIVE"",$G76:$G116 = ""Size"",AF76:AF116&lt;0))),
SUM(IFERROR(FILTER(AF76:AF116,$K76:$K116 = ""ACTIVE"",$G76:$G116 ="&amp;" ""Untyped (stacks)"")),),
SUM(IFERROR(FILTER(AF76:AF116,$K76:$K116 = ""ACTIVE"",$G76:$G116 = ""Dodge (stacks)"")),),
SUM(IFERROR(FILTER(AF76:AF116,$K76:$K116 = ""ACTIVE"",$G76:$G116 = ""Circumstance (stacks)"")),))
"),0.0)</f>
        <v>0</v>
      </c>
      <c r="AG74" s="937">
        <f>IFERROR(__xludf.DUMMYFUNCTION("SUM(MAX(IFERROR(FILTER(AG76:AG116,$K76:$K116 = ""ACTIVE"",$G76:$G116 = ""Alchemical"",AG76:AG116&gt;0)))+SUM(IFERROR(FILTER(AG76:AG116,$K76:$K116 = ""ACTIVE"",$G76:$G116 = ""Alchemical"",AG76:AG116&lt;0))),
MAX(IFERROR(FILTER(AG76:AG116,$K76:$K116 = ""ACTIVE"","&amp;"$G76:$G116 = ""Armor"",AG76:AG116&gt;0)))+SUM(IFERROR(FILTER(AG76:AG116,$K76:$K116 = ""ACTIVE"",$G76:$G116 = ""Armor"",AG76:AG116&lt;0))),
MAX(IFERROR(FILTER(AG76:AG116,$K76:$K116 = ""ACTIVE"",$G76:$G116 = ""Competence"",AG76:AG116&gt;0)))+SUM(IFERROR(FILTER(AG76:"&amp;"AG116,$K76:$K116 = ""ACTIVE"",$G76:$G116 = ""Competence"",AG76:AG116&lt;0))),
MAX(IFERROR(FILTER(AG76:AG116,$K76:$K116 = ""ACTIVE"",$G76:$G116 = ""Deflect/Enhance/Resist"",AG76:AG116&gt;0)))+SUM(IFERROR(FILTER(AG76:AG116,$K76:$K116 = ""ACTIVE"",$G76:$G116 = ""D"&amp;"eflect/Enhance/Resist"",AG76:AG116&lt;0))),
MAX(IFERROR(FILTER(AG76:AG116,$K76:$K116 = ""ACTIVE"",$G76:$G116 = ""Insight"",AG76:AG116&gt;0)))+SUM(IFERROR(FILTER(AG76:AG116,$K76:$K116 = ""ACTIVE"",$G76:$G116 = ""Insight"",AG76:AG116&lt;0))),
MAX(IFERROR(FILTER(AG76"&amp;":AG116,$K76:$K116 = ""ACTIVE"",$G76:$G116 = ""Luck"",AG76:AG116&gt;0)))+SUM(IFERROR(FILTER(AG76:AG116,$K76:$K116 = ""ACTIVE"",$G76:$G116 = ""Luck"",AG76:AG116&lt;0))),
MAX(IFERROR(FILTER(AG76:AG116,$K76:$K116 = ""ACTIVE"",$G76:$G116 = ""Morale"",AG76:AG116&gt;0)))"&amp;"+SUM(IFERROR(FILTER(AG76:AG116,$K76:$K116 = ""ACTIVE"",$G76:$G116 = ""Morale"",AG76:AG116&lt;0))),
MAX(IFERROR(FILTER(AG76:AG116,$K76:$K116 = ""ACTIVE"",$G76:$G116 = ""Precision Damage"",AG76:AG116&gt;0)))+SUM(IFERROR(FILTER(AG76:AG116,$K76:$K116 = ""ACTIVE"",$"&amp;"G76:$G116 = ""Precision Damage"",AG76:AG116&lt;0))),
MAX(IFERROR(FILTER(AG76:AG116,$K76:$K116 = ""ACTIVE"",$G76:$G116 = ""Sacred / Profane"",AG76:AG116&gt;0)))+SUM(IFERROR(FILTER(AG76:AG116,$K76:$K116 = ""ACTIVE"",$G76:$G116 = ""Sacred / Profane"",AG76:AG116&lt;0)"&amp;")),
MAX(IFERROR(FILTER(AG76:AG116,$K76:$K116 = ""ACTIVE"",$G76:$G116 = ""Size"",AG76:AG116&gt;0)))+SUM(IFERROR(FILTER(AG76:AG116,$K76:$K116 = ""ACTIVE"",$G76:$G116 = ""Size"",AG76:AG116&lt;0))),
SUM(IFERROR(FILTER(AG76:AG116,$K76:$K116 = ""ACTIVE"",$G76:$G116 ="&amp;" ""Untyped (stacks)"")),),
SUM(IFERROR(FILTER(AG76:AG116,$K76:$K116 = ""ACTIVE"",$G76:$G116 = ""Dodge (stacks)"")),),
SUM(IFERROR(FILTER(AG76:AG116,$K76:$K116 = ""ACTIVE"",$G76:$G116 = ""Circumstance (stacks)"")),))
"),0.0)</f>
        <v>0</v>
      </c>
      <c r="AH74" s="937">
        <f>IFERROR(__xludf.DUMMYFUNCTION("MAX(MAX(IFERROR(FILTER(AH76:AH116,$K76:$K116 = ""ACTIVE"",$G76:$G116 = ""Alchemical"",AH76:AH116&gt;0)))+SUM(IFERROR(FILTER(AH76:AH116,$K76:$K116 = ""ACTIVE"",$G76:$G116 = ""Alchemical"",AH76:AH116&lt;0))),
MAX(IFERROR(FILTER(AH76:AH116,$K76:$K116 = ""ACTIVE"","&amp;"$G76:$G116 = ""Armor"",AH76:AH116&gt;0)))+SUM(IFERROR(FILTER(AH76:AH116,$K76:$K116 = ""ACTIVE"",$G76:$G116 = ""Armor"",AH76:AH116&lt;0))),
MAX(IFERROR(FILTER(AH76:AH116,$K76:$K116 = ""ACTIVE"",$G76:$G116 = ""Competence"",AH76:AH116&gt;0)))+SUM(IFERROR(FILTER(AH76:"&amp;"AH116,$K76:$K116 = ""ACTIVE"",$G76:$G116 = ""Competence"",AH76:AH116&lt;0))),
MAX(IFERROR(FILTER(AH76:AH116,$K76:$K116 = ""ACTIVE"",$G76:$G116 = ""Deflect/Enhance/Resist"",AH76:AH116&gt;0)))+SUM(IFERROR(FILTER(AH76:AH116,$K76:$K116 = ""ACTIVE"",$G76:$G116 = ""D"&amp;"eflect/Enhance/Resist"",AH76:AH116&lt;0))),
MAX(IFERROR(FILTER(AH76:AH116,$K76:$K116 = ""ACTIVE"",$G76:$G116 = ""Insight"",AH76:AH116&gt;0)))+SUM(IFERROR(FILTER(AH76:AH116,$K76:$K116 = ""ACTIVE"",$G76:$G116 = ""Insight"",AH76:AH116&lt;0))),
MAX(IFERROR(FILTER(AH76"&amp;":AH116,$K76:$K116 = ""ACTIVE"",$G76:$G116 = ""Luck"",AH76:AH116&gt;0)))+SUM(IFERROR(FILTER(AH76:AH116,$K76:$K116 = ""ACTIVE"",$G76:$G116 = ""Luck"",AH76:AH116&lt;0))),
MAX(IFERROR(FILTER(AH76:AH116,$K76:$K116 = ""ACTIVE"",$G76:$G116 = ""Morale"",AH76:AH116&gt;0)))"&amp;"+SUM(IFERROR(FILTER(AH76:AH116,$K76:$K116 = ""ACTIVE"",$G76:$G116 = ""Morale"",AH76:AH116&lt;0))),
MAX(IFERROR(FILTER(AH76:AH116,$K76:$K116 = ""ACTIVE"",$G76:$G116 = ""Precision Damage"",AH76:AH116&gt;0)))+SUM(IFERROR(FILTER(AH76:AH116,$K76:$K116 = ""ACTIVE"",$"&amp;"G76:$G116 = ""Precision Damage"",AH76:AH116&lt;0))),
MAX(IFERROR(FILTER(AH76:AH116,$K76:$K116 = ""ACTIVE"",$G76:$G116 = ""Sacred / Profane"",AH76:AH116&gt;0)))+SUM(IFERROR(FILTER(AH76:AH116,$K76:$K116 = ""ACTIVE"",$G76:$G116 = ""Sacred / Profane"",AH76:AH116&lt;0)"&amp;")),
MAX(IFERROR(FILTER(AH76:AH116,$K76:$K116 = ""ACTIVE"",$G76:$G116 = ""Size"",AH76:AH116&gt;0)))+SUM(IFERROR(FILTER(AH76:AH116,$K76:$K116 = ""ACTIVE"",$G76:$G116 = ""Size"",AH76:AH116&lt;0))),
SUM(IFERROR(FILTER(AH76:AH116,$K76:$K116 = ""ACTIVE"",$G76:$G116 ="&amp;" ""Untyped (stacks)"")),),
SUM(IFERROR(FILTER(AH76:AH116,$K76:$K116 = ""ACTIVE"",$G76:$G116 = ""Dodge (stacks)"")),),
SUM(IFERROR(FILTER(AH76:AH116,$K76:$K116 = ""ACTIVE"",$G76:$G116 = ""Circumstance (stacks)"")),))
"),0.0)</f>
        <v>0</v>
      </c>
      <c r="AI74" s="937">
        <f>IFERROR(__xludf.DUMMYFUNCTION("MAX(MAX(IFERROR(FILTER(AI76:AI116,$K76:$K116 = ""ACTIVE"",$G76:$G116 = ""Alchemical"",AI76:AI116&gt;0)))+SUM(IFERROR(FILTER(AI76:AI116,$K76:$K116 = ""ACTIVE"",$G76:$G116 = ""Alchemical"",AI76:AI116&lt;0))),
MAX(IFERROR(FILTER(AI76:AI116,$K76:$K116 = ""ACTIVE"","&amp;"$G76:$G116 = ""Armor"",AI76:AI116&gt;0)))+SUM(IFERROR(FILTER(AI76:AI116,$K76:$K116 = ""ACTIVE"",$G76:$G116 = ""Armor"",AI76:AI116&lt;0))),
MAX(IFERROR(FILTER(AI76:AI116,$K76:$K116 = ""ACTIVE"",$G76:$G116 = ""Competence"",AI76:AI116&gt;0)))+SUM(IFERROR(FILTER(AI76:"&amp;"AI116,$K76:$K116 = ""ACTIVE"",$G76:$G116 = ""Competence"",AI76:AI116&lt;0))),
MAX(IFERROR(FILTER(AI76:AI116,$K76:$K116 = ""ACTIVE"",$G76:$G116 = ""Deflect/Enhance/Resist"",AI76:AI116&gt;0)))+SUM(IFERROR(FILTER(AI76:AI116,$K76:$K116 = ""ACTIVE"",$G76:$G116 = ""D"&amp;"eflect/Enhance/Resist"",AI76:AI116&lt;0))),
MAX(IFERROR(FILTER(AI76:AI116,$K76:$K116 = ""ACTIVE"",$G76:$G116 = ""Insight"",AI76:AI116&gt;0)))+SUM(IFERROR(FILTER(AI76:AI116,$K76:$K116 = ""ACTIVE"",$G76:$G116 = ""Insight"",AI76:AI116&lt;0))),
MAX(IFERROR(FILTER(AI76"&amp;":AI116,$K76:$K116 = ""ACTIVE"",$G76:$G116 = ""Luck"",AI76:AI116&gt;0)))+SUM(IFERROR(FILTER(AI76:AI116,$K76:$K116 = ""ACTIVE"",$G76:$G116 = ""Luck"",AI76:AI116&lt;0))),
MAX(IFERROR(FILTER(AI76:AI116,$K76:$K116 = ""ACTIVE"",$G76:$G116 = ""Morale"",AI76:AI116&gt;0)))"&amp;"+SUM(IFERROR(FILTER(AI76:AI116,$K76:$K116 = ""ACTIVE"",$G76:$G116 = ""Morale"",AI76:AI116&lt;0))),
MAX(IFERROR(FILTER(AI76:AI116,$K76:$K116 = ""ACTIVE"",$G76:$G116 = ""Precision Damage"",AI76:AI116&gt;0)))+SUM(IFERROR(FILTER(AI76:AI116,$K76:$K116 = ""ACTIVE"",$"&amp;"G76:$G116 = ""Precision Damage"",AI76:AI116&lt;0))),
MAX(IFERROR(FILTER(AI76:AI116,$K76:$K116 = ""ACTIVE"",$G76:$G116 = ""Sacred / Profane"",AI76:AI116&gt;0)))+SUM(IFERROR(FILTER(AI76:AI116,$K76:$K116 = ""ACTIVE"",$G76:$G116 = ""Sacred / Profane"",AI76:AI116&lt;0)"&amp;")),
MAX(IFERROR(FILTER(AI76:AI116,$K76:$K116 = ""ACTIVE"",$G76:$G116 = ""Size"",AI76:AI116&gt;0)))+SUM(IFERROR(FILTER(AI76:AI116,$K76:$K116 = ""ACTIVE"",$G76:$G116 = ""Size"",AI76:AI116&lt;0))),
SUM(IFERROR(FILTER(AI76:AI116,$K76:$K116 = ""ACTIVE"",$G76:$G116 ="&amp;" ""Untyped (stacks)"")),),
SUM(IFERROR(FILTER(AI76:AI116,$K76:$K116 = ""ACTIVE"",$G76:$G116 = ""Dodge (stacks)"")),),
SUM(IFERROR(FILTER(AI76:AI116,$K76:$K116 = ""ACTIVE"",$G76:$G116 = ""Circumstance (stacks)"")),))
"),0.0)</f>
        <v>0</v>
      </c>
      <c r="AJ74" s="937">
        <f>IFERROR(__xludf.DUMMYFUNCTION("MAX(MAX(IFERROR(FILTER(AJ76:AJ116,$K76:$K116 = ""ACTIVE"",$G76:$G116 = ""Alchemical"",AJ76:AJ116&gt;0)))+SUM(IFERROR(FILTER(AJ76:AJ116,$K76:$K116 = ""ACTIVE"",$G76:$G116 = ""Alchemical"",AJ76:AJ116&lt;0))),
MAX(IFERROR(FILTER(AJ76:AJ116,$K76:$K116 = ""ACTIVE"","&amp;"$G76:$G116 = ""Armor"",AJ76:AJ116&gt;0)))+SUM(IFERROR(FILTER(AJ76:AJ116,$K76:$K116 = ""ACTIVE"",$G76:$G116 = ""Armor"",AJ76:AJ116&lt;0))),
MAX(IFERROR(FILTER(AJ76:AJ116,$K76:$K116 = ""ACTIVE"",$G76:$G116 = ""Competence"",AJ76:AJ116&gt;0)))+SUM(IFERROR(FILTER(AJ76:"&amp;"AJ116,$K76:$K116 = ""ACTIVE"",$G76:$G116 = ""Competence"",AJ76:AJ116&lt;0))),
MAX(IFERROR(FILTER(AJ76:AJ116,$K76:$K116 = ""ACTIVE"",$G76:$G116 = ""Deflect/Enhance/Resist"",AJ76:AJ116&gt;0)))+SUM(IFERROR(FILTER(AJ76:AJ116,$K76:$K116 = ""ACTIVE"",$G76:$G116 = ""D"&amp;"eflect/Enhance/Resist"",AJ76:AJ116&lt;0))),
MAX(IFERROR(FILTER(AJ76:AJ116,$K76:$K116 = ""ACTIVE"",$G76:$G116 = ""Insight"",AJ76:AJ116&gt;0)))+SUM(IFERROR(FILTER(AJ76:AJ116,$K76:$K116 = ""ACTIVE"",$G76:$G116 = ""Insight"",AJ76:AJ116&lt;0))),
MAX(IFERROR(FILTER(AJ76"&amp;":AJ116,$K76:$K116 = ""ACTIVE"",$G76:$G116 = ""Luck"",AJ76:AJ116&gt;0)))+SUM(IFERROR(FILTER(AJ76:AJ116,$K76:$K116 = ""ACTIVE"",$G76:$G116 = ""Luck"",AJ76:AJ116&lt;0))),
MAX(IFERROR(FILTER(AJ76:AJ116,$K76:$K116 = ""ACTIVE"",$G76:$G116 = ""Morale"",AJ76:AJ116&gt;0)))"&amp;"+SUM(IFERROR(FILTER(AJ76:AJ116,$K76:$K116 = ""ACTIVE"",$G76:$G116 = ""Morale"",AJ76:AJ116&lt;0))),
MAX(IFERROR(FILTER(AJ76:AJ116,$K76:$K116 = ""ACTIVE"",$G76:$G116 = ""Precision Damage"",AJ76:AJ116&gt;0)))+SUM(IFERROR(FILTER(AJ76:AJ116,$K76:$K116 = ""ACTIVE"",$"&amp;"G76:$G116 = ""Precision Damage"",AJ76:AJ116&lt;0))),
MAX(IFERROR(FILTER(AJ76:AJ116,$K76:$K116 = ""ACTIVE"",$G76:$G116 = ""Sacred / Profane"",AJ76:AJ116&gt;0)))+SUM(IFERROR(FILTER(AJ76:AJ116,$K76:$K116 = ""ACTIVE"",$G76:$G116 = ""Sacred / Profane"",AJ76:AJ116&lt;0)"&amp;")),
MAX(IFERROR(FILTER(AJ76:AJ116,$K76:$K116 = ""ACTIVE"",$G76:$G116 = ""Size"",AJ76:AJ116&gt;0)))+SUM(IFERROR(FILTER(AJ76:AJ116,$K76:$K116 = ""ACTIVE"",$G76:$G116 = ""Size"",AJ76:AJ116&lt;0))),
SUM(IFERROR(FILTER(AJ76:AJ116,$K76:$K116 = ""ACTIVE"",$G76:$G116 ="&amp;" ""Untyped (stacks)"")),),
SUM(IFERROR(FILTER(AJ76:AJ116,$K76:$K116 = ""ACTIVE"",$G76:$G116 = ""Dodge (stacks)"")),),
SUM(IFERROR(FILTER(AJ76:AJ116,$K76:$K116 = ""ACTIVE"",$G76:$G116 = ""Circumstance (stacks)"")),))
"),0.0)</f>
        <v>0</v>
      </c>
      <c r="AK74" s="937">
        <f>IFERROR(__xludf.DUMMYFUNCTION("SUM(MAX(IFERROR(FILTER(AK76:AK116,$K76:$K116 = ""ACTIVE"",$G76:$G116 = ""Alchemical"",AK76:AK116&gt;0)))+SUM(IFERROR(FILTER(AK76:AK116,$K76:$K116 = ""ACTIVE"",$G76:$G116 = ""Alchemical"",AK76:AK116&lt;0))),
MAX(IFERROR(FILTER(AK76:AK116,$K76:$K116 = ""ACTIVE"","&amp;"$G76:$G116 = ""Armor"",AK76:AK116&gt;0)))+SUM(IFERROR(FILTER(AK76:AK116,$K76:$K116 = ""ACTIVE"",$G76:$G116 = ""Armor"",AK76:AK116&lt;0))),
MAX(IFERROR(FILTER(AK76:AK116,$K76:$K116 = ""ACTIVE"",$G76:$G116 = ""Competence"",AK76:AK116&gt;0)))+SUM(IFERROR(FILTER(AK76:"&amp;"AK116,$K76:$K116 = ""ACTIVE"",$G76:$G116 = ""Competence"",AK76:AK116&lt;0))),
MAX(IFERROR(FILTER(AK76:AK116,$K76:$K116 = ""ACTIVE"",$G76:$G116 = ""Deflect/Enhance/Resist"",AK76:AK116&gt;0)))+SUM(IFERROR(FILTER(AK76:AK116,$K76:$K116 = ""ACTIVE"",$G76:$G116 = ""D"&amp;"eflect/Enhance/Resist"",AK76:AK116&lt;0))),
MAX(IFERROR(FILTER(AK76:AK116,$K76:$K116 = ""ACTIVE"",$G76:$G116 = ""Insight"",AK76:AK116&gt;0)))+SUM(IFERROR(FILTER(AK76:AK116,$K76:$K116 = ""ACTIVE"",$G76:$G116 = ""Insight"",AK76:AK116&lt;0))),
MAX(IFERROR(FILTER(AK76"&amp;":AK116,$K76:$K116 = ""ACTIVE"",$G76:$G116 = ""Luck"",AK76:AK116&gt;0)))+SUM(IFERROR(FILTER(AK76:AK116,$K76:$K116 = ""ACTIVE"",$G76:$G116 = ""Luck"",AK76:AK116&lt;0))),
MAX(IFERROR(FILTER(AK76:AK116,$K76:$K116 = ""ACTIVE"",$G76:$G116 = ""Morale"",AK76:AK116&gt;0)))"&amp;"+SUM(IFERROR(FILTER(AK76:AK116,$K76:$K116 = ""ACTIVE"",$G76:$G116 = ""Morale"",AK76:AK116&lt;0))),
MAX(IFERROR(FILTER(AK76:AK116,$K76:$K116 = ""ACTIVE"",$G76:$G116 = ""Precision Damage"",AK76:AK116&gt;0)))+SUM(IFERROR(FILTER(AK76:AK116,$K76:$K116 = ""ACTIVE"",$"&amp;"G76:$G116 = ""Precision Damage"",AK76:AK116&lt;0))),
MAX(IFERROR(FILTER(AK76:AK116,$K76:$K116 = ""ACTIVE"",$G76:$G116 = ""Sacred / Profane"",AK76:AK116&gt;0)))+SUM(IFERROR(FILTER(AK76:AK116,$K76:$K116 = ""ACTIVE"",$G76:$G116 = ""Sacred / Profane"",AK76:AK116&lt;0)"&amp;")),
MAX(IFERROR(FILTER(AK76:AK116,$K76:$K116 = ""ACTIVE"",$G76:$G116 = ""Size"",AK76:AK116&gt;0)))+SUM(IFERROR(FILTER(AK76:AK116,$K76:$K116 = ""ACTIVE"",$G76:$G116 = ""Size"",AK76:AK116&lt;0))),
SUM(IFERROR(FILTER(AK76:AK116,$K76:$K116 = ""ACTIVE"",$G76:$G116 ="&amp;" ""Untyped (stacks)"")),),
SUM(IFERROR(FILTER(AK76:AK116,$K76:$K116 = ""ACTIVE"",$G76:$G116 = ""Dodge (stacks)"")),),
SUM(IFERROR(FILTER(AK76:AK116,$K76:$K116 = ""ACTIVE"",$G76:$G116 = ""Circumstance (stacks)"")),))
"),0.0)</f>
        <v>0</v>
      </c>
      <c r="AL74" s="937">
        <f>IFERROR(__xludf.DUMMYFUNCTION("if(
MAX(IFERROR(FILTER(AL76:AL116,$K76:$K116 = ""ACTIVE"",$G76:$G116 = ""Size"",AL76:AL116&gt;0)))+SUM(IFERROR(FILTER(AL76:AL116,$K76:$K116 = ""ACTIVE"",$G76:$G116 = ""Size"",AL76:AL116&lt;0)))&gt;0,
PRODUCT(iferror(PRODUCT(arrayformula(value(arrayformula(REGEXEX"&amp;"TRACT(FILTER(AL76:AL116,$K76:$K116 = ""ACTIVE"",Regexmatch(AL76:AL116,""x"")),""[\.\d]+"")))))),
SUM(MAX(IFERROR(FILTER(AL76:AL116,$K76:$K116 = ""ACTIVE"",$G76:$G116 = ""Alchemical"",AL76:AL116&gt;0)))+SUM(IFERROR(FILTER(AL76:AL116,$K76:$K116 = ""ACTIVE"",$"&amp;"G76:$G116 = ""Alchemical"",AL76:AL116&lt;0))),
MAX(IFERROR(FILTER(AL76:AL116,$K76:$K116 = ""ACTIVE"",$G76:$G116 = ""Armor"",AL76:AL116&gt;0)))+SUM(IFERROR(FILTER(AL76:AL116,$K76:$K116 = ""ACTIVE"",$G76:$G116 = ""Armor"",AL76:AL116&lt;0))),
MAX(IFERROR(FILTER(AL76:"&amp;"AL116,$K76:$K116 = ""ACTIVE"",$G76:$G116 = ""Competence"",AL76:AL116&gt;0)))+SUM(IFERROR(FILTER(AL76:AL116,$K76:$K116 = ""ACTIVE"",$G76:$G116 = ""Competence"",AL76:AL116&lt;0))),
MAX(MAX(IFERROR(FILTER(AL76:AL116,$K76:$K116 = ""ACTIVE"",$G76:$G116 = ""Deflect/E"&amp;"nhance/Resist"",AL76:AL116&gt;0)))+SUM(IFERROR(FILTER(AL76:AL116,$K76:$K116 = ""ACTIVE"",$G76:$G116 = ""Deflect/Enhance/Resist"",AL76:AL116&lt;0))),
SUM(IFERROR(FILTER(AL76:AL116,$K76:$K116 = ""ACTIVE"",$G76:$G116 = ""Dodge (stacks)"")),),),
MAX(IFERROR(FILTER("&amp;"AL76:AL116,$K76:$K116 = ""ACTIVE"",$G76:$G116 = ""Insight"",AL76:AL116&gt;0)))+SUM(IFERROR(FILTER(AL76:AL116,$K76:$K116 = ""ACTIVE"",$G76:$G116 = ""Insight"",AL76:AL116&lt;0))),
MAX(IFERROR(FILTER(AL76:AL116,$K76:$K116 = ""ACTIVE"",$G76:$G116 = ""Luck"",AL76:AL"&amp;"116&gt;0)))+SUM(IFERROR(FILTER(AL76:AL116,$K76:$K116 = ""ACTIVE"",$G76:$G116 = ""Luck"",AL76:AL116&lt;0))),
MAX(IFERROR(FILTER(AL76:AL116,$K76:$K116 = ""ACTIVE"",$G76:$G116 = ""Morale"",AL76:AL116&gt;0)))+SUM(IFERROR(FILTER(AL76:AL116,$K76:$K116 = ""ACTIVE"",$G76:"&amp;"$G116 = ""Morale"",AL76:AL116&lt;0))),
MAX(IFERROR(FILTER(AL76:AL116,$K76:$K116 = ""ACTIVE"",$G76:$G116 = ""Precision Damage"",AL76:AL116&gt;0)))+SUM(IFERROR(FILTER(AL76:AL116,$K76:$K116 = ""ACTIVE"",$G76:$G116 = ""Precision Damage"",AL76:AL116&lt;0))),
MAX(IFERRO"&amp;"R(FILTER(AL76:AL116,$K76:$K116 = ""ACTIVE"",$G76:$G116 = ""Sacred / Profane"",AL76:AL116&gt;0)))+SUM(IFERROR(FILTER(AL76:AL116,$K76:$K116 = ""ACTIVE"",$G76:$G116 = ""Sacred / Profane"",AL76:AL116&lt;0))),
MAX(IFERROR(FILTER(AL76:AL116,$K76:$K116 = ""ACTIVE"",$G"&amp;"76:$G116 = ""Size"",AL76:AL116&gt;0)))+SUM(IFERROR(FILTER(AL76:AL116,$K76:$K116 = ""ACTIVE"",$G76:$G116 = ""Size"",AL76:AL116&lt;0))),
SUM(IFERROR(FILTER(AL76:AL116,$K76:$K116 = ""ACTIVE"",$G76:$G116 = ""Untyped (stacks)"")),),
SUM(IFERROR(FILTER(AL76:AL116,$K7"&amp;"6:$K116 = ""ACTIVE"",$G76:$G116 = ""Circumstance (stacks)"")),))),)"),30.0)</f>
        <v>30</v>
      </c>
      <c r="AM74" s="937" t="str">
        <f>IFERROR(__xludf.DUMMYFUNCTION("if(
MAX(IFERROR(FILTER(AM76:AM116,$K76:$K116 = ""ACTIVE"",$G76:$G116 = ""Size"",AM76:AM116&gt;0)))+SUM(IFERROR(FILTER(AM76:AM116,$K76:$K116 = ""ACTIVE"",$G76:$G116 = ""Size"",AM76:AM116&lt;0)))&gt;0,
SUM(MAX(IFERROR(FILTER(AM76:AM116,$K76:$K116 = ""ACTIVE"",$G76"&amp;":$G116 = ""Alchemical"",AM76:AM116&gt;0)))+SUM(IFERROR(FILTER(AM76:AM116,$K76:$K116 = ""ACTIVE"",$G76:$G116 = ""Alchemical"",AM76:AM116&lt;0))),
MAX(IFERROR(FILTER(AM76:AM116,$K76:$K116 = ""ACTIVE"",$G76:$G116 = ""Armor"",AM76:AM116&gt;0)))+SUM(IFERROR(FILTER(AM76"&amp;":AM116,$K76:$K116 = ""ACTIVE"",$G76:$G116 = ""Armor"",AM76:AM116&lt;0))),
MAX(IFERROR(FILTER(AM76:AM116,$K76:$K116 = ""ACTIVE"",$G76:$G116 = ""Competence"",AM76:AM116&gt;0)))+SUM(IFERROR(FILTER(AM76:AM116,$K76:$K116 = ""ACTIVE"",$G76:$G116 = ""Competence"",AM76"&amp;":AM116&lt;0))),
MAX(MAX(IFERROR(FILTER(AM76:AM116,$K76:$K116 = ""ACTIVE"",$G76:$G116 = ""Deflect/Enhance/Resist"",AM76:AM116&gt;0)))+SUM(IFERROR(FILTER(AM76:AM116,$K76:$K116 = ""ACTIVE"",$G76:$G116 = ""Deflect/Enhance/Resist"",AM76:AM116&lt;0))),
SUM(IFERROR(FILTE"&amp;"R(AM76:AM116,$K76:$K116 = ""ACTIVE"",$G76:$G116 = ""Dodge (stacks)"")),),),
MAX(IFERROR(FILTER(AM76:AM116,$K76:$K116 = ""ACTIVE"",$G76:$G116 = ""Insight"",AM76:AM116&gt;0)))+SUM(IFERROR(FILTER(AM76:AM116,$K76:$K116 = ""ACTIVE"",$G76:$G116 = ""Insight"",AM76:"&amp;"AM116&lt;0))),
MAX(IFERROR(FILTER(AM76:AM116,$K76:$K116 = ""ACTIVE"",$G76:$G116 = ""Luck"",AM76:AM116&gt;0)))+SUM(IFERROR(FILTER(AM76:AM116,$K76:$K116 = ""ACTIVE"",$G76:$G116 = ""Luck"",AM76:AM116&lt;0))),
MAX(IFERROR(FILTER(AM76:AM116,$K76:$K116 = ""ACTIVE"",$G76"&amp;":$G116 = ""Morale"",AM76:AM116&gt;0)))+SUM(IFERROR(FILTER(AM76:AM116,$K76:$K116 = ""ACTIVE"",$G76:$G116 = ""Morale"",AM76:AM116&lt;0))),
MAX(IFERROR(FILTER(AM76:AM116,$K76:$K116 = ""ACTIVE"",$G76:$G116 = ""Precision Damage"",AM76:AM116&gt;0)))+SUM(IFERROR(FILTER(A"&amp;"M76:AM116,$K76:$K116 = ""ACTIVE"",$G76:$G116 = ""Precision Damage"",AM76:AM116&lt;0))),
MAX(IFERROR(FILTER(AM76:AM116,$K76:$K116 = ""ACTIVE"",$G76:$G116 = ""Sacred / Profane"",AM76:AM116&gt;0)))+SUM(IFERROR(FILTER(AM76:AM116,$K76:$K116 = ""ACTIVE"",$G76:$G116 ="&amp;" ""Sacred / Profane"",AM76:AM116&lt;0))),
MAX(IFERROR(FILTER(AM76:AM116,$K76:$K116 = ""ACTIVE"",$G76:$G116 = ""Size"",AM76:AM116&gt;0)))+SUM(IFERROR(FILTER(AM76:AM116,$K76:$K116 = ""ACTIVE"",$G76:$G116 = ""Size"",AM76:AM116&lt;0))),
SUM(IFERROR(FILTER(AM76:AM116,$"&amp;"K76:$K116 = ""ACTIVE"",$G76:$G116 = ""Untyped (stacks)"")),),
SUM(IFERROR(FILTER(AM76:AM116,$K76:$K116 = ""ACTIVE"",$G76:$G116 = ""Circumstance (stacks)"")),)),)
"),"")</f>
        <v/>
      </c>
      <c r="AN74" s="937" t="str">
        <f>IFERROR(__xludf.DUMMYFUNCTION("if(
MAX(IFERROR(FILTER(AN76:AN116,$K76:$K116 = ""ACTIVE"",$G76:$G116 = ""Size"",AN76:AN116&gt;0)))+SUM(IFERROR(FILTER(AN76:AN116,$K76:$K116 = ""ACTIVE"",$G76:$G116 = ""Size"",AN76:AN116&lt;0)))&gt;0,
SUM(MAX(IFERROR(FILTER(AN76:AN116,$K76:$K116 = ""ACTIVE"",$G76"&amp;":$G116 = ""Alchemical"",AN76:AN116&gt;0)))+SUM(IFERROR(FILTER(AN76:AN116,$K76:$K116 = ""ACTIVE"",$G76:$G116 = ""Alchemical"",AN76:AN116&lt;0))),
MAX(IFERROR(FILTER(AN76:AN116,$K76:$K116 = ""ACTIVE"",$G76:$G116 = ""Armor"",AN76:AN116&gt;0)))+SUM(IFERROR(FILTER(AN76"&amp;":AN116,$K76:$K116 = ""ACTIVE"",$G76:$G116 = ""Armor"",AN76:AN116&lt;0))),
MAX(IFERROR(FILTER(AN76:AN116,$K76:$K116 = ""ACTIVE"",$G76:$G116 = ""Competence"",AN76:AN116&gt;0)))+SUM(IFERROR(FILTER(AN76:AN116,$K76:$K116 = ""ACTIVE"",$G76:$G116 = ""Competence"",AN76"&amp;":AN116&lt;0))),
MAX(MAX(IFERROR(FILTER(AN76:AN116,$K76:$K116 = ""ACTIVE"",$G76:$G116 = ""Deflect/Enhance/Resist"",AN76:AN116&gt;0)))+SUM(IFERROR(FILTER(AN76:AN116,$K76:$K116 = ""ACTIVE"",$G76:$G116 = ""Deflect/Enhance/Resist"",AN76:AN116&lt;0))),
SUM(IFERROR(FILTE"&amp;"R(AN76:AN116,$K76:$K116 = ""ACTIVE"",$G76:$G116 = ""Dodge (stacks)"")),),),
MAX(IFERROR(FILTER(AN76:AN116,$K76:$K116 = ""ACTIVE"",$G76:$G116 = ""Insight"",AN76:AN116&gt;0)))+SUM(IFERROR(FILTER(AN76:AN116,$K76:$K116 = ""ACTIVE"",$G76:$G116 = ""Insight"",AN76:"&amp;"AN116&lt;0))),
MAX(IFERROR(FILTER(AN76:AN116,$K76:$K116 = ""ACTIVE"",$G76:$G116 = ""Luck"",AN76:AN116&gt;0)))+SUM(IFERROR(FILTER(AN76:AN116,$K76:$K116 = ""ACTIVE"",$G76:$G116 = ""Luck"",AN76:AN116&lt;0))),
MAX(IFERROR(FILTER(AN76:AN116,$K76:$K116 = ""ACTIVE"",$G76"&amp;":$G116 = ""Morale"",AN76:AN116&gt;0)))+SUM(IFERROR(FILTER(AN76:AN116,$K76:$K116 = ""ACTIVE"",$G76:$G116 = ""Morale"",AN76:AN116&lt;0))),
MAX(IFERROR(FILTER(AN76:AN116,$K76:$K116 = ""ACTIVE"",$G76:$G116 = ""Precision Damage"",AN76:AN116&gt;0)))+SUM(IFERROR(FILTER(A"&amp;"N76:AN116,$K76:$K116 = ""ACTIVE"",$G76:$G116 = ""Precision Damage"",AN76:AN116&lt;0))),
MAX(IFERROR(FILTER(AN76:AN116,$K76:$K116 = ""ACTIVE"",$G76:$G116 = ""Sacred / Profane"",AN76:AN116&gt;0)))+SUM(IFERROR(FILTER(AN76:AN116,$K76:$K116 = ""ACTIVE"",$G76:$G116 ="&amp;" ""Sacred / Profane"",AN76:AN116&lt;0))),
MAX(IFERROR(FILTER(AN76:AN116,$K76:$K116 = ""ACTIVE"",$G76:$G116 = ""Size"",AN76:AN116&gt;0)))+SUM(IFERROR(FILTER(AN76:AN116,$K76:$K116 = ""ACTIVE"",$G76:$G116 = ""Size"",AN76:AN116&lt;0))),
SUM(IFERROR(FILTER(AN76:AN116,$"&amp;"K76:$K116 = ""ACTIVE"",$G76:$G116 = ""Untyped (stacks)"")),),
SUM(IFERROR(FILTER(AN76:AN116,$K76:$K116 = ""ACTIVE"",$G76:$G116 = ""Circumstance (stacks)"")),)),)
"),"")</f>
        <v/>
      </c>
      <c r="AO74" s="937" t="str">
        <f>IFERROR(__xludf.DUMMYFUNCTION("if(
MAX(IFERROR(FILTER(AO76:AO116,$K76:$K116 = ""ACTIVE"",$G76:$G116 = ""Size"",AO76:AO116&gt;0)))+SUM(IFERROR(FILTER(AO76:AO116,$K76:$K116 = ""ACTIVE"",$G76:$G116 = ""Size"",AO76:AO116&lt;0)))&gt;0,
SUM(MAX(IFERROR(FILTER(AO76:AO116,$K76:$K116 = ""ACTIVE"",$G76"&amp;":$G116 = ""Alchemical"",AO76:AO116&gt;0)))+SUM(IFERROR(FILTER(AO76:AO116,$K76:$K116 = ""ACTIVE"",$G76:$G116 = ""Alchemical"",AO76:AO116&lt;0))),
MAX(IFERROR(FILTER(AO76:AO116,$K76:$K116 = ""ACTIVE"",$G76:$G116 = ""Armor"",AO76:AO116&gt;0)))+SUM(IFERROR(FILTER(AO76"&amp;":AO116,$K76:$K116 = ""ACTIVE"",$G76:$G116 = ""Armor"",AO76:AO116&lt;0))),
MAX(IFERROR(FILTER(AO76:AO116,$K76:$K116 = ""ACTIVE"",$G76:$G116 = ""Competence"",AO76:AO116&gt;0)))+SUM(IFERROR(FILTER(AO76:AO116,$K76:$K116 = ""ACTIVE"",$G76:$G116 = ""Competence"",AO76"&amp;":AO116&lt;0))),
MAX(MAX(IFERROR(FILTER(AO76:AO116,$K76:$K116 = ""ACTIVE"",$G76:$G116 = ""Deflect/Enhance/Resist"",AO76:AO116&gt;0)))+SUM(IFERROR(FILTER(AO76:AO116,$K76:$K116 = ""ACTIVE"",$G76:$G116 = ""Deflect/Enhance/Resist"",AO76:AO116&lt;0))),
SUM(IFERROR(FILTE"&amp;"R(AO76:AO116,$K76:$K116 = ""ACTIVE"",$G76:$G116 = ""Dodge (stacks)"")),),),
MAX(IFERROR(FILTER(AO76:AO116,$K76:$K116 = ""ACTIVE"",$G76:$G116 = ""Insight"",AO76:AO116&gt;0)))+SUM(IFERROR(FILTER(AO76:AO116,$K76:$K116 = ""ACTIVE"",$G76:$G116 = ""Insight"",AO76:"&amp;"AO116&lt;0))),
MAX(IFERROR(FILTER(AO76:AO116,$K76:$K116 = ""ACTIVE"",$G76:$G116 = ""Luck"",AO76:AO116&gt;0)))+SUM(IFERROR(FILTER(AO76:AO116,$K76:$K116 = ""ACTIVE"",$G76:$G116 = ""Luck"",AO76:AO116&lt;0))),
MAX(IFERROR(FILTER(AO76:AO116,$K76:$K116 = ""ACTIVE"",$G76"&amp;":$G116 = ""Morale"",AO76:AO116&gt;0)))+SUM(IFERROR(FILTER(AO76:AO116,$K76:$K116 = ""ACTIVE"",$G76:$G116 = ""Morale"",AO76:AO116&lt;0))),
MAX(IFERROR(FILTER(AO76:AO116,$K76:$K116 = ""ACTIVE"",$G76:$G116 = ""Precision Damage"",AO76:AO116&gt;0)))+SUM(IFERROR(FILTER(A"&amp;"O76:AO116,$K76:$K116 = ""ACTIVE"",$G76:$G116 = ""Precision Damage"",AO76:AO116&lt;0))),
MAX(IFERROR(FILTER(AO76:AO116,$K76:$K116 = ""ACTIVE"",$G76:$G116 = ""Sacred / Profane"",AO76:AO116&gt;0)))+SUM(IFERROR(FILTER(AO76:AO116,$K76:$K116 = ""ACTIVE"",$G76:$G116 ="&amp;" ""Sacred / Profane"",AO76:AO116&lt;0))),
MAX(IFERROR(FILTER(AO76:AO116,$K76:$K116 = ""ACTIVE"",$G76:$G116 = ""Size"",AO76:AO116&gt;0)))+SUM(IFERROR(FILTER(AO76:AO116,$K76:$K116 = ""ACTIVE"",$G76:$G116 = ""Size"",AO76:AO116&lt;0))),
SUM(IFERROR(FILTER(AO76:AO116,$"&amp;"K76:$K116 = ""ACTIVE"",$G76:$G116 = ""Untyped (stacks)"")),),
SUM(IFERROR(FILTER(AO76:AO116,$K76:$K116 = ""ACTIVE"",$G76:$G116 = ""Circumstance (stacks)"")),)),)
"),"")</f>
        <v/>
      </c>
      <c r="AP74" s="937" t="str">
        <f>IFERROR(__xludf.DUMMYFUNCTION("if(
MAX(IFERROR(FILTER(AP76:AP116,$K76:$K116 = ""ACTIVE"",$G76:$G116 = ""Size"",AP76:AP116&gt;0)))+SUM(IFERROR(FILTER(AP76:AP116,$K76:$K116 = ""ACTIVE"",$G76:$G116 = ""Size"",AP76:AP116&lt;0)))&gt;0,
SUM(MAX(IFERROR(FILTER(AP76:AP116,$K76:$K116 = ""ACTIVE"",$G76"&amp;":$G116 = ""Alchemical"",AP76:AP116&gt;0)))+SUM(IFERROR(FILTER(AP76:AP116,$K76:$K116 = ""ACTIVE"",$G76:$G116 = ""Alchemical"",AP76:AP116&lt;0))),
MAX(IFERROR(FILTER(AP76:AP116,$K76:$K116 = ""ACTIVE"",$G76:$G116 = ""Armor"",AP76:AP116&gt;0)))+SUM(IFERROR(FILTER(AP76"&amp;":AP116,$K76:$K116 = ""ACTIVE"",$G76:$G116 = ""Armor"",AP76:AP116&lt;0))),
MAX(IFERROR(FILTER(AP76:AP116,$K76:$K116 = ""ACTIVE"",$G76:$G116 = ""Competence"",AP76:AP116&gt;0)))+SUM(IFERROR(FILTER(AP76:AP116,$K76:$K116 = ""ACTIVE"",$G76:$G116 = ""Competence"",AP76"&amp;":AP116&lt;0))),
MAX(MAX(IFERROR(FILTER(AP76:AP116,$K76:$K116 = ""ACTIVE"",$G76:$G116 = ""Deflect/Enhance/Resist"",AP76:AP116&gt;0)))+SUM(IFERROR(FILTER(AP76:AP116,$K76:$K116 = ""ACTIVE"",$G76:$G116 = ""Deflect/Enhance/Resist"",AP76:AP116&lt;0))),
SUM(IFERROR(FILTE"&amp;"R(AP76:AP116,$K76:$K116 = ""ACTIVE"",$G76:$G116 = ""Dodge (stacks)"")),),),
MAX(IFERROR(FILTER(AP76:AP116,$K76:$K116 = ""ACTIVE"",$G76:$G116 = ""Insight"",AP76:AP116&gt;0)))+SUM(IFERROR(FILTER(AP76:AP116,$K76:$K116 = ""ACTIVE"",$G76:$G116 = ""Insight"",AP76:"&amp;"AP116&lt;0))),
MAX(IFERROR(FILTER(AP76:AP116,$K76:$K116 = ""ACTIVE"",$G76:$G116 = ""Luck"",AP76:AP116&gt;0)))+SUM(IFERROR(FILTER(AP76:AP116,$K76:$K116 = ""ACTIVE"",$G76:$G116 = ""Luck"",AP76:AP116&lt;0))),
MAX(IFERROR(FILTER(AP76:AP116,$K76:$K116 = ""ACTIVE"",$G76"&amp;":$G116 = ""Morale"",AP76:AP116&gt;0)))+SUM(IFERROR(FILTER(AP76:AP116,$K76:$K116 = ""ACTIVE"",$G76:$G116 = ""Morale"",AP76:AP116&lt;0))),
MAX(IFERROR(FILTER(AP76:AP116,$K76:$K116 = ""ACTIVE"",$G76:$G116 = ""Precision Damage"",AP76:AP116&gt;0)))+SUM(IFERROR(FILTER(A"&amp;"P76:AP116,$K76:$K116 = ""ACTIVE"",$G76:$G116 = ""Precision Damage"",AP76:AP116&lt;0))),
MAX(IFERROR(FILTER(AP76:AP116,$K76:$K116 = ""ACTIVE"",$G76:$G116 = ""Sacred / Profane"",AP76:AP116&gt;0)))+SUM(IFERROR(FILTER(AP76:AP116,$K76:$K116 = ""ACTIVE"",$G76:$G116 ="&amp;" ""Sacred / Profane"",AP76:AP116&lt;0))),
MAX(IFERROR(FILTER(AP76:AP116,$K76:$K116 = ""ACTIVE"",$G76:$G116 = ""Size"",AP76:AP116&gt;0)))+SUM(IFERROR(FILTER(AP76:AP116,$K76:$K116 = ""ACTIVE"",$G76:$G116 = ""Size"",AP76:AP116&lt;0))),
SUM(IFERROR(FILTER(AP76:AP116,$"&amp;"K76:$K116 = ""ACTIVE"",$G76:$G116 = ""Untyped (stacks)"")),),
SUM(IFERROR(FILTER(AP76:AP116,$K76:$K116 = ""ACTIVE"",$G76:$G116 = ""Circumstance (stacks)"")),)),)
"),"")</f>
        <v/>
      </c>
      <c r="AQ74" s="937">
        <f>IFERROR(__xludf.DUMMYFUNCTION("SUM(MAX(IFERROR(FILTER(AQ76:AQ116,$K76:$K116 = ""ACTIVE"",$G76:$G116 = ""Alchemical"",AQ76:AQ116&gt;0)))+SUM(IFERROR(FILTER(AQ76:AQ116,$K76:$K116 = ""ACTIVE"",$G76:$G116 = ""Alchemical"",AQ76:AQ116&lt;0))),
MAX(IFERROR(FILTER(AQ76:AQ116,$K76:$K116 = ""ACTIVE"","&amp;"$G76:$G116 = ""Armor"",AQ76:AQ116&gt;0)))+SUM(IFERROR(FILTER(AQ76:AQ116,$K76:$K116 = ""ACTIVE"",$G76:$G116 = ""Armor"",AQ76:AQ116&lt;0))),
MAX(IFERROR(FILTER(AQ76:AQ116,$K76:$K116 = ""ACTIVE"",$G76:$G116 = ""Competence"",AQ76:AQ116&gt;0)))+SUM(IFERROR(FILTER(AQ76:"&amp;"AQ116,$K76:$K116 = ""ACTIVE"",$G76:$G116 = ""Competence"",AQ76:AQ116&lt;0))),
MAX(IFERROR(FILTER(AQ76:AQ116,$K76:$K116 = ""ACTIVE"",$G76:$G116 = ""Deflect/Enhance/Resist"",AQ76:AQ116&gt;0)))+SUM(IFERROR(FILTER(AQ76:AQ116,$K76:$K116 = ""ACTIVE"",$G76:$G116 = ""D"&amp;"eflect/Enhance/Resist"",AQ76:AQ116&lt;0))),
MAX(IFERROR(FILTER(AQ76:AQ116,$K76:$K116 = ""ACTIVE"",$G76:$G116 = ""Insight"",AQ76:AQ116&gt;0)))+SUM(IFERROR(FILTER(AQ76:AQ116,$K76:$K116 = ""ACTIVE"",$G76:$G116 = ""Insight"",AQ76:AQ116&lt;0))),
MAX(IFERROR(FILTER(AQ76"&amp;":AQ116,$K76:$K116 = ""ACTIVE"",$G76:$G116 = ""Luck"",AQ76:AQ116&gt;0)))+SUM(IFERROR(FILTER(AQ76:AQ116,$K76:$K116 = ""ACTIVE"",$G76:$G116 = ""Luck"",AQ76:AQ116&lt;0))),
MAX(IFERROR(FILTER(AQ76:AQ116,$K76:$K116 = ""ACTIVE"",$G76:$G116 = ""Morale"",AQ76:AQ116&gt;0)))"&amp;"+SUM(IFERROR(FILTER(AQ76:AQ116,$K76:$K116 = ""ACTIVE"",$G76:$G116 = ""Morale"",AQ76:AQ116&lt;0))),
MAX(IFERROR(FILTER(AQ76:AQ116,$K76:$K116 = ""ACTIVE"",$G76:$G116 = ""Precision Damage"",AQ76:AQ116&gt;0)))+SUM(IFERROR(FILTER(AQ76:AQ116,$K76:$K116 = ""ACTIVE"",$"&amp;"G76:$G116 = ""Precision Damage"",AQ76:AQ116&lt;0))),
MAX(IFERROR(FILTER(AQ76:AQ116,$K76:$K116 = ""ACTIVE"",$G76:$G116 = ""Sacred / Profane"",AQ76:AQ116&gt;0)))+SUM(IFERROR(FILTER(AQ76:AQ116,$K76:$K116 = ""ACTIVE"",$G76:$G116 = ""Sacred / Profane"",AQ76:AQ116&lt;0)"&amp;")),
MAX(IFERROR(FILTER(AQ76:AQ116,$K76:$K116 = ""ACTIVE"",$G76:$G116 = ""Size"",AQ76:AQ116&gt;0)))+SUM(IFERROR(FILTER(AQ76:AQ116,$K76:$K116 = ""ACTIVE"",$G76:$G116 = ""Size"",AQ76:AQ116&lt;0))),
SUM(IFERROR(FILTER(AQ76:AQ116,$K76:$K116 = ""ACTIVE"",$G76:$G116 ="&amp;" ""Untyped (stacks)"")),),
SUM(IFERROR(FILTER(AQ76:AQ116,$K76:$K116 = ""ACTIVE"",$G76:$G116 = ""Dodge (stacks)"")),),
SUM(IFERROR(FILTER(AQ76:AQ116,$K76:$K116 = ""ACTIVE"",$G76:$G116 = ""Circumstance (stacks)"")),))
"),0.0)</f>
        <v>0</v>
      </c>
      <c r="AR74" s="937" t="s">
        <v>683</v>
      </c>
      <c r="AS74" s="925"/>
      <c r="AT74" s="925"/>
      <c r="AU74" s="925"/>
      <c r="AV74" s="925"/>
      <c r="AW74" s="925"/>
      <c r="AX74" s="925"/>
      <c r="AY74" s="925"/>
      <c r="AZ74" s="925"/>
      <c r="BA74" s="834"/>
      <c r="BB74" s="914"/>
      <c r="BC74" s="914" t="s">
        <v>1201</v>
      </c>
      <c r="BD74" s="834"/>
      <c r="BE74" s="834"/>
      <c r="BF74" s="834"/>
      <c r="BG74" s="834"/>
      <c r="BH74" s="834"/>
      <c r="BI74" s="834"/>
      <c r="BJ74" s="834"/>
      <c r="BK74" s="834"/>
      <c r="BL74" s="834"/>
      <c r="BM74" s="834"/>
      <c r="BN74" s="834"/>
      <c r="BO74" s="834"/>
      <c r="BP74" s="830"/>
      <c r="BQ74" s="834"/>
      <c r="BR74" s="834"/>
      <c r="BS74" s="834"/>
      <c r="BT74" s="834"/>
    </row>
    <row r="75">
      <c r="A75" s="25"/>
      <c r="B75" s="966" t="s">
        <v>1202</v>
      </c>
      <c r="C75" s="834"/>
      <c r="D75" s="834"/>
      <c r="E75" s="834"/>
      <c r="F75" s="834"/>
      <c r="G75" s="834"/>
      <c r="H75" s="834"/>
      <c r="I75" s="834"/>
      <c r="J75" s="834"/>
      <c r="K75" s="834"/>
      <c r="L75" s="834"/>
      <c r="M75" s="834"/>
      <c r="N75" s="834"/>
      <c r="O75" s="834"/>
      <c r="P75" s="834"/>
      <c r="Q75" s="834"/>
      <c r="R75" s="834"/>
      <c r="S75" s="834"/>
      <c r="T75" s="834"/>
      <c r="U75" s="834"/>
      <c r="V75" s="834"/>
      <c r="W75" s="834"/>
      <c r="X75" s="834"/>
      <c r="Y75" s="834"/>
      <c r="Z75" s="834"/>
      <c r="AA75" s="834"/>
      <c r="AB75" s="834"/>
      <c r="AC75" s="834"/>
      <c r="AD75" s="834"/>
      <c r="AE75" s="834"/>
      <c r="AF75" s="834"/>
      <c r="AG75" s="834"/>
      <c r="AH75" s="834"/>
      <c r="AI75" s="834"/>
      <c r="AJ75" s="834"/>
      <c r="AK75" s="834"/>
      <c r="AL75" s="834"/>
      <c r="AM75" s="834"/>
      <c r="AN75" s="834"/>
      <c r="AO75" s="834"/>
      <c r="AP75" s="834"/>
      <c r="AQ75" s="834"/>
      <c r="AR75" s="834"/>
      <c r="AS75" s="834"/>
      <c r="AT75" s="834"/>
      <c r="AU75" s="834"/>
      <c r="AV75" s="834"/>
      <c r="AW75" s="834"/>
      <c r="AX75" s="834"/>
      <c r="AY75" s="834"/>
      <c r="AZ75" s="834"/>
      <c r="BA75" s="834"/>
      <c r="BB75" s="922"/>
      <c r="BC75" s="67"/>
      <c r="BD75" s="67"/>
      <c r="BE75" s="67"/>
      <c r="BF75" s="67"/>
      <c r="BG75" s="67"/>
      <c r="BH75" s="67"/>
      <c r="BI75" s="67"/>
      <c r="BJ75" s="67"/>
      <c r="BK75" s="67"/>
      <c r="BL75" s="67"/>
      <c r="BM75" s="67"/>
      <c r="BN75" s="67"/>
      <c r="BO75" s="69"/>
      <c r="BP75" s="830"/>
      <c r="BQ75" s="834"/>
      <c r="BR75" s="834"/>
      <c r="BS75" s="834"/>
      <c r="BT75" s="834"/>
    </row>
    <row r="76">
      <c r="A76" s="15"/>
      <c r="B76" s="969" t="s">
        <v>1204</v>
      </c>
      <c r="C76" s="28"/>
      <c r="D76" s="28"/>
      <c r="E76" s="28"/>
      <c r="F76" s="29"/>
      <c r="G76" s="971" t="s">
        <v>467</v>
      </c>
      <c r="H76" s="28"/>
      <c r="I76" s="28"/>
      <c r="J76" s="29"/>
      <c r="K76" s="972" t="s">
        <v>1206</v>
      </c>
      <c r="L76" s="28"/>
      <c r="M76" s="29"/>
      <c r="N76" s="973"/>
      <c r="O76" s="973"/>
      <c r="P76" s="969"/>
      <c r="Q76" s="973"/>
      <c r="R76" s="975"/>
      <c r="S76" s="973"/>
      <c r="T76" s="977"/>
      <c r="U76" s="977"/>
      <c r="V76" s="977"/>
      <c r="W76" s="978"/>
      <c r="X76" s="978"/>
      <c r="Y76" s="979"/>
      <c r="Z76" s="977"/>
      <c r="AA76" s="977"/>
      <c r="AB76" s="977"/>
      <c r="AC76" s="980"/>
      <c r="AD76" s="977"/>
      <c r="AE76" s="977"/>
      <c r="AF76" s="980"/>
      <c r="AG76" s="980"/>
      <c r="AH76" s="981"/>
      <c r="AI76" s="982"/>
      <c r="AJ76" s="983"/>
      <c r="AK76" s="984"/>
      <c r="AL76" s="985">
        <v>30.0</v>
      </c>
      <c r="AM76" s="985"/>
      <c r="AN76" s="985"/>
      <c r="AO76" s="985"/>
      <c r="AP76" s="986"/>
      <c r="AQ76" s="983"/>
      <c r="AR76" s="987"/>
      <c r="AS76" s="28"/>
      <c r="AT76" s="28"/>
      <c r="AU76" s="28"/>
      <c r="AV76" s="28"/>
      <c r="AW76" s="28"/>
      <c r="AX76" s="28"/>
      <c r="AY76" s="28"/>
      <c r="AZ76" s="28"/>
      <c r="BA76" s="834"/>
      <c r="BB76" s="111"/>
      <c r="BC76" s="114"/>
      <c r="BD76" s="114"/>
      <c r="BE76" s="114"/>
      <c r="BF76" s="114"/>
      <c r="BG76" s="114"/>
      <c r="BH76" s="114"/>
      <c r="BI76" s="114"/>
      <c r="BJ76" s="114"/>
      <c r="BK76" s="114"/>
      <c r="BL76" s="114"/>
      <c r="BM76" s="114"/>
      <c r="BN76" s="114"/>
      <c r="BO76" s="68"/>
      <c r="BP76" s="834"/>
      <c r="BQ76" s="834"/>
      <c r="BR76" s="834"/>
      <c r="BS76" s="834"/>
      <c r="BT76" s="834"/>
    </row>
    <row r="77">
      <c r="A77" s="15"/>
      <c r="B77" s="988" t="s">
        <v>1212</v>
      </c>
      <c r="C77" s="28"/>
      <c r="D77" s="28"/>
      <c r="E77" s="28"/>
      <c r="F77" s="29"/>
      <c r="G77" s="989" t="s">
        <v>1213</v>
      </c>
      <c r="H77" s="28"/>
      <c r="I77" s="28"/>
      <c r="J77" s="29"/>
      <c r="K77" s="990" t="s">
        <v>1206</v>
      </c>
      <c r="L77" s="28"/>
      <c r="M77" s="29"/>
      <c r="N77" s="991">
        <f>(G12+ROUNDDOWN((AQ6/4),0))</f>
        <v>8</v>
      </c>
      <c r="O77" s="991"/>
      <c r="P77" s="988"/>
      <c r="Q77" s="991"/>
      <c r="R77" s="993"/>
      <c r="S77" s="991"/>
      <c r="T77" s="994"/>
      <c r="U77" s="994"/>
      <c r="V77" s="994"/>
      <c r="W77" s="995"/>
      <c r="X77" s="995"/>
      <c r="Y77" s="996"/>
      <c r="Z77" s="994"/>
      <c r="AA77" s="994"/>
      <c r="AB77" s="994"/>
      <c r="AC77" s="997"/>
      <c r="AD77" s="994"/>
      <c r="AE77" s="994"/>
      <c r="AF77" s="997"/>
      <c r="AG77" s="997"/>
      <c r="AH77" s="998"/>
      <c r="AI77" s="999"/>
      <c r="AJ77" s="1000"/>
      <c r="AK77" s="1001"/>
      <c r="AL77" s="985"/>
      <c r="AM77" s="985"/>
      <c r="AN77" s="985"/>
      <c r="AO77" s="985"/>
      <c r="AP77" s="986"/>
      <c r="AQ77" s="1000"/>
      <c r="AR77" s="1002"/>
      <c r="AS77" s="28"/>
      <c r="AT77" s="28"/>
      <c r="AU77" s="28"/>
      <c r="AV77" s="28"/>
      <c r="AW77" s="28"/>
      <c r="AX77" s="28"/>
      <c r="AY77" s="28"/>
      <c r="AZ77" s="28"/>
      <c r="BA77" s="834"/>
      <c r="BB77" s="1003"/>
      <c r="BC77" s="1003" t="s">
        <v>1216</v>
      </c>
      <c r="BD77" s="834"/>
      <c r="BE77" s="834"/>
      <c r="BF77" s="834"/>
      <c r="BG77" s="834"/>
      <c r="BH77" s="834"/>
      <c r="BI77" s="834"/>
      <c r="BJ77" s="834"/>
      <c r="BK77" s="834"/>
      <c r="BL77" s="834"/>
      <c r="BM77" s="834"/>
      <c r="BN77" s="834"/>
      <c r="BO77" s="834"/>
      <c r="BP77" s="834"/>
      <c r="BQ77" s="834"/>
      <c r="BR77" s="834"/>
      <c r="BS77" s="834"/>
      <c r="BT77" s="834"/>
    </row>
    <row r="78">
      <c r="A78" s="15"/>
      <c r="B78" s="988"/>
      <c r="C78" s="28"/>
      <c r="D78" s="28"/>
      <c r="E78" s="28"/>
      <c r="F78" s="29"/>
      <c r="G78" s="989"/>
      <c r="H78" s="28"/>
      <c r="I78" s="28"/>
      <c r="J78" s="29"/>
      <c r="K78" s="990"/>
      <c r="L78" s="28"/>
      <c r="M78" s="29"/>
      <c r="N78" s="991"/>
      <c r="O78" s="991"/>
      <c r="P78" s="988"/>
      <c r="Q78" s="991"/>
      <c r="R78" s="993"/>
      <c r="S78" s="991"/>
      <c r="T78" s="994"/>
      <c r="U78" s="994"/>
      <c r="V78" s="994"/>
      <c r="W78" s="995"/>
      <c r="X78" s="995"/>
      <c r="Y78" s="996"/>
      <c r="Z78" s="994"/>
      <c r="AA78" s="994"/>
      <c r="AB78" s="994"/>
      <c r="AC78" s="997"/>
      <c r="AD78" s="994"/>
      <c r="AE78" s="994"/>
      <c r="AF78" s="997"/>
      <c r="AG78" s="997"/>
      <c r="AH78" s="998"/>
      <c r="AI78" s="999"/>
      <c r="AJ78" s="1000"/>
      <c r="AK78" s="1009"/>
      <c r="AL78" s="985"/>
      <c r="AM78" s="985"/>
      <c r="AN78" s="985"/>
      <c r="AO78" s="985"/>
      <c r="AP78" s="986"/>
      <c r="AQ78" s="1000"/>
      <c r="AR78" s="1010"/>
      <c r="AS78" s="28"/>
      <c r="AT78" s="28"/>
      <c r="AU78" s="28"/>
      <c r="AV78" s="28"/>
      <c r="AW78" s="28"/>
      <c r="AX78" s="28"/>
      <c r="AY78" s="28"/>
      <c r="AZ78" s="28"/>
      <c r="BA78" s="834"/>
      <c r="BB78" s="922"/>
      <c r="BC78" s="67"/>
      <c r="BD78" s="67"/>
      <c r="BE78" s="67"/>
      <c r="BF78" s="67"/>
      <c r="BG78" s="67"/>
      <c r="BH78" s="67"/>
      <c r="BI78" s="67"/>
      <c r="BJ78" s="67"/>
      <c r="BK78" s="67"/>
      <c r="BL78" s="67"/>
      <c r="BM78" s="67"/>
      <c r="BN78" s="67"/>
      <c r="BO78" s="69"/>
      <c r="BP78" s="834"/>
      <c r="BQ78" s="834"/>
      <c r="BR78" s="834"/>
      <c r="BS78" s="834"/>
      <c r="BT78" s="834"/>
    </row>
    <row r="79">
      <c r="A79" s="15"/>
      <c r="B79" s="988"/>
      <c r="C79" s="28"/>
      <c r="D79" s="28"/>
      <c r="E79" s="28"/>
      <c r="F79" s="29"/>
      <c r="G79" s="989"/>
      <c r="H79" s="28"/>
      <c r="I79" s="28"/>
      <c r="J79" s="29"/>
      <c r="K79" s="990"/>
      <c r="L79" s="28"/>
      <c r="M79" s="29"/>
      <c r="N79" s="991"/>
      <c r="O79" s="991"/>
      <c r="P79" s="988"/>
      <c r="Q79" s="991"/>
      <c r="R79" s="993"/>
      <c r="S79" s="991"/>
      <c r="T79" s="994"/>
      <c r="U79" s="994"/>
      <c r="V79" s="994"/>
      <c r="W79" s="995"/>
      <c r="X79" s="995"/>
      <c r="Y79" s="996"/>
      <c r="Z79" s="994"/>
      <c r="AA79" s="994"/>
      <c r="AB79" s="994"/>
      <c r="AC79" s="997"/>
      <c r="AD79" s="994"/>
      <c r="AE79" s="994"/>
      <c r="AF79" s="997"/>
      <c r="AG79" s="997"/>
      <c r="AH79" s="998"/>
      <c r="AI79" s="999"/>
      <c r="AJ79" s="1000"/>
      <c r="AK79" s="1001"/>
      <c r="AL79" s="985"/>
      <c r="AM79" s="985"/>
      <c r="AN79" s="985"/>
      <c r="AO79" s="985"/>
      <c r="AP79" s="986"/>
      <c r="AQ79" s="1000"/>
      <c r="AR79" s="1010"/>
      <c r="AS79" s="28"/>
      <c r="AT79" s="28"/>
      <c r="AU79" s="28"/>
      <c r="AV79" s="28"/>
      <c r="AW79" s="28"/>
      <c r="AX79" s="28"/>
      <c r="AY79" s="28"/>
      <c r="AZ79" s="28"/>
      <c r="BA79" s="834"/>
      <c r="BB79" s="111"/>
      <c r="BC79" s="114"/>
      <c r="BD79" s="114"/>
      <c r="BE79" s="114"/>
      <c r="BF79" s="114"/>
      <c r="BG79" s="114"/>
      <c r="BH79" s="114"/>
      <c r="BI79" s="114"/>
      <c r="BJ79" s="114"/>
      <c r="BK79" s="114"/>
      <c r="BL79" s="114"/>
      <c r="BM79" s="114"/>
      <c r="BN79" s="114"/>
      <c r="BO79" s="68"/>
      <c r="BP79" s="834"/>
      <c r="BQ79" s="834"/>
      <c r="BR79" s="834"/>
      <c r="BS79" s="834"/>
      <c r="BT79" s="834"/>
    </row>
    <row r="80">
      <c r="A80" s="15"/>
      <c r="B80" s="988"/>
      <c r="C80" s="28"/>
      <c r="D80" s="28"/>
      <c r="E80" s="28"/>
      <c r="F80" s="29"/>
      <c r="G80" s="989"/>
      <c r="H80" s="28"/>
      <c r="I80" s="28"/>
      <c r="J80" s="29"/>
      <c r="K80" s="990"/>
      <c r="L80" s="28"/>
      <c r="M80" s="29"/>
      <c r="N80" s="991"/>
      <c r="O80" s="991"/>
      <c r="P80" s="988"/>
      <c r="Q80" s="991"/>
      <c r="R80" s="993"/>
      <c r="S80" s="991"/>
      <c r="T80" s="994"/>
      <c r="U80" s="994"/>
      <c r="V80" s="994"/>
      <c r="W80" s="995"/>
      <c r="X80" s="995"/>
      <c r="Y80" s="996"/>
      <c r="Z80" s="994"/>
      <c r="AA80" s="994"/>
      <c r="AB80" s="994"/>
      <c r="AC80" s="997"/>
      <c r="AD80" s="994"/>
      <c r="AE80" s="994"/>
      <c r="AF80" s="997"/>
      <c r="AG80" s="997"/>
      <c r="AH80" s="998"/>
      <c r="AI80" s="999"/>
      <c r="AJ80" s="1000"/>
      <c r="AK80" s="1001"/>
      <c r="AL80" s="985"/>
      <c r="AM80" s="985"/>
      <c r="AN80" s="985"/>
      <c r="AO80" s="985"/>
      <c r="AP80" s="986"/>
      <c r="AQ80" s="1000"/>
      <c r="AR80" s="1010"/>
      <c r="AS80" s="28"/>
      <c r="AT80" s="28"/>
      <c r="AU80" s="28"/>
      <c r="AV80" s="28"/>
      <c r="AW80" s="28"/>
      <c r="AX80" s="28"/>
      <c r="AY80" s="28"/>
      <c r="AZ80" s="28"/>
      <c r="BA80" s="834"/>
      <c r="BB80" s="914"/>
      <c r="BC80" s="914" t="s">
        <v>1234</v>
      </c>
      <c r="BD80" s="834"/>
      <c r="BE80" s="834"/>
      <c r="BF80" s="834"/>
      <c r="BG80" s="834"/>
      <c r="BH80" s="834"/>
      <c r="BI80" s="834"/>
      <c r="BJ80" s="834"/>
      <c r="BK80" s="834"/>
      <c r="BL80" s="834"/>
      <c r="BM80" s="834"/>
      <c r="BN80" s="834"/>
      <c r="BO80" s="834"/>
      <c r="BP80" s="834"/>
      <c r="BQ80" s="834"/>
      <c r="BR80" s="834"/>
      <c r="BS80" s="834"/>
      <c r="BT80" s="834"/>
    </row>
    <row r="81">
      <c r="A81" s="15"/>
      <c r="B81" s="988"/>
      <c r="C81" s="28"/>
      <c r="D81" s="28"/>
      <c r="E81" s="28"/>
      <c r="F81" s="29"/>
      <c r="G81" s="989"/>
      <c r="H81" s="28"/>
      <c r="I81" s="28"/>
      <c r="J81" s="29"/>
      <c r="K81" s="990"/>
      <c r="L81" s="28"/>
      <c r="M81" s="29"/>
      <c r="N81" s="991"/>
      <c r="O81" s="991"/>
      <c r="P81" s="988"/>
      <c r="Q81" s="991"/>
      <c r="R81" s="993"/>
      <c r="S81" s="991"/>
      <c r="T81" s="994"/>
      <c r="U81" s="994"/>
      <c r="V81" s="994"/>
      <c r="W81" s="995"/>
      <c r="X81" s="995"/>
      <c r="Y81" s="996"/>
      <c r="Z81" s="994"/>
      <c r="AA81" s="994"/>
      <c r="AB81" s="994"/>
      <c r="AC81" s="997"/>
      <c r="AD81" s="994"/>
      <c r="AE81" s="994"/>
      <c r="AF81" s="997"/>
      <c r="AG81" s="997"/>
      <c r="AH81" s="998"/>
      <c r="AI81" s="999"/>
      <c r="AJ81" s="1000"/>
      <c r="AK81" s="1001"/>
      <c r="AL81" s="985"/>
      <c r="AM81" s="985"/>
      <c r="AN81" s="985"/>
      <c r="AO81" s="985"/>
      <c r="AP81" s="986"/>
      <c r="AQ81" s="1000"/>
      <c r="AR81" s="1010"/>
      <c r="AS81" s="28"/>
      <c r="AT81" s="28"/>
      <c r="AU81" s="28"/>
      <c r="AV81" s="28"/>
      <c r="AW81" s="28"/>
      <c r="AX81" s="28"/>
      <c r="AY81" s="28"/>
      <c r="AZ81" s="28"/>
      <c r="BA81" s="834"/>
      <c r="BB81" s="922"/>
      <c r="BC81" s="67"/>
      <c r="BD81" s="67"/>
      <c r="BE81" s="67"/>
      <c r="BF81" s="67"/>
      <c r="BG81" s="67"/>
      <c r="BH81" s="67"/>
      <c r="BI81" s="67"/>
      <c r="BJ81" s="67"/>
      <c r="BK81" s="67"/>
      <c r="BL81" s="67"/>
      <c r="BM81" s="67"/>
      <c r="BN81" s="67"/>
      <c r="BO81" s="69"/>
      <c r="BP81" s="834"/>
      <c r="BQ81" s="834"/>
      <c r="BR81" s="834"/>
      <c r="BS81" s="834"/>
      <c r="BT81" s="834"/>
    </row>
    <row r="82">
      <c r="A82" s="15"/>
      <c r="B82" s="988"/>
      <c r="C82" s="28"/>
      <c r="D82" s="28"/>
      <c r="E82" s="28"/>
      <c r="F82" s="29"/>
      <c r="G82" s="989"/>
      <c r="H82" s="28"/>
      <c r="I82" s="28"/>
      <c r="J82" s="29"/>
      <c r="K82" s="990"/>
      <c r="L82" s="28"/>
      <c r="M82" s="29"/>
      <c r="N82" s="991"/>
      <c r="O82" s="991"/>
      <c r="P82" s="988"/>
      <c r="Q82" s="991"/>
      <c r="R82" s="993"/>
      <c r="S82" s="991"/>
      <c r="T82" s="994"/>
      <c r="U82" s="994"/>
      <c r="V82" s="994"/>
      <c r="W82" s="995"/>
      <c r="X82" s="995"/>
      <c r="Y82" s="996"/>
      <c r="Z82" s="994"/>
      <c r="AA82" s="994"/>
      <c r="AB82" s="994"/>
      <c r="AC82" s="997"/>
      <c r="AD82" s="994"/>
      <c r="AE82" s="994"/>
      <c r="AF82" s="997"/>
      <c r="AG82" s="997"/>
      <c r="AH82" s="998"/>
      <c r="AI82" s="999"/>
      <c r="AJ82" s="1000"/>
      <c r="AK82" s="1001"/>
      <c r="AL82" s="985"/>
      <c r="AM82" s="985"/>
      <c r="AN82" s="985"/>
      <c r="AO82" s="985"/>
      <c r="AP82" s="986"/>
      <c r="AQ82" s="1000"/>
      <c r="AR82" s="1010"/>
      <c r="AS82" s="28"/>
      <c r="AT82" s="28"/>
      <c r="AU82" s="28"/>
      <c r="AV82" s="28"/>
      <c r="AW82" s="28"/>
      <c r="AX82" s="28"/>
      <c r="AY82" s="28"/>
      <c r="AZ82" s="28"/>
      <c r="BA82" s="834"/>
      <c r="BB82" s="111"/>
      <c r="BC82" s="114"/>
      <c r="BD82" s="114"/>
      <c r="BE82" s="114"/>
      <c r="BF82" s="114"/>
      <c r="BG82" s="114"/>
      <c r="BH82" s="114"/>
      <c r="BI82" s="114"/>
      <c r="BJ82" s="114"/>
      <c r="BK82" s="114"/>
      <c r="BL82" s="114"/>
      <c r="BM82" s="114"/>
      <c r="BN82" s="114"/>
      <c r="BO82" s="68"/>
      <c r="BP82" s="834"/>
      <c r="BQ82" s="834"/>
      <c r="BR82" s="834"/>
      <c r="BS82" s="834"/>
      <c r="BT82" s="834"/>
    </row>
    <row r="83">
      <c r="A83" s="15"/>
      <c r="B83" s="988"/>
      <c r="C83" s="28"/>
      <c r="D83" s="28"/>
      <c r="E83" s="28"/>
      <c r="F83" s="29"/>
      <c r="G83" s="989"/>
      <c r="H83" s="28"/>
      <c r="I83" s="28"/>
      <c r="J83" s="29"/>
      <c r="K83" s="990"/>
      <c r="L83" s="28"/>
      <c r="M83" s="29"/>
      <c r="N83" s="991"/>
      <c r="O83" s="991"/>
      <c r="P83" s="988"/>
      <c r="Q83" s="991"/>
      <c r="R83" s="993"/>
      <c r="S83" s="991"/>
      <c r="T83" s="994"/>
      <c r="U83" s="994"/>
      <c r="V83" s="994"/>
      <c r="W83" s="995"/>
      <c r="X83" s="995"/>
      <c r="Y83" s="996"/>
      <c r="Z83" s="994"/>
      <c r="AA83" s="994"/>
      <c r="AB83" s="994"/>
      <c r="AC83" s="997"/>
      <c r="AD83" s="994"/>
      <c r="AE83" s="994"/>
      <c r="AF83" s="997"/>
      <c r="AG83" s="997"/>
      <c r="AH83" s="998"/>
      <c r="AI83" s="999"/>
      <c r="AJ83" s="1000"/>
      <c r="AK83" s="1001"/>
      <c r="AL83" s="985"/>
      <c r="AM83" s="985"/>
      <c r="AN83" s="985"/>
      <c r="AO83" s="985"/>
      <c r="AP83" s="986"/>
      <c r="AQ83" s="1000"/>
      <c r="AR83" s="1010"/>
      <c r="AS83" s="28"/>
      <c r="AT83" s="28"/>
      <c r="AU83" s="28"/>
      <c r="AV83" s="28"/>
      <c r="AW83" s="28"/>
      <c r="AX83" s="28"/>
      <c r="AY83" s="28"/>
      <c r="AZ83" s="28"/>
      <c r="BA83" s="834"/>
      <c r="BB83" s="1003"/>
      <c r="BC83" s="1003" t="s">
        <v>1248</v>
      </c>
      <c r="BD83" s="834"/>
      <c r="BE83" s="834"/>
      <c r="BF83" s="834"/>
      <c r="BG83" s="834"/>
      <c r="BH83" s="834"/>
      <c r="BI83" s="834"/>
      <c r="BJ83" s="834"/>
      <c r="BK83" s="834"/>
      <c r="BL83" s="834"/>
      <c r="BM83" s="834"/>
      <c r="BN83" s="834"/>
      <c r="BO83" s="834"/>
      <c r="BP83" s="834"/>
      <c r="BQ83" s="834"/>
      <c r="BR83" s="834"/>
      <c r="BS83" s="834"/>
      <c r="BT83" s="834"/>
    </row>
    <row r="84">
      <c r="A84" s="15"/>
      <c r="B84" s="988"/>
      <c r="C84" s="28"/>
      <c r="D84" s="28"/>
      <c r="E84" s="28"/>
      <c r="F84" s="29"/>
      <c r="G84" s="989"/>
      <c r="H84" s="28"/>
      <c r="I84" s="28"/>
      <c r="J84" s="29"/>
      <c r="K84" s="990"/>
      <c r="L84" s="28"/>
      <c r="M84" s="29"/>
      <c r="N84" s="991"/>
      <c r="O84" s="991"/>
      <c r="P84" s="988"/>
      <c r="Q84" s="991"/>
      <c r="R84" s="993"/>
      <c r="S84" s="991"/>
      <c r="T84" s="994"/>
      <c r="U84" s="994"/>
      <c r="V84" s="994"/>
      <c r="W84" s="995"/>
      <c r="X84" s="995"/>
      <c r="Y84" s="996"/>
      <c r="Z84" s="994"/>
      <c r="AA84" s="994"/>
      <c r="AB84" s="994"/>
      <c r="AC84" s="997"/>
      <c r="AD84" s="994"/>
      <c r="AE84" s="994"/>
      <c r="AF84" s="997"/>
      <c r="AG84" s="997"/>
      <c r="AH84" s="998"/>
      <c r="AI84" s="999"/>
      <c r="AJ84" s="1000"/>
      <c r="AK84" s="1001"/>
      <c r="AL84" s="985"/>
      <c r="AM84" s="985"/>
      <c r="AN84" s="985"/>
      <c r="AO84" s="985"/>
      <c r="AP84" s="986"/>
      <c r="AQ84" s="1000"/>
      <c r="AR84" s="1010"/>
      <c r="AS84" s="28"/>
      <c r="AT84" s="28"/>
      <c r="AU84" s="28"/>
      <c r="AV84" s="28"/>
      <c r="AW84" s="28"/>
      <c r="AX84" s="28"/>
      <c r="AY84" s="28"/>
      <c r="AZ84" s="28"/>
      <c r="BA84" s="834"/>
      <c r="BB84" s="922"/>
      <c r="BC84" s="67"/>
      <c r="BD84" s="67"/>
      <c r="BE84" s="67"/>
      <c r="BF84" s="67"/>
      <c r="BG84" s="67"/>
      <c r="BH84" s="67"/>
      <c r="BI84" s="67"/>
      <c r="BJ84" s="67"/>
      <c r="BK84" s="67"/>
      <c r="BL84" s="67"/>
      <c r="BM84" s="67"/>
      <c r="BN84" s="67"/>
      <c r="BO84" s="69"/>
      <c r="BP84" s="834"/>
      <c r="BQ84" s="834"/>
      <c r="BR84" s="834"/>
      <c r="BS84" s="834"/>
      <c r="BT84" s="834"/>
    </row>
    <row r="85">
      <c r="A85" s="507"/>
      <c r="B85" s="988"/>
      <c r="C85" s="28"/>
      <c r="D85" s="28"/>
      <c r="E85" s="28"/>
      <c r="F85" s="29"/>
      <c r="G85" s="989"/>
      <c r="H85" s="28"/>
      <c r="I85" s="28"/>
      <c r="J85" s="29"/>
      <c r="K85" s="990"/>
      <c r="L85" s="28"/>
      <c r="M85" s="29"/>
      <c r="N85" s="991"/>
      <c r="O85" s="991"/>
      <c r="P85" s="988"/>
      <c r="Q85" s="991"/>
      <c r="R85" s="993"/>
      <c r="S85" s="991"/>
      <c r="T85" s="994"/>
      <c r="U85" s="994"/>
      <c r="V85" s="994"/>
      <c r="W85" s="995"/>
      <c r="X85" s="995"/>
      <c r="Y85" s="996"/>
      <c r="Z85" s="994"/>
      <c r="AA85" s="994"/>
      <c r="AB85" s="994"/>
      <c r="AC85" s="997"/>
      <c r="AD85" s="994"/>
      <c r="AE85" s="994"/>
      <c r="AF85" s="997"/>
      <c r="AG85" s="997"/>
      <c r="AH85" s="998"/>
      <c r="AI85" s="999"/>
      <c r="AJ85" s="1000"/>
      <c r="AK85" s="1001"/>
      <c r="AL85" s="985"/>
      <c r="AM85" s="985"/>
      <c r="AN85" s="985"/>
      <c r="AO85" s="985"/>
      <c r="AP85" s="986"/>
      <c r="AQ85" s="1000"/>
      <c r="AR85" s="1010"/>
      <c r="AS85" s="28"/>
      <c r="AT85" s="28"/>
      <c r="AU85" s="28"/>
      <c r="AV85" s="28"/>
      <c r="AW85" s="28"/>
      <c r="AX85" s="28"/>
      <c r="AY85" s="28"/>
      <c r="AZ85" s="28"/>
      <c r="BA85" s="834"/>
      <c r="BB85" s="111"/>
      <c r="BC85" s="114"/>
      <c r="BD85" s="114"/>
      <c r="BE85" s="114"/>
      <c r="BF85" s="114"/>
      <c r="BG85" s="114"/>
      <c r="BH85" s="114"/>
      <c r="BI85" s="114"/>
      <c r="BJ85" s="114"/>
      <c r="BK85" s="114"/>
      <c r="BL85" s="114"/>
      <c r="BM85" s="114"/>
      <c r="BN85" s="114"/>
      <c r="BO85" s="68"/>
      <c r="BP85" s="834"/>
      <c r="BQ85" s="834"/>
      <c r="BR85" s="834"/>
      <c r="BS85" s="834"/>
      <c r="BT85" s="834"/>
    </row>
    <row r="86">
      <c r="A86" s="15"/>
      <c r="B86" s="1025" t="s">
        <v>1263</v>
      </c>
      <c r="C86" s="28"/>
      <c r="D86" s="28"/>
      <c r="E86" s="28"/>
      <c r="F86" s="29"/>
      <c r="G86" s="989"/>
      <c r="H86" s="28"/>
      <c r="I86" s="28"/>
      <c r="J86" s="29"/>
      <c r="K86" s="990"/>
      <c r="L86" s="28"/>
      <c r="M86" s="29"/>
      <c r="N86" s="991"/>
      <c r="O86" s="991"/>
      <c r="P86" s="988"/>
      <c r="Q86" s="991"/>
      <c r="R86" s="993"/>
      <c r="S86" s="991"/>
      <c r="T86" s="994"/>
      <c r="U86" s="994"/>
      <c r="V86" s="994"/>
      <c r="W86" s="995"/>
      <c r="X86" s="995"/>
      <c r="Y86" s="996"/>
      <c r="Z86" s="994"/>
      <c r="AA86" s="994"/>
      <c r="AB86" s="994"/>
      <c r="AC86" s="997"/>
      <c r="AD86" s="994"/>
      <c r="AE86" s="994"/>
      <c r="AF86" s="997"/>
      <c r="AG86" s="997"/>
      <c r="AH86" s="998"/>
      <c r="AI86" s="999"/>
      <c r="AJ86" s="1000"/>
      <c r="AK86" s="1001"/>
      <c r="AL86" s="985"/>
      <c r="AM86" s="985"/>
      <c r="AN86" s="985"/>
      <c r="AO86" s="985"/>
      <c r="AP86" s="986"/>
      <c r="AQ86" s="1000"/>
      <c r="AR86" s="1010"/>
      <c r="AS86" s="28"/>
      <c r="AT86" s="28"/>
      <c r="AU86" s="28"/>
      <c r="AV86" s="28"/>
      <c r="AW86" s="28"/>
      <c r="AX86" s="28"/>
      <c r="AY86" s="28"/>
      <c r="AZ86" s="28"/>
      <c r="BA86" s="834"/>
      <c r="BB86" s="914"/>
      <c r="BC86" s="914" t="s">
        <v>1265</v>
      </c>
      <c r="BD86" s="834"/>
      <c r="BE86" s="834"/>
      <c r="BF86" s="834"/>
      <c r="BG86" s="834"/>
      <c r="BH86" s="834"/>
      <c r="BI86" s="834"/>
      <c r="BJ86" s="834"/>
      <c r="BK86" s="834"/>
      <c r="BL86" s="834"/>
      <c r="BM86" s="834"/>
      <c r="BN86" s="834"/>
      <c r="BO86" s="834"/>
      <c r="BP86" s="834"/>
      <c r="BQ86" s="834"/>
      <c r="BR86" s="834"/>
      <c r="BS86" s="834"/>
      <c r="BT86" s="834"/>
    </row>
    <row r="87" hidden="1">
      <c r="A87" s="15"/>
      <c r="B87" s="988"/>
      <c r="C87" s="28"/>
      <c r="D87" s="28"/>
      <c r="E87" s="28"/>
      <c r="F87" s="29"/>
      <c r="G87" s="989"/>
      <c r="H87" s="28"/>
      <c r="I87" s="28"/>
      <c r="J87" s="29"/>
      <c r="K87" s="990"/>
      <c r="L87" s="28"/>
      <c r="M87" s="29"/>
      <c r="N87" s="991"/>
      <c r="O87" s="991"/>
      <c r="P87" s="988"/>
      <c r="Q87" s="991"/>
      <c r="R87" s="993"/>
      <c r="S87" s="991"/>
      <c r="T87" s="994"/>
      <c r="U87" s="994"/>
      <c r="V87" s="994"/>
      <c r="W87" s="995"/>
      <c r="X87" s="995"/>
      <c r="Y87" s="996"/>
      <c r="Z87" s="994"/>
      <c r="AA87" s="994"/>
      <c r="AB87" s="994"/>
      <c r="AC87" s="997"/>
      <c r="AD87" s="994"/>
      <c r="AE87" s="994"/>
      <c r="AF87" s="997"/>
      <c r="AG87" s="997"/>
      <c r="AH87" s="998"/>
      <c r="AI87" s="999"/>
      <c r="AJ87" s="1000"/>
      <c r="AK87" s="1001"/>
      <c r="AL87" s="985"/>
      <c r="AM87" s="985"/>
      <c r="AN87" s="985"/>
      <c r="AO87" s="985"/>
      <c r="AP87" s="986"/>
      <c r="AQ87" s="1000"/>
      <c r="AR87" s="1010"/>
      <c r="AS87" s="28"/>
      <c r="AT87" s="28"/>
      <c r="AU87" s="28"/>
      <c r="AV87" s="28"/>
      <c r="AW87" s="28"/>
      <c r="AX87" s="28"/>
      <c r="AY87" s="28"/>
      <c r="AZ87" s="28"/>
      <c r="BA87" s="834"/>
      <c r="BB87" s="1034"/>
      <c r="BC87" s="67"/>
      <c r="BD87" s="67"/>
      <c r="BE87" s="67"/>
      <c r="BF87" s="67"/>
      <c r="BG87" s="67"/>
      <c r="BH87" s="67"/>
      <c r="BI87" s="67"/>
      <c r="BJ87" s="67"/>
      <c r="BK87" s="67"/>
      <c r="BL87" s="67"/>
      <c r="BM87" s="67"/>
      <c r="BN87" s="67"/>
      <c r="BO87" s="69"/>
      <c r="BP87" s="834"/>
      <c r="BQ87" s="834"/>
      <c r="BR87" s="834"/>
      <c r="BS87" s="834"/>
      <c r="BT87" s="834"/>
    </row>
    <row r="88" hidden="1">
      <c r="A88" s="15"/>
      <c r="B88" s="988"/>
      <c r="C88" s="28"/>
      <c r="D88" s="28"/>
      <c r="E88" s="28"/>
      <c r="F88" s="29"/>
      <c r="G88" s="989"/>
      <c r="H88" s="28"/>
      <c r="I88" s="28"/>
      <c r="J88" s="29"/>
      <c r="K88" s="990"/>
      <c r="L88" s="28"/>
      <c r="M88" s="29"/>
      <c r="N88" s="991"/>
      <c r="O88" s="991"/>
      <c r="P88" s="988"/>
      <c r="Q88" s="991"/>
      <c r="R88" s="993"/>
      <c r="S88" s="991"/>
      <c r="T88" s="994"/>
      <c r="U88" s="994"/>
      <c r="V88" s="994"/>
      <c r="W88" s="995"/>
      <c r="X88" s="995"/>
      <c r="Y88" s="996"/>
      <c r="Z88" s="994"/>
      <c r="AA88" s="994"/>
      <c r="AB88" s="994"/>
      <c r="AC88" s="997"/>
      <c r="AD88" s="994"/>
      <c r="AE88" s="994"/>
      <c r="AF88" s="997"/>
      <c r="AG88" s="997"/>
      <c r="AH88" s="998"/>
      <c r="AI88" s="999"/>
      <c r="AJ88" s="1000"/>
      <c r="AK88" s="1001"/>
      <c r="AL88" s="985"/>
      <c r="AM88" s="985"/>
      <c r="AN88" s="985"/>
      <c r="AO88" s="985"/>
      <c r="AP88" s="986"/>
      <c r="AQ88" s="1000"/>
      <c r="AR88" s="1010"/>
      <c r="AS88" s="28"/>
      <c r="AT88" s="28"/>
      <c r="AU88" s="28"/>
      <c r="AV88" s="28"/>
      <c r="AW88" s="28"/>
      <c r="AX88" s="28"/>
      <c r="AY88" s="28"/>
      <c r="AZ88" s="28"/>
      <c r="BA88" s="834"/>
      <c r="BB88" s="111"/>
      <c r="BC88" s="114"/>
      <c r="BD88" s="114"/>
      <c r="BE88" s="114"/>
      <c r="BF88" s="114"/>
      <c r="BG88" s="114"/>
      <c r="BH88" s="114"/>
      <c r="BI88" s="114"/>
      <c r="BJ88" s="114"/>
      <c r="BK88" s="114"/>
      <c r="BL88" s="114"/>
      <c r="BM88" s="114"/>
      <c r="BN88" s="114"/>
      <c r="BO88" s="68"/>
      <c r="BP88" s="834"/>
      <c r="BQ88" s="834"/>
      <c r="BR88" s="834"/>
      <c r="BS88" s="834"/>
      <c r="BT88" s="834"/>
    </row>
    <row r="89" hidden="1">
      <c r="A89" s="15"/>
      <c r="B89" s="988"/>
      <c r="C89" s="28"/>
      <c r="D89" s="28"/>
      <c r="E89" s="28"/>
      <c r="F89" s="29"/>
      <c r="G89" s="989"/>
      <c r="H89" s="28"/>
      <c r="I89" s="28"/>
      <c r="J89" s="29"/>
      <c r="K89" s="990"/>
      <c r="L89" s="28"/>
      <c r="M89" s="29"/>
      <c r="N89" s="991"/>
      <c r="O89" s="991"/>
      <c r="P89" s="988"/>
      <c r="Q89" s="991"/>
      <c r="R89" s="993"/>
      <c r="S89" s="991"/>
      <c r="T89" s="994"/>
      <c r="U89" s="994"/>
      <c r="V89" s="994"/>
      <c r="W89" s="995"/>
      <c r="X89" s="995"/>
      <c r="Y89" s="996"/>
      <c r="Z89" s="994"/>
      <c r="AA89" s="994"/>
      <c r="AB89" s="994"/>
      <c r="AC89" s="997"/>
      <c r="AD89" s="994"/>
      <c r="AE89" s="994"/>
      <c r="AF89" s="997"/>
      <c r="AG89" s="997"/>
      <c r="AH89" s="998"/>
      <c r="AI89" s="999"/>
      <c r="AJ89" s="1000"/>
      <c r="AK89" s="1001"/>
      <c r="AL89" s="985"/>
      <c r="AM89" s="985"/>
      <c r="AN89" s="985"/>
      <c r="AO89" s="985"/>
      <c r="AP89" s="986"/>
      <c r="AQ89" s="1000"/>
      <c r="AR89" s="1010"/>
      <c r="AS89" s="28"/>
      <c r="AT89" s="28"/>
      <c r="AU89" s="28"/>
      <c r="AV89" s="28"/>
      <c r="AW89" s="28"/>
      <c r="AX89" s="28"/>
      <c r="AY89" s="28"/>
      <c r="AZ89" s="28"/>
      <c r="BA89" s="834"/>
      <c r="BB89" s="834"/>
      <c r="BC89" s="834"/>
      <c r="BD89" s="834"/>
      <c r="BE89" s="834"/>
      <c r="BF89" s="834"/>
      <c r="BG89" s="834"/>
      <c r="BH89" s="834"/>
      <c r="BI89" s="834"/>
      <c r="BJ89" s="834"/>
      <c r="BK89" s="834"/>
      <c r="BL89" s="834"/>
      <c r="BM89" s="834"/>
      <c r="BN89" s="834"/>
      <c r="BO89" s="834"/>
      <c r="BP89" s="834"/>
      <c r="BQ89" s="834"/>
      <c r="BR89" s="834"/>
      <c r="BS89" s="834"/>
      <c r="BT89" s="834"/>
    </row>
    <row r="90" hidden="1">
      <c r="A90" s="15"/>
      <c r="B90" s="988"/>
      <c r="C90" s="28"/>
      <c r="D90" s="28"/>
      <c r="E90" s="28"/>
      <c r="F90" s="29"/>
      <c r="G90" s="989"/>
      <c r="H90" s="28"/>
      <c r="I90" s="28"/>
      <c r="J90" s="29"/>
      <c r="K90" s="990"/>
      <c r="L90" s="28"/>
      <c r="M90" s="29"/>
      <c r="N90" s="991"/>
      <c r="O90" s="991"/>
      <c r="P90" s="988"/>
      <c r="Q90" s="991"/>
      <c r="R90" s="993"/>
      <c r="S90" s="991"/>
      <c r="T90" s="994"/>
      <c r="U90" s="994"/>
      <c r="V90" s="994"/>
      <c r="W90" s="995"/>
      <c r="X90" s="995"/>
      <c r="Y90" s="996"/>
      <c r="Z90" s="994"/>
      <c r="AA90" s="994"/>
      <c r="AB90" s="994"/>
      <c r="AC90" s="997"/>
      <c r="AD90" s="994"/>
      <c r="AE90" s="994"/>
      <c r="AF90" s="997"/>
      <c r="AG90" s="997"/>
      <c r="AH90" s="998"/>
      <c r="AI90" s="999"/>
      <c r="AJ90" s="1000"/>
      <c r="AK90" s="1001"/>
      <c r="AL90" s="985"/>
      <c r="AM90" s="985"/>
      <c r="AN90" s="985"/>
      <c r="AO90" s="985"/>
      <c r="AP90" s="986"/>
      <c r="AQ90" s="1000"/>
      <c r="AR90" s="1010"/>
      <c r="AS90" s="28"/>
      <c r="AT90" s="28"/>
      <c r="AU90" s="28"/>
      <c r="AV90" s="28"/>
      <c r="AW90" s="28"/>
      <c r="AX90" s="28"/>
      <c r="AY90" s="28"/>
      <c r="AZ90" s="28"/>
      <c r="BA90" s="834"/>
      <c r="BB90" s="834"/>
      <c r="BC90" s="834"/>
      <c r="BD90" s="834"/>
      <c r="BE90" s="834"/>
      <c r="BF90" s="834"/>
      <c r="BG90" s="834"/>
      <c r="BH90" s="834"/>
      <c r="BI90" s="834"/>
      <c r="BJ90" s="834"/>
      <c r="BK90" s="834"/>
      <c r="BL90" s="834"/>
      <c r="BM90" s="834"/>
      <c r="BN90" s="834"/>
      <c r="BO90" s="834"/>
      <c r="BP90" s="834"/>
      <c r="BQ90" s="834"/>
      <c r="BR90" s="834"/>
      <c r="BS90" s="834"/>
      <c r="BT90" s="834"/>
    </row>
    <row r="91" hidden="1">
      <c r="A91" s="15"/>
      <c r="B91" s="988"/>
      <c r="C91" s="28"/>
      <c r="D91" s="28"/>
      <c r="E91" s="28"/>
      <c r="F91" s="29"/>
      <c r="G91" s="989"/>
      <c r="H91" s="28"/>
      <c r="I91" s="28"/>
      <c r="J91" s="29"/>
      <c r="K91" s="990"/>
      <c r="L91" s="28"/>
      <c r="M91" s="29"/>
      <c r="N91" s="991"/>
      <c r="O91" s="991"/>
      <c r="P91" s="988"/>
      <c r="Q91" s="991"/>
      <c r="R91" s="993"/>
      <c r="S91" s="991"/>
      <c r="T91" s="994"/>
      <c r="U91" s="994"/>
      <c r="V91" s="994"/>
      <c r="W91" s="995"/>
      <c r="X91" s="995"/>
      <c r="Y91" s="996"/>
      <c r="Z91" s="994"/>
      <c r="AA91" s="994"/>
      <c r="AB91" s="994"/>
      <c r="AC91" s="997"/>
      <c r="AD91" s="994"/>
      <c r="AE91" s="994"/>
      <c r="AF91" s="997"/>
      <c r="AG91" s="997"/>
      <c r="AH91" s="998"/>
      <c r="AI91" s="999"/>
      <c r="AJ91" s="1000"/>
      <c r="AK91" s="1001"/>
      <c r="AL91" s="985"/>
      <c r="AM91" s="985"/>
      <c r="AN91" s="985"/>
      <c r="AO91" s="985"/>
      <c r="AP91" s="986"/>
      <c r="AQ91" s="1000"/>
      <c r="AR91" s="1010"/>
      <c r="AS91" s="28"/>
      <c r="AT91" s="28"/>
      <c r="AU91" s="28"/>
      <c r="AV91" s="28"/>
      <c r="AW91" s="28"/>
      <c r="AX91" s="28"/>
      <c r="AY91" s="28"/>
      <c r="AZ91" s="28"/>
      <c r="BA91" s="834"/>
      <c r="BB91" s="834"/>
      <c r="BC91" s="834"/>
      <c r="BD91" s="834"/>
      <c r="BE91" s="834"/>
      <c r="BF91" s="834"/>
      <c r="BG91" s="834"/>
      <c r="BH91" s="834"/>
      <c r="BI91" s="834"/>
      <c r="BJ91" s="834"/>
      <c r="BK91" s="834"/>
      <c r="BL91" s="834"/>
      <c r="BM91" s="834"/>
      <c r="BN91" s="834"/>
      <c r="BO91" s="834"/>
      <c r="BP91" s="834"/>
      <c r="BQ91" s="834"/>
      <c r="BR91" s="834"/>
      <c r="BS91" s="834"/>
      <c r="BT91" s="834"/>
    </row>
    <row r="92" hidden="1">
      <c r="A92" s="15"/>
      <c r="B92" s="988"/>
      <c r="C92" s="28"/>
      <c r="D92" s="28"/>
      <c r="E92" s="28"/>
      <c r="F92" s="29"/>
      <c r="G92" s="989"/>
      <c r="H92" s="28"/>
      <c r="I92" s="28"/>
      <c r="J92" s="29"/>
      <c r="K92" s="990"/>
      <c r="L92" s="28"/>
      <c r="M92" s="29"/>
      <c r="N92" s="991"/>
      <c r="O92" s="991"/>
      <c r="P92" s="988"/>
      <c r="Q92" s="991"/>
      <c r="R92" s="993"/>
      <c r="S92" s="991"/>
      <c r="T92" s="994"/>
      <c r="U92" s="994"/>
      <c r="V92" s="994"/>
      <c r="W92" s="995"/>
      <c r="X92" s="995"/>
      <c r="Y92" s="996"/>
      <c r="Z92" s="994"/>
      <c r="AA92" s="994"/>
      <c r="AB92" s="994"/>
      <c r="AC92" s="997"/>
      <c r="AD92" s="994"/>
      <c r="AE92" s="994"/>
      <c r="AF92" s="997"/>
      <c r="AG92" s="997"/>
      <c r="AH92" s="998"/>
      <c r="AI92" s="999"/>
      <c r="AJ92" s="1000"/>
      <c r="AK92" s="1001"/>
      <c r="AL92" s="985"/>
      <c r="AM92" s="985"/>
      <c r="AN92" s="985"/>
      <c r="AO92" s="985"/>
      <c r="AP92" s="986"/>
      <c r="AQ92" s="1000"/>
      <c r="AR92" s="1010"/>
      <c r="AS92" s="28"/>
      <c r="AT92" s="28"/>
      <c r="AU92" s="28"/>
      <c r="AV92" s="28"/>
      <c r="AW92" s="28"/>
      <c r="AX92" s="28"/>
      <c r="AY92" s="28"/>
      <c r="AZ92" s="28"/>
      <c r="BA92" s="834"/>
      <c r="BB92" s="834"/>
      <c r="BC92" s="834"/>
      <c r="BD92" s="834"/>
      <c r="BE92" s="834"/>
      <c r="BF92" s="834"/>
      <c r="BG92" s="834"/>
      <c r="BH92" s="834"/>
      <c r="BI92" s="834"/>
      <c r="BJ92" s="834"/>
      <c r="BK92" s="834"/>
      <c r="BL92" s="834"/>
      <c r="BM92" s="834"/>
      <c r="BN92" s="834"/>
      <c r="BO92" s="834"/>
      <c r="BP92" s="834"/>
      <c r="BQ92" s="834"/>
      <c r="BR92" s="834"/>
      <c r="BS92" s="834"/>
      <c r="BT92" s="834"/>
    </row>
    <row r="93" hidden="1">
      <c r="A93" s="15"/>
      <c r="B93" s="988"/>
      <c r="C93" s="28"/>
      <c r="D93" s="28"/>
      <c r="E93" s="28"/>
      <c r="F93" s="29"/>
      <c r="G93" s="989"/>
      <c r="H93" s="28"/>
      <c r="I93" s="28"/>
      <c r="J93" s="29"/>
      <c r="K93" s="990"/>
      <c r="L93" s="28"/>
      <c r="M93" s="29"/>
      <c r="N93" s="991"/>
      <c r="O93" s="991"/>
      <c r="P93" s="988"/>
      <c r="Q93" s="991"/>
      <c r="R93" s="993"/>
      <c r="S93" s="991"/>
      <c r="T93" s="994"/>
      <c r="U93" s="994"/>
      <c r="V93" s="994"/>
      <c r="W93" s="995"/>
      <c r="X93" s="995"/>
      <c r="Y93" s="996"/>
      <c r="Z93" s="994"/>
      <c r="AA93" s="994"/>
      <c r="AB93" s="994"/>
      <c r="AC93" s="997"/>
      <c r="AD93" s="994"/>
      <c r="AE93" s="994"/>
      <c r="AF93" s="997"/>
      <c r="AG93" s="997"/>
      <c r="AH93" s="998"/>
      <c r="AI93" s="999"/>
      <c r="AJ93" s="1000"/>
      <c r="AK93" s="1001"/>
      <c r="AL93" s="985"/>
      <c r="AM93" s="985"/>
      <c r="AN93" s="985"/>
      <c r="AO93" s="985"/>
      <c r="AP93" s="986"/>
      <c r="AQ93" s="1000"/>
      <c r="AR93" s="1010"/>
      <c r="AS93" s="28"/>
      <c r="AT93" s="28"/>
      <c r="AU93" s="28"/>
      <c r="AV93" s="28"/>
      <c r="AW93" s="28"/>
      <c r="AX93" s="28"/>
      <c r="AY93" s="28"/>
      <c r="AZ93" s="28"/>
      <c r="BA93" s="834"/>
      <c r="BB93" s="834"/>
      <c r="BC93" s="834"/>
      <c r="BD93" s="834"/>
      <c r="BE93" s="834"/>
      <c r="BF93" s="834"/>
      <c r="BG93" s="834"/>
      <c r="BH93" s="834"/>
      <c r="BI93" s="834"/>
      <c r="BJ93" s="834"/>
      <c r="BK93" s="834"/>
      <c r="BL93" s="834"/>
      <c r="BM93" s="834"/>
      <c r="BN93" s="834"/>
      <c r="BO93" s="834"/>
      <c r="BP93" s="834"/>
      <c r="BQ93" s="834"/>
      <c r="BR93" s="834"/>
      <c r="BS93" s="834"/>
      <c r="BT93" s="834"/>
    </row>
    <row r="94" hidden="1">
      <c r="A94" s="15"/>
      <c r="B94" s="988"/>
      <c r="C94" s="28"/>
      <c r="D94" s="28"/>
      <c r="E94" s="28"/>
      <c r="F94" s="29"/>
      <c r="G94" s="989"/>
      <c r="H94" s="28"/>
      <c r="I94" s="28"/>
      <c r="J94" s="29"/>
      <c r="K94" s="990"/>
      <c r="L94" s="28"/>
      <c r="M94" s="29"/>
      <c r="N94" s="991"/>
      <c r="O94" s="991"/>
      <c r="P94" s="988"/>
      <c r="Q94" s="991"/>
      <c r="R94" s="993"/>
      <c r="S94" s="991"/>
      <c r="T94" s="994"/>
      <c r="U94" s="994"/>
      <c r="V94" s="994"/>
      <c r="W94" s="995"/>
      <c r="X94" s="995"/>
      <c r="Y94" s="996"/>
      <c r="Z94" s="994"/>
      <c r="AA94" s="994"/>
      <c r="AB94" s="994"/>
      <c r="AC94" s="997"/>
      <c r="AD94" s="994"/>
      <c r="AE94" s="994"/>
      <c r="AF94" s="997"/>
      <c r="AG94" s="997"/>
      <c r="AH94" s="998"/>
      <c r="AI94" s="999"/>
      <c r="AJ94" s="1000"/>
      <c r="AK94" s="1001"/>
      <c r="AL94" s="985"/>
      <c r="AM94" s="985"/>
      <c r="AN94" s="985"/>
      <c r="AO94" s="985"/>
      <c r="AP94" s="986"/>
      <c r="AQ94" s="1000"/>
      <c r="AR94" s="1010"/>
      <c r="AS94" s="28"/>
      <c r="AT94" s="28"/>
      <c r="AU94" s="28"/>
      <c r="AV94" s="28"/>
      <c r="AW94" s="28"/>
      <c r="AX94" s="28"/>
      <c r="AY94" s="28"/>
      <c r="AZ94" s="28"/>
      <c r="BA94" s="834"/>
      <c r="BB94" s="834"/>
      <c r="BC94" s="834"/>
      <c r="BD94" s="834"/>
      <c r="BE94" s="834"/>
      <c r="BF94" s="834"/>
      <c r="BG94" s="834"/>
      <c r="BH94" s="834"/>
      <c r="BI94" s="834"/>
      <c r="BJ94" s="834"/>
      <c r="BK94" s="834"/>
      <c r="BL94" s="834"/>
      <c r="BM94" s="834"/>
      <c r="BN94" s="834"/>
      <c r="BO94" s="834"/>
      <c r="BP94" s="834"/>
      <c r="BQ94" s="834"/>
      <c r="BR94" s="834"/>
      <c r="BS94" s="834"/>
      <c r="BT94" s="834"/>
    </row>
    <row r="95" hidden="1">
      <c r="A95" s="15"/>
      <c r="B95" s="969" t="str">
        <f t="shared" ref="B95:B99" si="16">T42</f>
        <v/>
      </c>
      <c r="C95" s="28"/>
      <c r="D95" s="28"/>
      <c r="E95" s="28"/>
      <c r="F95" s="29"/>
      <c r="G95" s="971" t="str">
        <f t="shared" ref="G95:G99" si="17">Z42</f>
        <v/>
      </c>
      <c r="H95" s="28"/>
      <c r="I95" s="28"/>
      <c r="J95" s="29"/>
      <c r="K95" s="972" t="str">
        <f t="shared" ref="K95:K99" si="18">IF(NOT(ISBLANK(AB42)),"ACTIVE","INACTIVE")</f>
        <v>INACTIVE</v>
      </c>
      <c r="L95" s="28"/>
      <c r="M95" s="29"/>
      <c r="N95" s="973" t="str">
        <f t="shared" ref="N95:N99" si="19">IF(X42="AC",AB42,)</f>
        <v/>
      </c>
      <c r="O95" s="973" t="str">
        <f t="shared" ref="O95:O99" si="20">IF(X42="NatAC",AB42,)</f>
        <v/>
      </c>
      <c r="P95" s="969" t="str">
        <f t="shared" ref="P95:P99" si="21">IF(X42="Saves",AB42,)</f>
        <v/>
      </c>
      <c r="Q95" s="973" t="str">
        <f t="shared" ref="Q95:Q99" si="22">IF(X42="Saves",AB42,)</f>
        <v/>
      </c>
      <c r="R95" s="975" t="str">
        <f t="shared" ref="R95:R99" si="23">IF(X42="Saves",AB42,)</f>
        <v/>
      </c>
      <c r="S95" s="991"/>
      <c r="T95" s="994"/>
      <c r="U95" s="994"/>
      <c r="V95" s="994"/>
      <c r="W95" s="995"/>
      <c r="X95" s="995"/>
      <c r="Y95" s="996"/>
      <c r="Z95" s="994"/>
      <c r="AA95" s="994"/>
      <c r="AB95" s="994"/>
      <c r="AC95" s="997"/>
      <c r="AD95" s="994"/>
      <c r="AE95" s="994"/>
      <c r="AF95" s="997"/>
      <c r="AG95" s="997"/>
      <c r="AH95" s="998"/>
      <c r="AI95" s="999"/>
      <c r="AJ95" s="1000"/>
      <c r="AK95" s="1001"/>
      <c r="AL95" s="985"/>
      <c r="AM95" s="985"/>
      <c r="AN95" s="985"/>
      <c r="AO95" s="985"/>
      <c r="AP95" s="986"/>
      <c r="AQ95" s="1000"/>
      <c r="AR95" s="1010"/>
      <c r="AS95" s="28"/>
      <c r="AT95" s="28"/>
      <c r="AU95" s="28"/>
      <c r="AV95" s="28"/>
      <c r="AW95" s="28"/>
      <c r="AX95" s="28"/>
      <c r="AY95" s="28"/>
      <c r="AZ95" s="28"/>
      <c r="BA95" s="834"/>
      <c r="BB95" s="834"/>
      <c r="BC95" s="834"/>
      <c r="BD95" s="834"/>
      <c r="BE95" s="834"/>
      <c r="BF95" s="834"/>
      <c r="BG95" s="834"/>
      <c r="BH95" s="834"/>
      <c r="BI95" s="834"/>
      <c r="BJ95" s="834"/>
      <c r="BK95" s="834"/>
      <c r="BL95" s="834"/>
      <c r="BM95" s="834"/>
      <c r="BN95" s="834"/>
      <c r="BO95" s="834"/>
      <c r="BP95" s="834"/>
      <c r="BQ95" s="834"/>
      <c r="BR95" s="834"/>
      <c r="BS95" s="834"/>
      <c r="BT95" s="834"/>
    </row>
    <row r="96" hidden="1">
      <c r="A96" s="15"/>
      <c r="B96" s="969" t="str">
        <f t="shared" si="16"/>
        <v/>
      </c>
      <c r="C96" s="28"/>
      <c r="D96" s="28"/>
      <c r="E96" s="28"/>
      <c r="F96" s="29"/>
      <c r="G96" s="971" t="str">
        <f t="shared" si="17"/>
        <v/>
      </c>
      <c r="H96" s="28"/>
      <c r="I96" s="28"/>
      <c r="J96" s="29"/>
      <c r="K96" s="972" t="str">
        <f t="shared" si="18"/>
        <v>INACTIVE</v>
      </c>
      <c r="L96" s="28"/>
      <c r="M96" s="29"/>
      <c r="N96" s="973" t="str">
        <f t="shared" si="19"/>
        <v/>
      </c>
      <c r="O96" s="973" t="str">
        <f t="shared" si="20"/>
        <v/>
      </c>
      <c r="P96" s="969" t="str">
        <f t="shared" si="21"/>
        <v/>
      </c>
      <c r="Q96" s="973" t="str">
        <f t="shared" si="22"/>
        <v/>
      </c>
      <c r="R96" s="975" t="str">
        <f t="shared" si="23"/>
        <v/>
      </c>
      <c r="S96" s="991"/>
      <c r="T96" s="994"/>
      <c r="U96" s="994"/>
      <c r="V96" s="994"/>
      <c r="W96" s="995"/>
      <c r="X96" s="995"/>
      <c r="Y96" s="996"/>
      <c r="Z96" s="994"/>
      <c r="AA96" s="994"/>
      <c r="AB96" s="994"/>
      <c r="AC96" s="997"/>
      <c r="AD96" s="994"/>
      <c r="AE96" s="994"/>
      <c r="AF96" s="997"/>
      <c r="AG96" s="997"/>
      <c r="AH96" s="998"/>
      <c r="AI96" s="999"/>
      <c r="AJ96" s="1000"/>
      <c r="AK96" s="1001"/>
      <c r="AL96" s="985"/>
      <c r="AM96" s="985"/>
      <c r="AN96" s="985"/>
      <c r="AO96" s="985"/>
      <c r="AP96" s="986"/>
      <c r="AQ96" s="1000"/>
      <c r="AR96" s="1010"/>
      <c r="AS96" s="28"/>
      <c r="AT96" s="28"/>
      <c r="AU96" s="28"/>
      <c r="AV96" s="28"/>
      <c r="AW96" s="28"/>
      <c r="AX96" s="28"/>
      <c r="AY96" s="28"/>
      <c r="AZ96" s="28"/>
      <c r="BA96" s="834"/>
      <c r="BB96" s="834"/>
      <c r="BC96" s="834"/>
      <c r="BD96" s="834"/>
      <c r="BE96" s="834"/>
      <c r="BF96" s="834"/>
      <c r="BG96" s="834"/>
      <c r="BH96" s="834"/>
      <c r="BI96" s="834"/>
      <c r="BJ96" s="834"/>
      <c r="BK96" s="834"/>
      <c r="BL96" s="834"/>
      <c r="BM96" s="834"/>
      <c r="BN96" s="834"/>
      <c r="BO96" s="834"/>
      <c r="BP96" s="834"/>
      <c r="BQ96" s="834"/>
      <c r="BR96" s="834"/>
      <c r="BS96" s="834"/>
      <c r="BT96" s="834"/>
    </row>
    <row r="97" hidden="1">
      <c r="A97" s="901"/>
      <c r="B97" s="969" t="str">
        <f t="shared" si="16"/>
        <v/>
      </c>
      <c r="C97" s="28"/>
      <c r="D97" s="28"/>
      <c r="E97" s="28"/>
      <c r="F97" s="29"/>
      <c r="G97" s="971" t="str">
        <f t="shared" si="17"/>
        <v/>
      </c>
      <c r="H97" s="28"/>
      <c r="I97" s="28"/>
      <c r="J97" s="29"/>
      <c r="K97" s="972" t="str">
        <f t="shared" si="18"/>
        <v>INACTIVE</v>
      </c>
      <c r="L97" s="28"/>
      <c r="M97" s="29"/>
      <c r="N97" s="973" t="str">
        <f t="shared" si="19"/>
        <v/>
      </c>
      <c r="O97" s="973" t="str">
        <f t="shared" si="20"/>
        <v/>
      </c>
      <c r="P97" s="969" t="str">
        <f t="shared" si="21"/>
        <v/>
      </c>
      <c r="Q97" s="973" t="str">
        <f t="shared" si="22"/>
        <v/>
      </c>
      <c r="R97" s="975" t="str">
        <f t="shared" si="23"/>
        <v/>
      </c>
      <c r="S97" s="991"/>
      <c r="T97" s="994"/>
      <c r="U97" s="994"/>
      <c r="V97" s="994"/>
      <c r="W97" s="995"/>
      <c r="X97" s="995"/>
      <c r="Y97" s="996"/>
      <c r="Z97" s="994"/>
      <c r="AA97" s="994"/>
      <c r="AB97" s="994"/>
      <c r="AC97" s="997"/>
      <c r="AD97" s="994"/>
      <c r="AE97" s="994"/>
      <c r="AF97" s="997"/>
      <c r="AG97" s="997"/>
      <c r="AH97" s="998"/>
      <c r="AI97" s="999"/>
      <c r="AJ97" s="1000"/>
      <c r="AK97" s="1001"/>
      <c r="AL97" s="985"/>
      <c r="AM97" s="985"/>
      <c r="AN97" s="985"/>
      <c r="AO97" s="985"/>
      <c r="AP97" s="986"/>
      <c r="AQ97" s="1000"/>
      <c r="AR97" s="1010"/>
      <c r="AS97" s="28"/>
      <c r="AT97" s="28"/>
      <c r="AU97" s="28"/>
      <c r="AV97" s="28"/>
      <c r="AW97" s="28"/>
      <c r="AX97" s="28"/>
      <c r="AY97" s="28"/>
      <c r="AZ97" s="28"/>
      <c r="BA97" s="834"/>
      <c r="BB97" s="834"/>
      <c r="BC97" s="834"/>
      <c r="BD97" s="834"/>
      <c r="BE97" s="834"/>
      <c r="BF97" s="834"/>
      <c r="BG97" s="834"/>
      <c r="BH97" s="834"/>
      <c r="BI97" s="834"/>
      <c r="BJ97" s="834"/>
      <c r="BK97" s="834"/>
      <c r="BL97" s="834"/>
      <c r="BM97" s="834"/>
      <c r="BN97" s="834"/>
      <c r="BO97" s="834"/>
      <c r="BP97" s="834"/>
      <c r="BQ97" s="834"/>
      <c r="BR97" s="834"/>
      <c r="BS97" s="834"/>
      <c r="BT97" s="834"/>
    </row>
    <row r="98" hidden="1">
      <c r="A98" s="15"/>
      <c r="B98" s="969" t="str">
        <f t="shared" si="16"/>
        <v/>
      </c>
      <c r="C98" s="28"/>
      <c r="D98" s="28"/>
      <c r="E98" s="28"/>
      <c r="F98" s="29"/>
      <c r="G98" s="971" t="str">
        <f t="shared" si="17"/>
        <v/>
      </c>
      <c r="H98" s="28"/>
      <c r="I98" s="28"/>
      <c r="J98" s="29"/>
      <c r="K98" s="972" t="str">
        <f t="shared" si="18"/>
        <v>INACTIVE</v>
      </c>
      <c r="L98" s="28"/>
      <c r="M98" s="29"/>
      <c r="N98" s="973" t="str">
        <f t="shared" si="19"/>
        <v/>
      </c>
      <c r="O98" s="973" t="str">
        <f t="shared" si="20"/>
        <v/>
      </c>
      <c r="P98" s="969" t="str">
        <f t="shared" si="21"/>
        <v/>
      </c>
      <c r="Q98" s="973" t="str">
        <f t="shared" si="22"/>
        <v/>
      </c>
      <c r="R98" s="975" t="str">
        <f t="shared" si="23"/>
        <v/>
      </c>
      <c r="S98" s="991"/>
      <c r="T98" s="994"/>
      <c r="U98" s="994"/>
      <c r="V98" s="994"/>
      <c r="W98" s="995"/>
      <c r="X98" s="995"/>
      <c r="Y98" s="996"/>
      <c r="Z98" s="994"/>
      <c r="AA98" s="994"/>
      <c r="AB98" s="994"/>
      <c r="AC98" s="997"/>
      <c r="AD98" s="994"/>
      <c r="AE98" s="994"/>
      <c r="AF98" s="997"/>
      <c r="AG98" s="997"/>
      <c r="AH98" s="998"/>
      <c r="AI98" s="999"/>
      <c r="AJ98" s="1000"/>
      <c r="AK98" s="1001"/>
      <c r="AL98" s="985"/>
      <c r="AM98" s="985"/>
      <c r="AN98" s="985"/>
      <c r="AO98" s="985"/>
      <c r="AP98" s="986"/>
      <c r="AQ98" s="1000"/>
      <c r="AR98" s="1010"/>
      <c r="AS98" s="28"/>
      <c r="AT98" s="28"/>
      <c r="AU98" s="28"/>
      <c r="AV98" s="28"/>
      <c r="AW98" s="28"/>
      <c r="AX98" s="28"/>
      <c r="AY98" s="28"/>
      <c r="AZ98" s="28"/>
      <c r="BA98" s="834"/>
      <c r="BB98" s="834"/>
      <c r="BC98" s="834"/>
      <c r="BD98" s="834"/>
      <c r="BE98" s="834"/>
      <c r="BF98" s="834"/>
      <c r="BG98" s="834"/>
      <c r="BH98" s="834"/>
      <c r="BI98" s="834"/>
      <c r="BJ98" s="834"/>
      <c r="BK98" s="834"/>
      <c r="BL98" s="834"/>
      <c r="BM98" s="834"/>
      <c r="BN98" s="834"/>
      <c r="BO98" s="834"/>
      <c r="BP98" s="834"/>
      <c r="BQ98" s="834"/>
      <c r="BR98" s="834"/>
      <c r="BS98" s="834"/>
      <c r="BT98" s="834"/>
    </row>
    <row r="99" hidden="1">
      <c r="A99" s="15"/>
      <c r="B99" s="969" t="str">
        <f t="shared" si="16"/>
        <v/>
      </c>
      <c r="C99" s="28"/>
      <c r="D99" s="28"/>
      <c r="E99" s="28"/>
      <c r="F99" s="29"/>
      <c r="G99" s="971" t="str">
        <f t="shared" si="17"/>
        <v/>
      </c>
      <c r="H99" s="28"/>
      <c r="I99" s="28"/>
      <c r="J99" s="29"/>
      <c r="K99" s="972" t="str">
        <f t="shared" si="18"/>
        <v>INACTIVE</v>
      </c>
      <c r="L99" s="28"/>
      <c r="M99" s="29"/>
      <c r="N99" s="973" t="str">
        <f t="shared" si="19"/>
        <v/>
      </c>
      <c r="O99" s="973" t="str">
        <f t="shared" si="20"/>
        <v/>
      </c>
      <c r="P99" s="969" t="str">
        <f t="shared" si="21"/>
        <v/>
      </c>
      <c r="Q99" s="973" t="str">
        <f t="shared" si="22"/>
        <v/>
      </c>
      <c r="R99" s="975" t="str">
        <f t="shared" si="23"/>
        <v/>
      </c>
      <c r="S99" s="991"/>
      <c r="T99" s="994"/>
      <c r="U99" s="994"/>
      <c r="V99" s="994"/>
      <c r="W99" s="995"/>
      <c r="X99" s="995"/>
      <c r="Y99" s="996"/>
      <c r="Z99" s="994"/>
      <c r="AA99" s="994"/>
      <c r="AB99" s="994"/>
      <c r="AC99" s="997"/>
      <c r="AD99" s="994"/>
      <c r="AE99" s="994"/>
      <c r="AF99" s="997"/>
      <c r="AG99" s="997"/>
      <c r="AH99" s="998"/>
      <c r="AI99" s="999"/>
      <c r="AJ99" s="1000"/>
      <c r="AK99" s="1001"/>
      <c r="AL99" s="985"/>
      <c r="AM99" s="985"/>
      <c r="AN99" s="985"/>
      <c r="AO99" s="985"/>
      <c r="AP99" s="986"/>
      <c r="AQ99" s="1000"/>
      <c r="AR99" s="1010"/>
      <c r="AS99" s="28"/>
      <c r="AT99" s="28"/>
      <c r="AU99" s="28"/>
      <c r="AV99" s="28"/>
      <c r="AW99" s="28"/>
      <c r="AX99" s="28"/>
      <c r="AY99" s="28"/>
      <c r="AZ99" s="28"/>
      <c r="BA99" s="834"/>
      <c r="BB99" s="834"/>
      <c r="BC99" s="834"/>
      <c r="BD99" s="834"/>
      <c r="BE99" s="834"/>
      <c r="BF99" s="834"/>
      <c r="BG99" s="834"/>
      <c r="BH99" s="834"/>
      <c r="BI99" s="834"/>
      <c r="BJ99" s="834"/>
      <c r="BK99" s="834"/>
      <c r="BL99" s="834"/>
      <c r="BM99" s="834"/>
      <c r="BN99" s="834"/>
      <c r="BO99" s="834"/>
      <c r="BP99" s="834"/>
      <c r="BQ99" s="834"/>
      <c r="BR99" s="834"/>
      <c r="BS99" s="834"/>
      <c r="BT99" s="834"/>
    </row>
    <row r="100">
      <c r="A100" s="15"/>
      <c r="B100" s="966" t="s">
        <v>1321</v>
      </c>
      <c r="C100" s="25"/>
      <c r="D100" s="25"/>
      <c r="E100" s="25"/>
      <c r="F100" s="25"/>
      <c r="G100" s="25"/>
      <c r="H100" s="25"/>
      <c r="I100" s="25"/>
      <c r="J100" s="25"/>
      <c r="K100" s="25"/>
      <c r="L100" s="1050"/>
      <c r="M100" s="25"/>
      <c r="N100" s="1051" t="s">
        <v>856</v>
      </c>
      <c r="O100" s="1051" t="s">
        <v>1116</v>
      </c>
      <c r="P100" s="1054" t="s">
        <v>14</v>
      </c>
      <c r="Q100" s="1051" t="s">
        <v>159</v>
      </c>
      <c r="R100" s="1051" t="s">
        <v>16</v>
      </c>
      <c r="S100" s="1051" t="s">
        <v>762</v>
      </c>
      <c r="T100" s="1051" t="s">
        <v>466</v>
      </c>
      <c r="U100" s="1051" t="s">
        <v>1118</v>
      </c>
      <c r="V100" s="1051" t="s">
        <v>581</v>
      </c>
      <c r="W100" s="1051" t="s">
        <v>763</v>
      </c>
      <c r="X100" s="1051" t="s">
        <v>761</v>
      </c>
      <c r="Y100" s="1054" t="s">
        <v>1119</v>
      </c>
      <c r="Z100" s="1051" t="s">
        <v>1120</v>
      </c>
      <c r="AA100" s="1051" t="s">
        <v>1121</v>
      </c>
      <c r="AB100" s="1051" t="s">
        <v>1123</v>
      </c>
      <c r="AC100" s="1051" t="s">
        <v>1124</v>
      </c>
      <c r="AD100" s="1054" t="s">
        <v>1119</v>
      </c>
      <c r="AE100" s="1051" t="s">
        <v>1120</v>
      </c>
      <c r="AF100" s="1051" t="s">
        <v>1124</v>
      </c>
      <c r="AG100" s="1051" t="s">
        <v>1125</v>
      </c>
      <c r="AH100" s="1051" t="s">
        <v>1126</v>
      </c>
      <c r="AI100" s="1051" t="s">
        <v>1104</v>
      </c>
      <c r="AJ100" s="1051" t="s">
        <v>655</v>
      </c>
      <c r="AK100" s="1051" t="s">
        <v>467</v>
      </c>
      <c r="AL100" s="1051" t="s">
        <v>120</v>
      </c>
      <c r="AM100" s="1051" t="s">
        <v>478</v>
      </c>
      <c r="AN100" s="1051" t="s">
        <v>740</v>
      </c>
      <c r="AO100" s="1051" t="s">
        <v>821</v>
      </c>
      <c r="AP100" s="1051" t="s">
        <v>261</v>
      </c>
      <c r="AQ100" s="1051" t="s">
        <v>1128</v>
      </c>
      <c r="AR100" s="1051"/>
      <c r="AS100" s="1051"/>
      <c r="AT100" s="1051"/>
      <c r="AU100" s="1051" t="s">
        <v>1332</v>
      </c>
      <c r="AV100" s="1051"/>
      <c r="AW100" s="1051"/>
      <c r="AX100" s="25"/>
      <c r="AY100" s="25"/>
      <c r="AZ100" s="25"/>
      <c r="BA100" s="834"/>
      <c r="BB100" s="922"/>
      <c r="BC100" s="67"/>
      <c r="BD100" s="67"/>
      <c r="BE100" s="67"/>
      <c r="BF100" s="67"/>
      <c r="BG100" s="67"/>
      <c r="BH100" s="67"/>
      <c r="BI100" s="67"/>
      <c r="BJ100" s="67"/>
      <c r="BK100" s="67"/>
      <c r="BL100" s="67"/>
      <c r="BM100" s="67"/>
      <c r="BN100" s="67"/>
      <c r="BO100" s="69"/>
      <c r="BP100" s="834"/>
      <c r="BQ100" s="834"/>
      <c r="BR100" s="834"/>
      <c r="BS100" s="834"/>
      <c r="BT100" s="834"/>
    </row>
    <row r="101">
      <c r="A101" s="15"/>
      <c r="B101" s="1055" t="s">
        <v>1336</v>
      </c>
      <c r="C101" s="28"/>
      <c r="D101" s="28"/>
      <c r="E101" s="28"/>
      <c r="F101" s="29"/>
      <c r="G101" s="1056" t="s">
        <v>1228</v>
      </c>
      <c r="H101" s="28"/>
      <c r="I101" s="28"/>
      <c r="J101" s="29"/>
      <c r="K101" s="972" t="str">
        <f t="shared" ref="K101:K105" si="24">IF(U33,"ACTIVE","INACTIVE")</f>
        <v>INACTIVE</v>
      </c>
      <c r="L101" s="28"/>
      <c r="M101" s="29"/>
      <c r="N101" s="1058"/>
      <c r="O101" s="1058"/>
      <c r="P101" s="1055"/>
      <c r="Q101" s="1058"/>
      <c r="R101" s="1060"/>
      <c r="S101" s="1058"/>
      <c r="T101" s="1062"/>
      <c r="U101" s="1062"/>
      <c r="V101" s="1062"/>
      <c r="W101" s="1062"/>
      <c r="X101" s="1062"/>
      <c r="Y101" s="981">
        <f>ROUNDDOWN(BaseAttack/4+1,0)*-1</f>
        <v>-1</v>
      </c>
      <c r="Z101" s="977">
        <f>ROUNDDOWN(BaseAttack/4+1,0)*2</f>
        <v>2</v>
      </c>
      <c r="AA101" s="977">
        <f>ROUNDDOWN(BaseAttack/4+1,0)*-1</f>
        <v>-1</v>
      </c>
      <c r="AB101" s="977">
        <f>ROUNDDOWN(BaseAttack/4+1,0)*1</f>
        <v>1</v>
      </c>
      <c r="AC101" s="1064"/>
      <c r="AD101" s="1065"/>
      <c r="AE101" s="1065"/>
      <c r="AF101" s="1064"/>
      <c r="AG101" s="1064"/>
      <c r="AH101" s="1067"/>
      <c r="AI101" s="1065"/>
      <c r="AJ101" s="1068"/>
      <c r="AK101" s="1069"/>
      <c r="AL101" s="1071"/>
      <c r="AM101" s="1065"/>
      <c r="AN101" s="1071"/>
      <c r="AO101" s="1071"/>
      <c r="AP101" s="1072"/>
      <c r="AQ101" s="1072"/>
      <c r="AR101" s="1075"/>
      <c r="AS101" s="28"/>
      <c r="AT101" s="28"/>
      <c r="AU101" s="28"/>
      <c r="AV101" s="28"/>
      <c r="AW101" s="28"/>
      <c r="AX101" s="28"/>
      <c r="AY101" s="28"/>
      <c r="AZ101" s="28"/>
      <c r="BA101" s="834"/>
      <c r="BB101" s="111"/>
      <c r="BC101" s="114"/>
      <c r="BD101" s="114"/>
      <c r="BE101" s="114"/>
      <c r="BF101" s="114"/>
      <c r="BG101" s="114"/>
      <c r="BH101" s="114"/>
      <c r="BI101" s="114"/>
      <c r="BJ101" s="114"/>
      <c r="BK101" s="114"/>
      <c r="BL101" s="114"/>
      <c r="BM101" s="114"/>
      <c r="BN101" s="114"/>
      <c r="BO101" s="68"/>
      <c r="BP101" s="834"/>
      <c r="BQ101" s="834"/>
      <c r="BR101" s="834"/>
      <c r="BS101" s="834"/>
      <c r="BT101" s="834"/>
    </row>
    <row r="102">
      <c r="A102" s="15"/>
      <c r="B102" s="1055" t="s">
        <v>1395</v>
      </c>
      <c r="C102" s="28"/>
      <c r="D102" s="28"/>
      <c r="E102" s="28"/>
      <c r="F102" s="29"/>
      <c r="G102" s="1056" t="s">
        <v>1213</v>
      </c>
      <c r="H102" s="28"/>
      <c r="I102" s="28"/>
      <c r="J102" s="29"/>
      <c r="K102" s="972" t="str">
        <f t="shared" si="24"/>
        <v>INACTIVE</v>
      </c>
      <c r="L102" s="28"/>
      <c r="M102" s="29"/>
      <c r="N102" s="981">
        <f>ROUNDDOWN(BaseAttack/4+1,0)</f>
        <v>1</v>
      </c>
      <c r="O102" s="1058"/>
      <c r="P102" s="1055"/>
      <c r="Q102" s="1058"/>
      <c r="R102" s="1060"/>
      <c r="S102" s="1058"/>
      <c r="T102" s="1062"/>
      <c r="U102" s="1062"/>
      <c r="V102" s="1062"/>
      <c r="W102" s="1062"/>
      <c r="X102" s="1062"/>
      <c r="Y102" s="981">
        <f>ROUNDDOWN(BaseAttack/4+1,0)*-1</f>
        <v>-1</v>
      </c>
      <c r="Z102" s="1062"/>
      <c r="AA102" s="1062"/>
      <c r="AB102" s="1062"/>
      <c r="AC102" s="1064"/>
      <c r="AD102" s="1062"/>
      <c r="AE102" s="1062"/>
      <c r="AF102" s="1064"/>
      <c r="AG102" s="1064"/>
      <c r="AH102" s="1088"/>
      <c r="AI102" s="1065"/>
      <c r="AJ102" s="1068"/>
      <c r="AK102" s="1089"/>
      <c r="AL102" s="1090"/>
      <c r="AM102" s="1065"/>
      <c r="AN102" s="1065"/>
      <c r="AO102" s="1065"/>
      <c r="AP102" s="1068"/>
      <c r="AQ102" s="1091"/>
      <c r="AR102" s="1093"/>
      <c r="AS102" s="28"/>
      <c r="AT102" s="28"/>
      <c r="AU102" s="28"/>
      <c r="AV102" s="28"/>
      <c r="AW102" s="28"/>
      <c r="AX102" s="28"/>
      <c r="AY102" s="28"/>
      <c r="AZ102" s="28"/>
      <c r="BA102" s="834"/>
      <c r="BB102" s="1094" t="str">
        <f>hyperlink("http://suptg.thisisnotatrueending.com/archive/17679146/","For GMs: How to build a whole campaign around backstories")</f>
        <v>For GMs: How to build a whole campaign around backstories</v>
      </c>
      <c r="BC102" s="834"/>
      <c r="BD102" s="834"/>
      <c r="BE102" s="834"/>
      <c r="BF102" s="834"/>
      <c r="BG102" s="834"/>
      <c r="BH102" s="834"/>
      <c r="BI102" s="834"/>
      <c r="BJ102" s="834"/>
      <c r="BK102" s="834"/>
      <c r="BL102" s="834"/>
      <c r="BM102" s="834"/>
      <c r="BN102" s="834"/>
      <c r="BO102" s="834"/>
      <c r="BP102" s="834"/>
      <c r="BQ102" s="834"/>
      <c r="BR102" s="834"/>
      <c r="BS102" s="834"/>
      <c r="BT102" s="834"/>
    </row>
    <row r="103">
      <c r="A103" s="15"/>
      <c r="B103" s="1055" t="s">
        <v>1423</v>
      </c>
      <c r="C103" s="28"/>
      <c r="D103" s="28"/>
      <c r="E103" s="28"/>
      <c r="F103" s="29"/>
      <c r="G103" s="1056" t="s">
        <v>1228</v>
      </c>
      <c r="H103" s="28"/>
      <c r="I103" s="28"/>
      <c r="J103" s="29"/>
      <c r="K103" s="972" t="str">
        <f t="shared" si="24"/>
        <v>INACTIVE</v>
      </c>
      <c r="L103" s="28"/>
      <c r="M103" s="29"/>
      <c r="N103" s="1058"/>
      <c r="O103" s="1058"/>
      <c r="P103" s="1055"/>
      <c r="Q103" s="1058"/>
      <c r="R103" s="1060"/>
      <c r="S103" s="1058"/>
      <c r="T103" s="1062"/>
      <c r="U103" s="1062"/>
      <c r="V103" s="1062"/>
      <c r="W103" s="1062"/>
      <c r="X103" s="1062"/>
      <c r="Y103" s="1088"/>
      <c r="Z103" s="1062"/>
      <c r="AA103" s="1062"/>
      <c r="AB103" s="1062"/>
      <c r="AC103" s="1064"/>
      <c r="AD103" s="977">
        <f>ROUNDDOWN(BaseAttack/4+1,0)*-1</f>
        <v>-1</v>
      </c>
      <c r="AE103" s="977">
        <f>ROUNDDOWN(BaseAttack/4+1,0)*2</f>
        <v>2</v>
      </c>
      <c r="AF103" s="1064"/>
      <c r="AG103" s="1064"/>
      <c r="AH103" s="1088"/>
      <c r="AI103" s="1065"/>
      <c r="AJ103" s="1068"/>
      <c r="AK103" s="1089"/>
      <c r="AL103" s="1090"/>
      <c r="AM103" s="1065"/>
      <c r="AN103" s="1065"/>
      <c r="AO103" s="1065"/>
      <c r="AP103" s="1068"/>
      <c r="AQ103" s="1068"/>
      <c r="AR103" s="1093"/>
      <c r="AS103" s="28"/>
      <c r="AT103" s="28"/>
      <c r="AU103" s="28"/>
      <c r="AV103" s="28"/>
      <c r="AW103" s="28"/>
      <c r="AX103" s="28"/>
      <c r="AY103" s="28"/>
      <c r="AZ103" s="28"/>
      <c r="BA103" s="834"/>
      <c r="BB103" s="834"/>
      <c r="BC103" s="834"/>
      <c r="BD103" s="834"/>
      <c r="BE103" s="834"/>
      <c r="BF103" s="834"/>
      <c r="BG103" s="834"/>
      <c r="BH103" s="834"/>
      <c r="BI103" s="834"/>
      <c r="BJ103" s="834"/>
      <c r="BK103" s="834"/>
      <c r="BL103" s="834"/>
      <c r="BM103" s="834"/>
      <c r="BN103" s="834"/>
      <c r="BO103" s="834"/>
      <c r="BP103" s="834"/>
      <c r="BQ103" s="834"/>
      <c r="BR103" s="834"/>
      <c r="BS103" s="834"/>
      <c r="BT103" s="834"/>
    </row>
    <row r="104">
      <c r="A104" s="15"/>
      <c r="B104" s="1055" t="s">
        <v>1429</v>
      </c>
      <c r="C104" s="28"/>
      <c r="D104" s="28"/>
      <c r="E104" s="28"/>
      <c r="F104" s="29"/>
      <c r="G104" s="1056" t="s">
        <v>1225</v>
      </c>
      <c r="H104" s="28"/>
      <c r="I104" s="28"/>
      <c r="J104" s="29"/>
      <c r="K104" s="972" t="str">
        <f t="shared" si="24"/>
        <v>INACTIVE</v>
      </c>
      <c r="L104" s="28"/>
      <c r="M104" s="29"/>
      <c r="N104" s="1058"/>
      <c r="O104" s="1058"/>
      <c r="P104" s="1055">
        <v>2.0</v>
      </c>
      <c r="Q104" s="1058">
        <v>2.0</v>
      </c>
      <c r="R104" s="1060">
        <v>2.0</v>
      </c>
      <c r="S104" s="1058"/>
      <c r="T104" s="1062"/>
      <c r="U104" s="1062"/>
      <c r="V104" s="1062"/>
      <c r="W104" s="1102"/>
      <c r="X104" s="1102"/>
      <c r="Y104" s="1088">
        <v>2.0</v>
      </c>
      <c r="Z104" s="1062"/>
      <c r="AA104" s="1062"/>
      <c r="AB104" s="1062"/>
      <c r="AC104" s="1064"/>
      <c r="AD104" s="1062">
        <v>2.0</v>
      </c>
      <c r="AE104" s="1062"/>
      <c r="AF104" s="1064"/>
      <c r="AG104" s="1064"/>
      <c r="AH104" s="1088"/>
      <c r="AI104" s="1065"/>
      <c r="AJ104" s="1068"/>
      <c r="AK104" s="1089"/>
      <c r="AL104" s="1090"/>
      <c r="AM104" s="1065"/>
      <c r="AN104" s="1065"/>
      <c r="AO104" s="1090"/>
      <c r="AP104" s="1091"/>
      <c r="AQ104" s="1068">
        <v>2.0</v>
      </c>
      <c r="AR104" s="1104" t="s">
        <v>1430</v>
      </c>
      <c r="AS104" s="28"/>
      <c r="AT104" s="28"/>
      <c r="AU104" s="28"/>
      <c r="AV104" s="28"/>
      <c r="AW104" s="28"/>
      <c r="AX104" s="28"/>
      <c r="AY104" s="28"/>
      <c r="AZ104" s="28"/>
      <c r="BA104" s="834"/>
      <c r="BB104" s="834"/>
      <c r="BC104" s="834"/>
      <c r="BD104" s="834"/>
      <c r="BE104" s="834"/>
      <c r="BF104" s="834"/>
      <c r="BG104" s="834"/>
      <c r="BH104" s="834"/>
      <c r="BI104" s="834"/>
      <c r="BJ104" s="834"/>
      <c r="BK104" s="834"/>
      <c r="BL104" s="834"/>
      <c r="BM104" s="834"/>
      <c r="BN104" s="834"/>
      <c r="BO104" s="834"/>
      <c r="BP104" s="834"/>
      <c r="BQ104" s="834"/>
      <c r="BR104" s="834"/>
      <c r="BS104" s="834"/>
      <c r="BT104" s="834"/>
    </row>
    <row r="105">
      <c r="A105" s="15"/>
      <c r="B105" s="1055" t="s">
        <v>1431</v>
      </c>
      <c r="C105" s="28"/>
      <c r="D105" s="28"/>
      <c r="E105" s="28"/>
      <c r="F105" s="29"/>
      <c r="G105" s="1056" t="s">
        <v>1213</v>
      </c>
      <c r="H105" s="28"/>
      <c r="I105" s="28"/>
      <c r="J105" s="29"/>
      <c r="K105" s="972" t="str">
        <f t="shared" si="24"/>
        <v>INACTIVE</v>
      </c>
      <c r="L105" s="28"/>
      <c r="M105" s="29"/>
      <c r="N105" s="1058">
        <v>1.0</v>
      </c>
      <c r="O105" s="1058"/>
      <c r="P105" s="1055"/>
      <c r="Q105" s="1058">
        <v>1.0</v>
      </c>
      <c r="R105" s="1060"/>
      <c r="S105" s="1058"/>
      <c r="T105" s="1062"/>
      <c r="U105" s="1062"/>
      <c r="V105" s="1062"/>
      <c r="W105" s="1062"/>
      <c r="X105" s="1062"/>
      <c r="Y105" s="1088">
        <v>1.0</v>
      </c>
      <c r="Z105" s="1102"/>
      <c r="AA105" s="1102"/>
      <c r="AB105" s="1102"/>
      <c r="AC105" s="1108"/>
      <c r="AD105" s="1062">
        <v>1.0</v>
      </c>
      <c r="AE105" s="1102"/>
      <c r="AF105" s="1108"/>
      <c r="AG105" s="1108"/>
      <c r="AH105" s="1088"/>
      <c r="AI105" s="1065">
        <v>1.0</v>
      </c>
      <c r="AJ105" s="1068">
        <v>1.0</v>
      </c>
      <c r="AK105" s="1089"/>
      <c r="AL105" s="1065">
        <f t="shared" ref="AL105:AP105" si="25">MIN(30,AL76)</f>
        <v>30</v>
      </c>
      <c r="AM105" s="1065">
        <f t="shared" si="25"/>
        <v>30</v>
      </c>
      <c r="AN105" s="1065">
        <f t="shared" si="25"/>
        <v>30</v>
      </c>
      <c r="AO105" s="1065">
        <f t="shared" si="25"/>
        <v>30</v>
      </c>
      <c r="AP105" s="1091">
        <f t="shared" si="25"/>
        <v>30</v>
      </c>
      <c r="AQ105" s="1068"/>
      <c r="AR105" s="1093"/>
      <c r="AS105" s="28"/>
      <c r="AT105" s="28"/>
      <c r="AU105" s="28"/>
      <c r="AV105" s="28"/>
      <c r="AW105" s="28"/>
      <c r="AX105" s="28"/>
      <c r="AY105" s="28"/>
      <c r="AZ105" s="28"/>
      <c r="BA105" s="834"/>
      <c r="BB105" s="834"/>
      <c r="BC105" s="834"/>
      <c r="BD105" s="834"/>
      <c r="BE105" s="834"/>
      <c r="BF105" s="834"/>
      <c r="BG105" s="834"/>
      <c r="BH105" s="834"/>
      <c r="BI105" s="834"/>
      <c r="BJ105" s="834"/>
      <c r="BK105" s="834"/>
      <c r="BL105" s="834"/>
      <c r="BM105" s="834"/>
      <c r="BN105" s="834"/>
      <c r="BO105" s="834"/>
      <c r="BP105" s="834"/>
      <c r="BQ105" s="834"/>
      <c r="BR105" s="834"/>
      <c r="BS105" s="834"/>
      <c r="BT105" s="834"/>
    </row>
    <row r="106">
      <c r="A106" s="15"/>
      <c r="B106" s="1055" t="s">
        <v>1433</v>
      </c>
      <c r="C106" s="28"/>
      <c r="D106" s="28"/>
      <c r="E106" s="28"/>
      <c r="F106" s="29"/>
      <c r="G106" s="1056" t="s">
        <v>1228</v>
      </c>
      <c r="H106" s="28"/>
      <c r="I106" s="28"/>
      <c r="J106" s="29"/>
      <c r="K106" s="972" t="str">
        <f t="shared" ref="K106:K110" si="26">IF(Y33,"ACTIVE","INACTIVE")</f>
        <v>INACTIVE</v>
      </c>
      <c r="L106" s="28"/>
      <c r="M106" s="29"/>
      <c r="N106" s="1058"/>
      <c r="O106" s="1058"/>
      <c r="P106" s="1055"/>
      <c r="Q106" s="1058"/>
      <c r="R106" s="1060"/>
      <c r="S106" s="1058"/>
      <c r="T106" s="1062"/>
      <c r="U106" s="1062"/>
      <c r="V106" s="1062"/>
      <c r="W106" s="1062"/>
      <c r="X106" s="1062"/>
      <c r="Y106" s="1088"/>
      <c r="Z106" s="1062"/>
      <c r="AA106" s="1062"/>
      <c r="AB106" s="1062"/>
      <c r="AC106" s="1108"/>
      <c r="AD106" s="1062">
        <v>-2.0</v>
      </c>
      <c r="AE106" s="1062"/>
      <c r="AF106" s="1108"/>
      <c r="AG106" s="1108"/>
      <c r="AH106" s="1088"/>
      <c r="AI106" s="1065"/>
      <c r="AJ106" s="1068">
        <v>1.0</v>
      </c>
      <c r="AK106" s="1089"/>
      <c r="AL106" s="1090"/>
      <c r="AM106" s="1090"/>
      <c r="AN106" s="1090"/>
      <c r="AO106" s="1090"/>
      <c r="AP106" s="1091"/>
      <c r="AQ106" s="1068"/>
      <c r="AR106" s="1093"/>
      <c r="AS106" s="28"/>
      <c r="AT106" s="28"/>
      <c r="AU106" s="28"/>
      <c r="AV106" s="28"/>
      <c r="AW106" s="28"/>
      <c r="AX106" s="28"/>
      <c r="AY106" s="28"/>
      <c r="AZ106" s="28"/>
      <c r="BA106" s="834"/>
      <c r="BB106" s="834"/>
      <c r="BC106" s="834"/>
      <c r="BD106" s="834"/>
      <c r="BE106" s="834"/>
      <c r="BF106" s="834"/>
      <c r="BG106" s="834"/>
      <c r="BH106" s="834"/>
      <c r="BI106" s="834"/>
      <c r="BJ106" s="834"/>
      <c r="BK106" s="834"/>
      <c r="BL106" s="834"/>
      <c r="BM106" s="834"/>
      <c r="BN106" s="834"/>
      <c r="BO106" s="834"/>
      <c r="BP106" s="834"/>
      <c r="BQ106" s="834"/>
      <c r="BR106" s="834"/>
      <c r="BS106" s="834"/>
      <c r="BT106" s="834"/>
    </row>
    <row r="107">
      <c r="A107" s="15"/>
      <c r="B107" s="1055" t="s">
        <v>1434</v>
      </c>
      <c r="C107" s="28"/>
      <c r="D107" s="28"/>
      <c r="E107" s="28"/>
      <c r="F107" s="29"/>
      <c r="G107" s="1056"/>
      <c r="H107" s="28"/>
      <c r="I107" s="28"/>
      <c r="J107" s="29"/>
      <c r="K107" s="972" t="str">
        <f t="shared" si="26"/>
        <v>INACTIVE</v>
      </c>
      <c r="L107" s="28"/>
      <c r="M107" s="29"/>
      <c r="N107" s="1058"/>
      <c r="O107" s="1058"/>
      <c r="P107" s="1055"/>
      <c r="Q107" s="1058"/>
      <c r="R107" s="1060"/>
      <c r="S107" s="1058"/>
      <c r="T107" s="1062"/>
      <c r="U107" s="1062"/>
      <c r="V107" s="1062"/>
      <c r="W107" s="1102"/>
      <c r="X107" s="1102"/>
      <c r="Y107" s="1109"/>
      <c r="Z107" s="1062"/>
      <c r="AA107" s="1062"/>
      <c r="AB107" s="1062"/>
      <c r="AC107" s="1064"/>
      <c r="AD107" s="1062"/>
      <c r="AE107" s="1062"/>
      <c r="AF107" s="1064"/>
      <c r="AG107" s="1064"/>
      <c r="AH107" s="1088"/>
      <c r="AI107" s="1090"/>
      <c r="AJ107" s="1091"/>
      <c r="AK107" s="1089"/>
      <c r="AL107" s="1090"/>
      <c r="AM107" s="1090"/>
      <c r="AN107" s="1090"/>
      <c r="AO107" s="1090"/>
      <c r="AP107" s="1091"/>
      <c r="AQ107" s="1091"/>
      <c r="AR107" s="1104"/>
      <c r="AS107" s="28"/>
      <c r="AT107" s="28"/>
      <c r="AU107" s="28"/>
      <c r="AV107" s="28"/>
      <c r="AW107" s="28"/>
      <c r="AX107" s="28"/>
      <c r="AY107" s="28"/>
      <c r="AZ107" s="28"/>
      <c r="BA107" s="834"/>
      <c r="BB107" s="834"/>
      <c r="BC107" s="834"/>
      <c r="BD107" s="834"/>
      <c r="BE107" s="834"/>
      <c r="BF107" s="834"/>
      <c r="BG107" s="834"/>
      <c r="BH107" s="834"/>
      <c r="BI107" s="834"/>
      <c r="BJ107" s="834"/>
      <c r="BK107" s="834"/>
      <c r="BL107" s="834"/>
      <c r="BM107" s="834"/>
      <c r="BN107" s="834"/>
      <c r="BO107" s="834"/>
      <c r="BP107" s="834"/>
      <c r="BQ107" s="834"/>
      <c r="BR107" s="834"/>
      <c r="BS107" s="834"/>
      <c r="BT107" s="834"/>
    </row>
    <row r="108">
      <c r="A108" s="15"/>
      <c r="B108" s="1055" t="s">
        <v>1435</v>
      </c>
      <c r="C108" s="28"/>
      <c r="D108" s="28"/>
      <c r="E108" s="28"/>
      <c r="F108" s="29"/>
      <c r="G108" s="1056"/>
      <c r="H108" s="28"/>
      <c r="I108" s="28"/>
      <c r="J108" s="29"/>
      <c r="K108" s="972" t="str">
        <f t="shared" si="26"/>
        <v>INACTIVE</v>
      </c>
      <c r="L108" s="28"/>
      <c r="M108" s="29"/>
      <c r="N108" s="1058"/>
      <c r="O108" s="1058"/>
      <c r="P108" s="1055"/>
      <c r="Q108" s="1058"/>
      <c r="R108" s="1060"/>
      <c r="S108" s="1058"/>
      <c r="T108" s="1062"/>
      <c r="U108" s="1062"/>
      <c r="V108" s="1062"/>
      <c r="W108" s="1102"/>
      <c r="X108" s="1102"/>
      <c r="Y108" s="1109"/>
      <c r="Z108" s="1062"/>
      <c r="AA108" s="1062"/>
      <c r="AB108" s="1062"/>
      <c r="AC108" s="1064"/>
      <c r="AD108" s="1062"/>
      <c r="AE108" s="1062"/>
      <c r="AF108" s="1064"/>
      <c r="AG108" s="1064"/>
      <c r="AH108" s="1088"/>
      <c r="AI108" s="1090"/>
      <c r="AJ108" s="1091"/>
      <c r="AK108" s="1089"/>
      <c r="AL108" s="1090"/>
      <c r="AM108" s="1090"/>
      <c r="AN108" s="1090"/>
      <c r="AO108" s="1090"/>
      <c r="AP108" s="1091"/>
      <c r="AQ108" s="1091"/>
      <c r="AR108" s="1093"/>
      <c r="AS108" s="28"/>
      <c r="AT108" s="28"/>
      <c r="AU108" s="28"/>
      <c r="AV108" s="28"/>
      <c r="AW108" s="28"/>
      <c r="AX108" s="28"/>
      <c r="AY108" s="28"/>
      <c r="AZ108" s="28"/>
      <c r="BA108" s="834"/>
      <c r="BB108" s="922"/>
      <c r="BC108" s="67"/>
      <c r="BD108" s="67"/>
      <c r="BE108" s="67"/>
      <c r="BF108" s="67"/>
      <c r="BG108" s="67"/>
      <c r="BH108" s="67"/>
      <c r="BI108" s="67"/>
      <c r="BJ108" s="67"/>
      <c r="BK108" s="67"/>
      <c r="BL108" s="67"/>
      <c r="BM108" s="67"/>
      <c r="BN108" s="67"/>
      <c r="BO108" s="69"/>
      <c r="BP108" s="834"/>
      <c r="BQ108" s="834"/>
      <c r="BR108" s="834"/>
      <c r="BS108" s="834"/>
      <c r="BT108" s="834"/>
    </row>
    <row r="109">
      <c r="A109" s="15"/>
      <c r="B109" s="1055" t="s">
        <v>1436</v>
      </c>
      <c r="C109" s="28"/>
      <c r="D109" s="28"/>
      <c r="E109" s="28"/>
      <c r="F109" s="29"/>
      <c r="G109" s="1056"/>
      <c r="H109" s="28"/>
      <c r="I109" s="28"/>
      <c r="J109" s="29"/>
      <c r="K109" s="972" t="str">
        <f t="shared" si="26"/>
        <v>INACTIVE</v>
      </c>
      <c r="L109" s="28"/>
      <c r="M109" s="29"/>
      <c r="N109" s="1058"/>
      <c r="O109" s="1058"/>
      <c r="P109" s="1055"/>
      <c r="Q109" s="1058"/>
      <c r="R109" s="1060"/>
      <c r="S109" s="1058"/>
      <c r="T109" s="1062"/>
      <c r="U109" s="1062"/>
      <c r="V109" s="1062"/>
      <c r="W109" s="1102"/>
      <c r="X109" s="1102"/>
      <c r="Y109" s="1109"/>
      <c r="Z109" s="1062"/>
      <c r="AA109" s="1062"/>
      <c r="AB109" s="1062"/>
      <c r="AC109" s="1064"/>
      <c r="AD109" s="1062"/>
      <c r="AE109" s="1062"/>
      <c r="AF109" s="1064"/>
      <c r="AG109" s="1064"/>
      <c r="AH109" s="1088"/>
      <c r="AI109" s="1090"/>
      <c r="AJ109" s="1091"/>
      <c r="AK109" s="1089"/>
      <c r="AL109" s="1090"/>
      <c r="AM109" s="1090"/>
      <c r="AN109" s="1090"/>
      <c r="AO109" s="1090"/>
      <c r="AP109" s="1091"/>
      <c r="AQ109" s="1091"/>
      <c r="AR109" s="1093"/>
      <c r="AS109" s="28"/>
      <c r="AT109" s="28"/>
      <c r="AU109" s="28"/>
      <c r="AV109" s="28"/>
      <c r="AW109" s="28"/>
      <c r="AX109" s="28"/>
      <c r="AY109" s="28"/>
      <c r="AZ109" s="28"/>
      <c r="BA109" s="834"/>
      <c r="BB109" s="111"/>
      <c r="BC109" s="114"/>
      <c r="BD109" s="114"/>
      <c r="BE109" s="114"/>
      <c r="BF109" s="114"/>
      <c r="BG109" s="114"/>
      <c r="BH109" s="114"/>
      <c r="BI109" s="114"/>
      <c r="BJ109" s="114"/>
      <c r="BK109" s="114"/>
      <c r="BL109" s="114"/>
      <c r="BM109" s="114"/>
      <c r="BN109" s="114"/>
      <c r="BO109" s="68"/>
      <c r="BP109" s="834"/>
      <c r="BQ109" s="834"/>
      <c r="BR109" s="834"/>
      <c r="BS109" s="834"/>
      <c r="BT109" s="834"/>
    </row>
    <row r="110">
      <c r="A110" s="15"/>
      <c r="B110" s="1055" t="s">
        <v>1437</v>
      </c>
      <c r="C110" s="28"/>
      <c r="D110" s="28"/>
      <c r="E110" s="28"/>
      <c r="F110" s="29"/>
      <c r="G110" s="1056"/>
      <c r="H110" s="28"/>
      <c r="I110" s="28"/>
      <c r="J110" s="29"/>
      <c r="K110" s="972" t="str">
        <f t="shared" si="26"/>
        <v>INACTIVE</v>
      </c>
      <c r="L110" s="28"/>
      <c r="M110" s="29"/>
      <c r="N110" s="1058"/>
      <c r="O110" s="1058"/>
      <c r="P110" s="1055"/>
      <c r="Q110" s="1058"/>
      <c r="R110" s="1060"/>
      <c r="S110" s="1058"/>
      <c r="T110" s="1062"/>
      <c r="U110" s="1062"/>
      <c r="V110" s="1062"/>
      <c r="W110" s="1102"/>
      <c r="X110" s="1102"/>
      <c r="Y110" s="1109"/>
      <c r="Z110" s="1062"/>
      <c r="AA110" s="1062"/>
      <c r="AB110" s="1062"/>
      <c r="AC110" s="1064"/>
      <c r="AD110" s="1062"/>
      <c r="AE110" s="1062"/>
      <c r="AF110" s="1064"/>
      <c r="AG110" s="1064"/>
      <c r="AH110" s="1088"/>
      <c r="AI110" s="1090"/>
      <c r="AJ110" s="1091"/>
      <c r="AK110" s="1089"/>
      <c r="AL110" s="1090"/>
      <c r="AM110" s="1065"/>
      <c r="AN110" s="1090"/>
      <c r="AO110" s="1090"/>
      <c r="AP110" s="1091"/>
      <c r="AQ110" s="1091"/>
      <c r="AR110" s="1093"/>
      <c r="AS110" s="28"/>
      <c r="AT110" s="28"/>
      <c r="AU110" s="28"/>
      <c r="AV110" s="28"/>
      <c r="AW110" s="28"/>
      <c r="AX110" s="28"/>
      <c r="AY110" s="28"/>
      <c r="AZ110" s="28"/>
      <c r="BA110" s="834"/>
      <c r="BB110" s="1094" t="str">
        <f>hyperlink("http://suptg.thisisnotatrueending.com/archive/17679146/","For GMs: How to build a whole campaign around backstories")</f>
        <v>For GMs: How to build a whole campaign around backstories</v>
      </c>
      <c r="BC110" s="834"/>
      <c r="BD110" s="834"/>
      <c r="BE110" s="834"/>
      <c r="BF110" s="834"/>
      <c r="BG110" s="834"/>
      <c r="BH110" s="834"/>
      <c r="BI110" s="834"/>
      <c r="BJ110" s="834"/>
      <c r="BK110" s="834"/>
      <c r="BL110" s="834"/>
      <c r="BM110" s="834"/>
      <c r="BN110" s="834"/>
      <c r="BO110" s="834"/>
      <c r="BP110" s="834"/>
      <c r="BQ110" s="834"/>
      <c r="BR110" s="834"/>
      <c r="BS110" s="834"/>
      <c r="BT110" s="834"/>
    </row>
    <row r="111">
      <c r="A111" s="15"/>
      <c r="B111" s="966" t="s">
        <v>1438</v>
      </c>
      <c r="C111" s="901"/>
      <c r="D111" s="901"/>
      <c r="E111" s="901"/>
      <c r="F111" s="901"/>
      <c r="G111" s="901"/>
      <c r="H111" s="901"/>
      <c r="I111" s="901"/>
      <c r="J111" s="901"/>
      <c r="K111" s="901"/>
      <c r="L111" s="901"/>
      <c r="M111" s="901"/>
      <c r="N111" s="1051" t="s">
        <v>856</v>
      </c>
      <c r="O111" s="1051" t="s">
        <v>1116</v>
      </c>
      <c r="P111" s="1054" t="s">
        <v>14</v>
      </c>
      <c r="Q111" s="1051" t="s">
        <v>159</v>
      </c>
      <c r="R111" s="1051" t="s">
        <v>16</v>
      </c>
      <c r="S111" s="1051" t="s">
        <v>762</v>
      </c>
      <c r="T111" s="1051" t="s">
        <v>466</v>
      </c>
      <c r="U111" s="1051" t="s">
        <v>1118</v>
      </c>
      <c r="V111" s="1051" t="s">
        <v>581</v>
      </c>
      <c r="W111" s="1051" t="s">
        <v>763</v>
      </c>
      <c r="X111" s="1051" t="s">
        <v>761</v>
      </c>
      <c r="Y111" s="1054" t="s">
        <v>1119</v>
      </c>
      <c r="Z111" s="1051" t="s">
        <v>1120</v>
      </c>
      <c r="AA111" s="1051" t="s">
        <v>1121</v>
      </c>
      <c r="AB111" s="1051" t="s">
        <v>1123</v>
      </c>
      <c r="AC111" s="1051" t="s">
        <v>1124</v>
      </c>
      <c r="AD111" s="1054" t="s">
        <v>1119</v>
      </c>
      <c r="AE111" s="1051" t="s">
        <v>1120</v>
      </c>
      <c r="AF111" s="1051" t="s">
        <v>1124</v>
      </c>
      <c r="AG111" s="1051" t="s">
        <v>1125</v>
      </c>
      <c r="AH111" s="1051" t="s">
        <v>1126</v>
      </c>
      <c r="AI111" s="1051" t="s">
        <v>1104</v>
      </c>
      <c r="AJ111" s="1051" t="s">
        <v>655</v>
      </c>
      <c r="AK111" s="1051" t="s">
        <v>467</v>
      </c>
      <c r="AL111" s="1051" t="s">
        <v>120</v>
      </c>
      <c r="AM111" s="1051" t="s">
        <v>478</v>
      </c>
      <c r="AN111" s="1051" t="s">
        <v>740</v>
      </c>
      <c r="AO111" s="1051" t="s">
        <v>821</v>
      </c>
      <c r="AP111" s="1051" t="s">
        <v>261</v>
      </c>
      <c r="AQ111" s="1051" t="s">
        <v>1128</v>
      </c>
      <c r="AR111" s="1051"/>
      <c r="AS111" s="1051"/>
      <c r="AT111" s="1051"/>
      <c r="AU111" s="1051" t="s">
        <v>1332</v>
      </c>
      <c r="AV111" s="1051"/>
      <c r="AW111" s="1051"/>
      <c r="AX111" s="1051"/>
      <c r="AY111" s="1051"/>
      <c r="AZ111" s="1051"/>
      <c r="BA111" s="834"/>
      <c r="BB111" s="834"/>
      <c r="BC111" s="834"/>
      <c r="BD111" s="834"/>
      <c r="BE111" s="834"/>
      <c r="BF111" s="834"/>
      <c r="BG111" s="834"/>
      <c r="BH111" s="834"/>
      <c r="BI111" s="834"/>
      <c r="BJ111" s="834"/>
      <c r="BK111" s="834"/>
      <c r="BL111" s="834"/>
      <c r="BM111" s="834"/>
      <c r="BN111" s="834"/>
      <c r="BO111" s="834"/>
      <c r="BP111" s="834"/>
      <c r="BQ111" s="834"/>
      <c r="BR111" s="834"/>
      <c r="BS111" s="834"/>
      <c r="BT111" s="834"/>
    </row>
    <row r="112">
      <c r="A112" s="15"/>
      <c r="B112" s="969" t="str">
        <f t="shared" ref="B112:B113" si="27">V38</f>
        <v>Entangled</v>
      </c>
      <c r="C112" s="28"/>
      <c r="D112" s="28"/>
      <c r="E112" s="28"/>
      <c r="F112" s="29"/>
      <c r="G112" s="971" t="s">
        <v>1228</v>
      </c>
      <c r="H112" s="28"/>
      <c r="I112" s="28"/>
      <c r="J112" s="29"/>
      <c r="K112" s="972" t="str">
        <f t="shared" ref="K112:K113" si="28">IF(U38,"ACTIVE","INACTIVE")</f>
        <v>INACTIVE</v>
      </c>
      <c r="L112" s="28"/>
      <c r="M112" s="29"/>
      <c r="N112" s="973" t="str">
        <f>iferror(vlookup($B112,'Formula References'!$A$237:$AA$268,2,false),"")</f>
        <v/>
      </c>
      <c r="O112" s="973"/>
      <c r="P112" s="969" t="str">
        <f>iferror(vlookup($B112,'Formula References'!$A$237:$AA$268,9,false),"")</f>
        <v/>
      </c>
      <c r="Q112" s="973" t="str">
        <f>iferror(vlookup($B112,'Formula References'!$A$237:$AA$268,10,false),"")</f>
        <v/>
      </c>
      <c r="R112" s="975" t="str">
        <f>iferror(vlookup($B112,'Formula References'!$A$237:$AA$268,11,false),"")</f>
        <v/>
      </c>
      <c r="S112" s="973" t="str">
        <f>iferror(vlookup($B112,'Formula References'!$A$237:$AA$268,3,false),"")</f>
        <v/>
      </c>
      <c r="T112" s="977">
        <f>iferror(vlookup($B112,'Formula References'!$A$237:$AA$268,4,false),"")</f>
        <v>-4</v>
      </c>
      <c r="U112" s="977" t="str">
        <f>iferror(vlookup($B112,'Formula References'!$A$237:$AA$268,5,false),"")</f>
        <v/>
      </c>
      <c r="V112" s="977" t="str">
        <f>iferror(vlookup($B112,'Formula References'!$A$237:$AA$268,6,false),"")</f>
        <v/>
      </c>
      <c r="W112" s="978" t="str">
        <f>iferror(vlookup($B112,'Formula References'!$A$237:$AA$268,7,false),"")</f>
        <v/>
      </c>
      <c r="X112" s="978" t="str">
        <f>iferror(vlookup($B112,'Formula References'!$A$237:$AA$268,8,false),"")</f>
        <v/>
      </c>
      <c r="Y112" s="979">
        <f>iferror(vlookup($B112,'Formula References'!$A$237:$AA$268,12,false),"")</f>
        <v>-2</v>
      </c>
      <c r="Z112" s="977" t="str">
        <f>iferror(vlookup($B112,'Formula References'!$A$237:$AA$268,13,false),"")</f>
        <v/>
      </c>
      <c r="AA112" s="977"/>
      <c r="AB112" s="977"/>
      <c r="AC112" s="980"/>
      <c r="AD112" s="977">
        <f>iferror(vlookup($B112,'Formula References'!$A$237:$AA$268,14,false),"")</f>
        <v>-2</v>
      </c>
      <c r="AE112" s="977" t="str">
        <f>iferror(vlookup($B112,'Formula References'!$A$237:$AA$268,15,false),"")</f>
        <v/>
      </c>
      <c r="AF112" s="980"/>
      <c r="AG112" s="980" t="str">
        <f>iferror(vlookup($B112,'Formula References'!$A$237:$AA$268,17,false),"")</f>
        <v/>
      </c>
      <c r="AH112" s="981"/>
      <c r="AI112" s="982"/>
      <c r="AJ112" s="983"/>
      <c r="AK112" s="984"/>
      <c r="AL112" s="1110" t="str">
        <f>iferror(vlookup($B112,'Formula References'!$A$237:$AA$268,18,false),"")</f>
        <v>x0.5</v>
      </c>
      <c r="AM112" s="1110" t="str">
        <f>iferror(vlookup($B112,'Formula References'!$A$237:$AA$268,18,false),"")</f>
        <v>x0.5</v>
      </c>
      <c r="AN112" s="1110" t="str">
        <f>iferror(vlookup($B112,'Formula References'!$A$237:$AA$268,18,false),"")</f>
        <v>x0.5</v>
      </c>
      <c r="AO112" s="1110" t="str">
        <f>iferror(vlookup($B112,'Formula References'!$A$237:$AA$268,18,false),"")</f>
        <v>x0.5</v>
      </c>
      <c r="AP112" s="1111" t="str">
        <f>iferror(vlookup($B112,'Formula References'!$A$237:$AA$268,18,false),"")</f>
        <v>x0.5</v>
      </c>
      <c r="AQ112" s="983" t="str">
        <f>iferror(vlookup($B112,'Formula References'!$A$237:$AA$268,16,false),"")</f>
        <v/>
      </c>
      <c r="AR112" s="987" t="str">
        <f>iferror(vlookup($B112,'Formula References'!$A$237:$AA$268,21,false),"")</f>
        <v/>
      </c>
      <c r="AS112" s="28"/>
      <c r="AT112" s="28"/>
      <c r="AU112" s="28"/>
      <c r="AV112" s="28"/>
      <c r="AW112" s="28"/>
      <c r="AX112" s="28"/>
      <c r="AY112" s="28"/>
      <c r="AZ112" s="28"/>
      <c r="BA112" s="834"/>
      <c r="BB112" s="834"/>
      <c r="BC112" s="834"/>
      <c r="BD112" s="834"/>
      <c r="BE112" s="834"/>
      <c r="BF112" s="834"/>
      <c r="BG112" s="834"/>
      <c r="BH112" s="834"/>
      <c r="BI112" s="834"/>
      <c r="BJ112" s="834"/>
      <c r="BK112" s="834"/>
      <c r="BL112" s="834"/>
      <c r="BM112" s="834"/>
      <c r="BN112" s="834"/>
      <c r="BO112" s="834"/>
      <c r="BP112" s="834"/>
      <c r="BQ112" s="834"/>
      <c r="BR112" s="834"/>
      <c r="BS112" s="834"/>
      <c r="BT112" s="834"/>
    </row>
    <row r="113">
      <c r="A113" s="15"/>
      <c r="B113" s="969" t="str">
        <f t="shared" si="27"/>
        <v>Blinded</v>
      </c>
      <c r="C113" s="28"/>
      <c r="D113" s="28"/>
      <c r="E113" s="28"/>
      <c r="F113" s="29"/>
      <c r="G113" s="971" t="s">
        <v>1228</v>
      </c>
      <c r="H113" s="28"/>
      <c r="I113" s="28"/>
      <c r="J113" s="29"/>
      <c r="K113" s="972" t="str">
        <f t="shared" si="28"/>
        <v>INACTIVE</v>
      </c>
      <c r="L113" s="28"/>
      <c r="M113" s="29"/>
      <c r="N113" s="973">
        <f>iferror(vlookup($B113,'Formula References'!$A$237:$AA$268,2,false),"")</f>
        <v>-5</v>
      </c>
      <c r="O113" s="973"/>
      <c r="P113" s="969" t="str">
        <f>iferror(vlookup($B113,'Formula References'!$A$237:$AA$268,9,false),"")</f>
        <v/>
      </c>
      <c r="Q113" s="973" t="str">
        <f>iferror(vlookup($B113,'Formula References'!$A$237:$AA$268,10,false),"")</f>
        <v/>
      </c>
      <c r="R113" s="975" t="str">
        <f>iferror(vlookup($B113,'Formula References'!$A$237:$AA$268,11,false),"")</f>
        <v/>
      </c>
      <c r="S113" s="973" t="str">
        <f>iferror(vlookup($B113,'Formula References'!$A$237:$AA$268,3,false),"")</f>
        <v/>
      </c>
      <c r="T113" s="977" t="str">
        <f>iferror(vlookup($B113,'Formula References'!$A$237:$AA$268,4,false),"")</f>
        <v/>
      </c>
      <c r="U113" s="977" t="str">
        <f>iferror(vlookup($B113,'Formula References'!$A$237:$AA$268,5,false),"")</f>
        <v/>
      </c>
      <c r="V113" s="977" t="str">
        <f>iferror(vlookup($B113,'Formula References'!$A$237:$AA$268,6,false),"")</f>
        <v/>
      </c>
      <c r="W113" s="978" t="str">
        <f>iferror(vlookup($B113,'Formula References'!$A$237:$AA$268,7,false),"")</f>
        <v/>
      </c>
      <c r="X113" s="978" t="str">
        <f>iferror(vlookup($B113,'Formula References'!$A$237:$AA$268,8,false),"")</f>
        <v/>
      </c>
      <c r="Y113" s="979" t="str">
        <f>iferror(vlookup($B113,'Formula References'!$A$237:$AA$268,12,false),"")</f>
        <v/>
      </c>
      <c r="Z113" s="977" t="str">
        <f>iferror(vlookup($B113,'Formula References'!$A$237:$AA$268,13,false),"")</f>
        <v/>
      </c>
      <c r="AA113" s="977"/>
      <c r="AB113" s="977"/>
      <c r="AC113" s="980"/>
      <c r="AD113" s="977" t="str">
        <f>iferror(vlookup($B113,'Formula References'!$A$237:$AA$268,14,false),"")</f>
        <v/>
      </c>
      <c r="AE113" s="977" t="str">
        <f>iferror(vlookup($B113,'Formula References'!$A$237:$AA$268,15,false),"")</f>
        <v/>
      </c>
      <c r="AF113" s="980"/>
      <c r="AG113" s="980" t="str">
        <f>iferror(vlookup($B113,'Formula References'!$A$237:$AA$268,17,false),"")</f>
        <v/>
      </c>
      <c r="AH113" s="981"/>
      <c r="AI113" s="982"/>
      <c r="AJ113" s="983"/>
      <c r="AK113" s="984"/>
      <c r="AL113" s="1110" t="str">
        <f>iferror(vlookup($B113,'Formula References'!$A$237:$AA$268,18,false),"")</f>
        <v/>
      </c>
      <c r="AM113" s="1110" t="str">
        <f>iferror(vlookup($B113,'Formula References'!$A$237:$AA$268,18,false),"")</f>
        <v/>
      </c>
      <c r="AN113" s="1110" t="str">
        <f>iferror(vlookup($B113,'Formula References'!$A$237:$AA$268,18,false),"")</f>
        <v/>
      </c>
      <c r="AO113" s="1110" t="str">
        <f>iferror(vlookup($B113,'Formula References'!$A$237:$AA$268,18,false),"")</f>
        <v/>
      </c>
      <c r="AP113" s="1111" t="str">
        <f>iferror(vlookup($B113,'Formula References'!$A$237:$AA$268,18,false),"")</f>
        <v/>
      </c>
      <c r="AQ113" s="983" t="str">
        <f>iferror(vlookup($B113,'Formula References'!$A$237:$AA$268,16,false),"")</f>
        <v/>
      </c>
      <c r="AR113" s="987" t="str">
        <f>iferror(vlookup($B113,'Formula References'!$A$237:$AA$268,21,false),"")</f>
        <v>Acrobatics, Climb, Disable Device, Escape Artist, Fly, Ride, Stealth, Swim, Sleight of Hand -4</v>
      </c>
      <c r="AS113" s="28"/>
      <c r="AT113" s="28"/>
      <c r="AU113" s="28"/>
      <c r="AV113" s="28"/>
      <c r="AW113" s="28"/>
      <c r="AX113" s="28"/>
      <c r="AY113" s="28"/>
      <c r="AZ113" s="28"/>
      <c r="BA113" s="834"/>
      <c r="BB113" s="834"/>
      <c r="BC113" s="834"/>
      <c r="BD113" s="834"/>
      <c r="BE113" s="834"/>
      <c r="BF113" s="834"/>
      <c r="BG113" s="834"/>
      <c r="BH113" s="834"/>
      <c r="BI113" s="834"/>
      <c r="BJ113" s="834"/>
      <c r="BK113" s="834"/>
      <c r="BL113" s="834"/>
      <c r="BM113" s="834"/>
      <c r="BN113" s="834"/>
      <c r="BO113" s="834"/>
      <c r="BP113" s="834"/>
      <c r="BQ113" s="834"/>
      <c r="BR113" s="834"/>
      <c r="BS113" s="834"/>
      <c r="BT113" s="834"/>
    </row>
    <row r="114">
      <c r="A114" s="15"/>
      <c r="B114" s="969" t="str">
        <f t="shared" ref="B114:B115" si="29">Z38</f>
        <v>Dazzled</v>
      </c>
      <c r="C114" s="28"/>
      <c r="D114" s="28"/>
      <c r="E114" s="28"/>
      <c r="F114" s="29"/>
      <c r="G114" s="971" t="s">
        <v>1228</v>
      </c>
      <c r="H114" s="28"/>
      <c r="I114" s="28"/>
      <c r="J114" s="29"/>
      <c r="K114" s="972" t="str">
        <f t="shared" ref="K114:K115" si="30">IF(Y38,"ACTIVE","INACTIVE")</f>
        <v>INACTIVE</v>
      </c>
      <c r="L114" s="28"/>
      <c r="M114" s="29"/>
      <c r="N114" s="973" t="str">
        <f>iferror(vlookup($B114,'Formula References'!$A$237:$AA$268,2,false),"")</f>
        <v/>
      </c>
      <c r="O114" s="973"/>
      <c r="P114" s="969" t="str">
        <f>iferror(vlookup($B114,'Formula References'!$A$237:$AA$268,9,false),"")</f>
        <v/>
      </c>
      <c r="Q114" s="973" t="str">
        <f>iferror(vlookup($B114,'Formula References'!$A$237:$AA$268,10,false),"")</f>
        <v/>
      </c>
      <c r="R114" s="975" t="str">
        <f>iferror(vlookup($B114,'Formula References'!$A$237:$AA$268,11,false),"")</f>
        <v/>
      </c>
      <c r="S114" s="973" t="str">
        <f>iferror(vlookup($B114,'Formula References'!$A$237:$AA$268,3,false),"")</f>
        <v/>
      </c>
      <c r="T114" s="977" t="str">
        <f>iferror(vlookup($B114,'Formula References'!$A$237:$AA$268,4,false),"")</f>
        <v/>
      </c>
      <c r="U114" s="977" t="str">
        <f>iferror(vlookup($B114,'Formula References'!$A$237:$AA$268,5,false),"")</f>
        <v/>
      </c>
      <c r="V114" s="977" t="str">
        <f>iferror(vlookup($B114,'Formula References'!$A$237:$AA$268,6,false),"")</f>
        <v/>
      </c>
      <c r="W114" s="978" t="str">
        <f>iferror(vlookup($B114,'Formula References'!$A$237:$AA$268,7,false),"")</f>
        <v/>
      </c>
      <c r="X114" s="978" t="str">
        <f>iferror(vlookup($B114,'Formula References'!$A$237:$AA$268,8,false),"")</f>
        <v/>
      </c>
      <c r="Y114" s="979">
        <f>iferror(vlookup($B114,'Formula References'!$A$237:$AA$268,12,false),"")</f>
        <v>-1</v>
      </c>
      <c r="Z114" s="977" t="str">
        <f>iferror(vlookup($B114,'Formula References'!$A$237:$AA$268,13,false),"")</f>
        <v/>
      </c>
      <c r="AA114" s="977"/>
      <c r="AB114" s="977"/>
      <c r="AC114" s="980"/>
      <c r="AD114" s="977">
        <f>iferror(vlookup($B114,'Formula References'!$A$237:$AA$268,14,false),"")</f>
        <v>-1</v>
      </c>
      <c r="AE114" s="977" t="str">
        <f>iferror(vlookup($B114,'Formula References'!$A$237:$AA$268,15,false),"")</f>
        <v/>
      </c>
      <c r="AF114" s="980"/>
      <c r="AG114" s="980" t="str">
        <f>iferror(vlookup($B114,'Formula References'!$A$237:$AA$268,17,false),"")</f>
        <v/>
      </c>
      <c r="AH114" s="981"/>
      <c r="AI114" s="982"/>
      <c r="AJ114" s="983"/>
      <c r="AK114" s="984"/>
      <c r="AL114" s="1110" t="str">
        <f>iferror(vlookup($B114,'Formula References'!$A$237:$AA$268,18,false),"")</f>
        <v/>
      </c>
      <c r="AM114" s="1110" t="str">
        <f>iferror(vlookup($B114,'Formula References'!$A$237:$AA$268,18,false),"")</f>
        <v/>
      </c>
      <c r="AN114" s="1110" t="str">
        <f>iferror(vlookup($B114,'Formula References'!$A$237:$AA$268,18,false),"")</f>
        <v/>
      </c>
      <c r="AO114" s="1110" t="str">
        <f>iferror(vlookup($B114,'Formula References'!$A$237:$AA$268,18,false),"")</f>
        <v/>
      </c>
      <c r="AP114" s="1111" t="str">
        <f>iferror(vlookup($B114,'Formula References'!$A$237:$AA$268,18,false),"")</f>
        <v/>
      </c>
      <c r="AQ114" s="983" t="str">
        <f>iferror(vlookup($B114,'Formula References'!$A$237:$AA$268,16,false),"")</f>
        <v/>
      </c>
      <c r="AR114" s="987" t="str">
        <f>iferror(vlookup($B114,'Formula References'!$A$237:$AA$268,21,false),"")</f>
        <v>Perception -1</v>
      </c>
      <c r="AS114" s="28"/>
      <c r="AT114" s="28"/>
      <c r="AU114" s="28"/>
      <c r="AV114" s="28"/>
      <c r="AW114" s="28"/>
      <c r="AX114" s="28"/>
      <c r="AY114" s="28"/>
      <c r="AZ114" s="28"/>
      <c r="BA114" s="834"/>
      <c r="BB114" s="834"/>
      <c r="BC114" s="834"/>
      <c r="BD114" s="834"/>
      <c r="BE114" s="834"/>
      <c r="BF114" s="834"/>
      <c r="BG114" s="834"/>
      <c r="BH114" s="834"/>
      <c r="BI114" s="834"/>
      <c r="BJ114" s="834"/>
      <c r="BK114" s="834"/>
      <c r="BL114" s="834"/>
      <c r="BM114" s="834"/>
      <c r="BN114" s="834"/>
      <c r="BO114" s="834"/>
      <c r="BP114" s="834"/>
      <c r="BQ114" s="834"/>
      <c r="BR114" s="834"/>
      <c r="BS114" s="834"/>
      <c r="BT114" s="834"/>
    </row>
    <row r="115">
      <c r="A115" s="15"/>
      <c r="B115" s="969" t="str">
        <f t="shared" si="29"/>
        <v>Negative Levels</v>
      </c>
      <c r="C115" s="28"/>
      <c r="D115" s="28"/>
      <c r="E115" s="28"/>
      <c r="F115" s="29"/>
      <c r="G115" s="971" t="s">
        <v>1228</v>
      </c>
      <c r="H115" s="28"/>
      <c r="I115" s="28"/>
      <c r="J115" s="29"/>
      <c r="K115" s="972" t="str">
        <f t="shared" si="30"/>
        <v>INACTIVE</v>
      </c>
      <c r="L115" s="28"/>
      <c r="M115" s="29"/>
      <c r="N115" s="973" t="str">
        <f>iferror(vlookup($B115,'Formula References'!$A$237:$AA$268,2,false),"")</f>
        <v/>
      </c>
      <c r="O115" s="973"/>
      <c r="P115" s="969" t="str">
        <f>iferror(vlookup($B115,'Formula References'!$A$237:$AA$268,9,false),"")</f>
        <v/>
      </c>
      <c r="Q115" s="973" t="str">
        <f>iferror(vlookup($B115,'Formula References'!$A$237:$AA$268,10,false),"")</f>
        <v/>
      </c>
      <c r="R115" s="975" t="str">
        <f>iferror(vlookup($B115,'Formula References'!$A$237:$AA$268,11,false),"")</f>
        <v/>
      </c>
      <c r="S115" s="973" t="str">
        <f>iferror(vlookup($B115,'Formula References'!$A$237:$AA$268,3,false),"")</f>
        <v/>
      </c>
      <c r="T115" s="977" t="str">
        <f>iferror(vlookup($B115,'Formula References'!$A$237:$AA$268,4,false),"")</f>
        <v/>
      </c>
      <c r="U115" s="977" t="str">
        <f>iferror(vlookup($B115,'Formula References'!$A$237:$AA$268,5,false),"")</f>
        <v/>
      </c>
      <c r="V115" s="977" t="str">
        <f>iferror(vlookup($B115,'Formula References'!$A$237:$AA$268,6,false),"")</f>
        <v/>
      </c>
      <c r="W115" s="978" t="str">
        <f>iferror(vlookup($B115,'Formula References'!$A$237:$AA$268,7,false),"")</f>
        <v/>
      </c>
      <c r="X115" s="978" t="str">
        <f>iferror(vlookup($B115,'Formula References'!$A$237:$AA$268,8,false),"")</f>
        <v/>
      </c>
      <c r="Y115" s="979" t="str">
        <f>iferror(vlookup($B115,'Formula References'!$A$237:$AA$268,12,false),"")</f>
        <v/>
      </c>
      <c r="Z115" s="977" t="str">
        <f>iferror(vlookup($B115,'Formula References'!$A$237:$AA$268,13,false),"")</f>
        <v/>
      </c>
      <c r="AA115" s="977"/>
      <c r="AB115" s="977"/>
      <c r="AC115" s="980"/>
      <c r="AD115" s="977" t="str">
        <f>iferror(vlookup($B115,'Formula References'!$A$237:$AA$268,14,false),"")</f>
        <v/>
      </c>
      <c r="AE115" s="977" t="str">
        <f>iferror(vlookup($B115,'Formula References'!$A$237:$AA$268,15,false),"")</f>
        <v/>
      </c>
      <c r="AF115" s="980"/>
      <c r="AG115" s="980" t="str">
        <f>iferror(vlookup($B115,'Formula References'!$A$237:$AA$268,17,false),"")</f>
        <v/>
      </c>
      <c r="AH115" s="981"/>
      <c r="AI115" s="982"/>
      <c r="AJ115" s="983"/>
      <c r="AK115" s="984"/>
      <c r="AL115" s="1110" t="str">
        <f>iferror(vlookup($B115,'Formula References'!$A$237:$AA$268,18,false),"")</f>
        <v/>
      </c>
      <c r="AM115" s="1110" t="str">
        <f>iferror(vlookup($B115,'Formula References'!$A$237:$AA$268,18,false),"")</f>
        <v/>
      </c>
      <c r="AN115" s="1110" t="str">
        <f>iferror(vlookup($B115,'Formula References'!$A$237:$AA$268,18,false),"")</f>
        <v/>
      </c>
      <c r="AO115" s="1110" t="str">
        <f>iferror(vlookup($B115,'Formula References'!$A$237:$AA$268,18,false),"")</f>
        <v/>
      </c>
      <c r="AP115" s="1111" t="str">
        <f>iferror(vlookup($B115,'Formula References'!$A$237:$AA$268,18,false),"")</f>
        <v/>
      </c>
      <c r="AQ115" s="983" t="str">
        <f>iferror(vlookup($B115,'Formula References'!$A$237:$AA$268,16,false),"")</f>
        <v/>
      </c>
      <c r="AR115" s="987" t="str">
        <f>iferror(vlookup($B115,'Formula References'!$A$237:$AA$268,21,false),"")</f>
        <v/>
      </c>
      <c r="AS115" s="28"/>
      <c r="AT115" s="28"/>
      <c r="AU115" s="28"/>
      <c r="AV115" s="28"/>
      <c r="AW115" s="28"/>
      <c r="AX115" s="28"/>
      <c r="AY115" s="28"/>
      <c r="AZ115" s="28"/>
      <c r="BA115" s="834"/>
      <c r="BB115" s="834"/>
      <c r="BC115" s="834"/>
      <c r="BD115" s="834"/>
      <c r="BE115" s="834"/>
      <c r="BF115" s="834"/>
      <c r="BG115" s="834"/>
      <c r="BH115" s="834"/>
      <c r="BI115" s="834"/>
      <c r="BJ115" s="834"/>
      <c r="BK115" s="834"/>
      <c r="BL115" s="834"/>
      <c r="BM115" s="834"/>
      <c r="BN115" s="834"/>
      <c r="BO115" s="834"/>
      <c r="BP115" s="834"/>
      <c r="BQ115" s="834"/>
      <c r="BR115" s="834"/>
      <c r="BS115" s="834"/>
      <c r="BT115" s="834"/>
    </row>
    <row r="116">
      <c r="A116" s="25"/>
      <c r="B116" s="969" t="s">
        <v>1422</v>
      </c>
      <c r="C116" s="28"/>
      <c r="D116" s="28"/>
      <c r="E116" s="28"/>
      <c r="F116" s="29"/>
      <c r="G116" s="971" t="s">
        <v>1228</v>
      </c>
      <c r="H116" s="28"/>
      <c r="I116" s="28"/>
      <c r="J116" s="29"/>
      <c r="K116" s="972" t="str">
        <f>'Welcome Page'!P7</f>
        <v>INACTIVE</v>
      </c>
      <c r="L116" s="28"/>
      <c r="M116" s="29"/>
      <c r="N116" s="973">
        <f>iferror(vlookup($B116,'Formula References'!$A$237:$AA$268,2,false),"")</f>
        <v>0</v>
      </c>
      <c r="O116" s="973"/>
      <c r="P116" s="969">
        <f>iferror(vlookup($B116,'Formula References'!$A$237:$AA$268,9,false),"")</f>
        <v>0</v>
      </c>
      <c r="Q116" s="973">
        <f>iferror(vlookup($B116,'Formula References'!$A$237:$AA$268,10,false),"")</f>
        <v>0</v>
      </c>
      <c r="R116" s="975">
        <f>iferror(vlookup($B116,'Formula References'!$A$237:$AA$268,11,false),"")</f>
        <v>0</v>
      </c>
      <c r="S116" s="973" t="str">
        <f>iferror(vlookup($B116,'Formula References'!$A$237:$AA$268,3,false),"")</f>
        <v/>
      </c>
      <c r="T116" s="977" t="str">
        <f>iferror(vlookup($B116,'Formula References'!$A$237:$AA$268,4,false),"")</f>
        <v/>
      </c>
      <c r="U116" s="977" t="str">
        <f>iferror(vlookup($B116,'Formula References'!$A$237:$AA$268,5,false),"")</f>
        <v/>
      </c>
      <c r="V116" s="977" t="str">
        <f>iferror(vlookup($B116,'Formula References'!$A$237:$AA$268,6,false),"")</f>
        <v/>
      </c>
      <c r="W116" s="978" t="str">
        <f>iferror(vlookup($B116,'Formula References'!$A$237:$AA$268,7,false),"")</f>
        <v/>
      </c>
      <c r="X116" s="978" t="str">
        <f>iferror(vlookup($B116,'Formula References'!$A$237:$AA$268,8,false),"")</f>
        <v/>
      </c>
      <c r="Y116" s="979">
        <f>iferror(vlookup($B116,'Formula References'!$A$237:$AA$268,12,false),"")</f>
        <v>0</v>
      </c>
      <c r="Z116" s="977" t="str">
        <f>iferror(vlookup($B116,'Formula References'!$A$237:$AA$268,13,false),"")</f>
        <v/>
      </c>
      <c r="AA116" s="977"/>
      <c r="AB116" s="977"/>
      <c r="AC116" s="980"/>
      <c r="AD116" s="977">
        <f>iferror(vlookup($B116,'Formula References'!$A$237:$AA$268,14,false),"")</f>
        <v>0</v>
      </c>
      <c r="AE116" s="977" t="str">
        <f>iferror(vlookup($B116,'Formula References'!$A$237:$AA$268,15,false),"")</f>
        <v/>
      </c>
      <c r="AF116" s="980"/>
      <c r="AG116" s="980">
        <f>iferror(vlookup($B116,'Formula References'!$A$237:$AA$268,17,false),"")</f>
        <v>0</v>
      </c>
      <c r="AH116" s="981"/>
      <c r="AI116" s="982"/>
      <c r="AJ116" s="983"/>
      <c r="AK116" s="984"/>
      <c r="AL116" s="1110" t="str">
        <f>iferror(vlookup($B116,'Formula References'!$A$237:$AA$268,18,false),"")</f>
        <v/>
      </c>
      <c r="AM116" s="1110" t="str">
        <f>iferror(vlookup($B116,'Formula References'!$A$237:$AA$268,18,false),"")</f>
        <v/>
      </c>
      <c r="AN116" s="1110" t="str">
        <f>iferror(vlookup($B116,'Formula References'!$A$237:$AA$268,18,false),"")</f>
        <v/>
      </c>
      <c r="AO116" s="1110" t="str">
        <f>iferror(vlookup($B116,'Formula References'!$A$237:$AA$268,18,false),"")</f>
        <v/>
      </c>
      <c r="AP116" s="1111" t="str">
        <f>iferror(vlookup($B116,'Formula References'!$A$237:$AA$268,18,false),"")</f>
        <v/>
      </c>
      <c r="AQ116" s="983" t="str">
        <f>iferror(vlookup($B116,'Formula References'!$A$237:$AA$268,16,false),"")</f>
        <v/>
      </c>
      <c r="AR116" s="987" t="str">
        <f>iferror(vlookup($B116,'Formula References'!$A$237:$AA$268,21,false),"")</f>
        <v/>
      </c>
      <c r="AS116" s="28"/>
      <c r="AT116" s="28"/>
      <c r="AU116" s="28"/>
      <c r="AV116" s="28"/>
      <c r="AW116" s="28"/>
      <c r="AX116" s="28"/>
      <c r="AY116" s="28"/>
      <c r="AZ116" s="28"/>
      <c r="BA116" s="834"/>
      <c r="BB116" s="834"/>
      <c r="BC116" s="834"/>
      <c r="BD116" s="834"/>
      <c r="BE116" s="834"/>
      <c r="BF116" s="834"/>
      <c r="BG116" s="834"/>
      <c r="BH116" s="834"/>
      <c r="BI116" s="834"/>
      <c r="BJ116" s="834"/>
      <c r="BK116" s="834"/>
      <c r="BL116" s="834"/>
      <c r="BM116" s="834"/>
      <c r="BN116" s="834"/>
      <c r="BO116" s="834"/>
      <c r="BP116" s="834"/>
      <c r="BQ116" s="834"/>
      <c r="BR116" s="834"/>
      <c r="BS116" s="834"/>
      <c r="BT116" s="834"/>
    </row>
    <row r="117">
      <c r="A117" s="834"/>
      <c r="B117" s="834"/>
      <c r="C117" s="834"/>
      <c r="D117" s="834"/>
      <c r="E117" s="834"/>
      <c r="F117" s="834"/>
      <c r="G117" s="834"/>
      <c r="H117" s="834"/>
      <c r="I117" s="834"/>
      <c r="J117" s="834"/>
      <c r="K117" s="834"/>
      <c r="L117" s="834"/>
      <c r="M117" s="834"/>
      <c r="N117" s="834"/>
      <c r="O117" s="834"/>
      <c r="P117" s="834"/>
      <c r="Q117" s="834"/>
      <c r="R117" s="834"/>
      <c r="S117" s="834"/>
      <c r="T117" s="834"/>
      <c r="U117" s="834"/>
      <c r="V117" s="834"/>
      <c r="W117" s="834"/>
      <c r="X117" s="834"/>
      <c r="Y117" s="834"/>
      <c r="Z117" s="834"/>
      <c r="AA117" s="834"/>
      <c r="AB117" s="834"/>
      <c r="AC117" s="834"/>
      <c r="AD117" s="834"/>
      <c r="AE117" s="834"/>
      <c r="AF117" s="834"/>
      <c r="AG117" s="834"/>
      <c r="AH117" s="834"/>
      <c r="AI117" s="834"/>
      <c r="AJ117" s="834"/>
      <c r="AK117" s="834"/>
      <c r="AL117" s="834"/>
      <c r="AM117" s="834"/>
      <c r="AN117" s="834"/>
      <c r="AO117" s="834"/>
      <c r="AP117" s="834"/>
      <c r="AQ117" s="834"/>
      <c r="AR117" s="834"/>
      <c r="AS117" s="834"/>
      <c r="AT117" s="834"/>
      <c r="AU117" s="834"/>
      <c r="AV117" s="834"/>
      <c r="AW117" s="834"/>
      <c r="AX117" s="834"/>
      <c r="AY117" s="834"/>
      <c r="AZ117" s="834"/>
      <c r="BA117" s="834"/>
      <c r="BB117" s="834"/>
      <c r="BC117" s="834"/>
      <c r="BD117" s="834"/>
      <c r="BE117" s="834"/>
      <c r="BF117" s="834"/>
      <c r="BG117" s="834"/>
      <c r="BH117" s="834"/>
      <c r="BI117" s="834"/>
      <c r="BJ117" s="834"/>
      <c r="BK117" s="834"/>
      <c r="BL117" s="834"/>
      <c r="BM117" s="834"/>
      <c r="BN117" s="834"/>
      <c r="BO117" s="834"/>
      <c r="BP117" s="834"/>
      <c r="BQ117" s="834"/>
      <c r="BR117" s="834"/>
      <c r="BS117" s="834"/>
      <c r="BT117" s="834"/>
    </row>
    <row r="118">
      <c r="A118" s="834"/>
      <c r="B118" s="834"/>
      <c r="C118" s="834"/>
      <c r="D118" s="834"/>
      <c r="E118" s="834"/>
      <c r="F118" s="834"/>
      <c r="G118" s="834"/>
      <c r="H118" s="834"/>
      <c r="I118" s="834"/>
      <c r="J118" s="834"/>
      <c r="K118" s="834"/>
      <c r="L118" s="834"/>
      <c r="M118" s="834"/>
      <c r="N118" s="834"/>
      <c r="O118" s="834"/>
      <c r="P118" s="834"/>
      <c r="Q118" s="834"/>
      <c r="R118" s="834"/>
      <c r="S118" s="834"/>
      <c r="T118" s="834"/>
      <c r="U118" s="834"/>
      <c r="V118" s="834"/>
      <c r="W118" s="834"/>
      <c r="X118" s="834"/>
      <c r="Y118" s="834"/>
      <c r="Z118" s="834"/>
      <c r="AA118" s="834"/>
      <c r="AB118" s="834"/>
      <c r="AC118" s="834"/>
      <c r="AD118" s="834"/>
      <c r="AE118" s="834"/>
      <c r="AF118" s="834"/>
      <c r="AG118" s="834"/>
      <c r="AH118" s="834"/>
      <c r="AI118" s="834"/>
      <c r="AJ118" s="834"/>
      <c r="AK118" s="834"/>
      <c r="AL118" s="834"/>
      <c r="AM118" s="834"/>
      <c r="AN118" s="834"/>
      <c r="AO118" s="834"/>
      <c r="AP118" s="834"/>
      <c r="AQ118" s="834"/>
      <c r="AR118" s="834"/>
      <c r="AS118" s="834"/>
      <c r="AT118" s="834"/>
      <c r="AU118" s="834"/>
      <c r="AV118" s="834"/>
      <c r="AW118" s="834"/>
      <c r="AX118" s="834"/>
      <c r="AY118" s="834"/>
      <c r="AZ118" s="834"/>
      <c r="BA118" s="834"/>
      <c r="BB118" s="834"/>
      <c r="BC118" s="834"/>
      <c r="BD118" s="834"/>
      <c r="BE118" s="834"/>
      <c r="BF118" s="834"/>
      <c r="BG118" s="834"/>
      <c r="BH118" s="834"/>
      <c r="BI118" s="834"/>
      <c r="BJ118" s="834"/>
      <c r="BK118" s="834"/>
      <c r="BL118" s="834"/>
      <c r="BM118" s="834"/>
      <c r="BN118" s="834"/>
      <c r="BO118" s="834"/>
      <c r="BP118" s="834"/>
      <c r="BQ118" s="834"/>
      <c r="BR118" s="834"/>
      <c r="BS118" s="834"/>
      <c r="BT118" s="834"/>
    </row>
    <row r="119">
      <c r="A119" s="834"/>
      <c r="B119" s="834"/>
      <c r="C119" s="834"/>
      <c r="D119" s="834"/>
      <c r="E119" s="834"/>
      <c r="F119" s="834"/>
      <c r="G119" s="834"/>
      <c r="H119" s="834"/>
      <c r="I119" s="834"/>
      <c r="J119" s="834"/>
      <c r="K119" s="834"/>
      <c r="L119" s="834"/>
      <c r="M119" s="834"/>
      <c r="N119" s="834"/>
      <c r="O119" s="834"/>
      <c r="P119" s="834"/>
      <c r="Q119" s="834"/>
      <c r="R119" s="834"/>
      <c r="S119" s="834"/>
      <c r="T119" s="834"/>
      <c r="U119" s="834"/>
      <c r="V119" s="834"/>
      <c r="W119" s="834"/>
      <c r="X119" s="834"/>
      <c r="Y119" s="834"/>
      <c r="Z119" s="834"/>
      <c r="AA119" s="834"/>
      <c r="AB119" s="834"/>
      <c r="AC119" s="834"/>
      <c r="AD119" s="834"/>
      <c r="AE119" s="834"/>
      <c r="AF119" s="834"/>
      <c r="AG119" s="834"/>
      <c r="AH119" s="834"/>
      <c r="AI119" s="834"/>
      <c r="AJ119" s="834"/>
      <c r="AK119" s="834"/>
      <c r="AL119" s="834"/>
      <c r="AM119" s="834"/>
      <c r="AN119" s="834"/>
      <c r="AO119" s="834"/>
      <c r="AP119" s="834"/>
      <c r="AQ119" s="834"/>
      <c r="AR119" s="834"/>
      <c r="AS119" s="834"/>
      <c r="AT119" s="834"/>
      <c r="AU119" s="834"/>
      <c r="AV119" s="834"/>
      <c r="AW119" s="834"/>
      <c r="AX119" s="834"/>
      <c r="AY119" s="834"/>
      <c r="AZ119" s="834"/>
      <c r="BA119" s="834"/>
      <c r="BB119" s="834"/>
      <c r="BC119" s="834"/>
      <c r="BD119" s="834"/>
      <c r="BE119" s="834"/>
      <c r="BF119" s="834"/>
      <c r="BG119" s="834"/>
      <c r="BH119" s="834"/>
      <c r="BI119" s="834"/>
      <c r="BJ119" s="834"/>
      <c r="BK119" s="834"/>
      <c r="BL119" s="834"/>
      <c r="BM119" s="834"/>
      <c r="BN119" s="834"/>
      <c r="BO119" s="834"/>
      <c r="BP119" s="834"/>
      <c r="BQ119" s="834"/>
      <c r="BR119" s="834"/>
      <c r="BS119" s="834"/>
      <c r="BT119" s="834"/>
    </row>
  </sheetData>
  <mergeCells count="415">
    <mergeCell ref="C63:L63"/>
    <mergeCell ref="O63:X63"/>
    <mergeCell ref="C64:L64"/>
    <mergeCell ref="O64:X64"/>
    <mergeCell ref="C65:L65"/>
    <mergeCell ref="O65:X65"/>
    <mergeCell ref="O66:X66"/>
    <mergeCell ref="N72:O72"/>
    <mergeCell ref="P72:R72"/>
    <mergeCell ref="S72:X72"/>
    <mergeCell ref="Y72:AC72"/>
    <mergeCell ref="AD72:AF72"/>
    <mergeCell ref="AH72:AJ72"/>
    <mergeCell ref="AK72:AK73"/>
    <mergeCell ref="AL72:AP72"/>
    <mergeCell ref="B74:F74"/>
    <mergeCell ref="G74:J74"/>
    <mergeCell ref="K74:M74"/>
    <mergeCell ref="C66:L66"/>
    <mergeCell ref="C67:L67"/>
    <mergeCell ref="C68:L68"/>
    <mergeCell ref="B70:E70"/>
    <mergeCell ref="B72:F73"/>
    <mergeCell ref="G72:J73"/>
    <mergeCell ref="K72:M73"/>
    <mergeCell ref="V27:X27"/>
    <mergeCell ref="E28:L28"/>
    <mergeCell ref="O28:T28"/>
    <mergeCell ref="V28:X28"/>
    <mergeCell ref="E29:L29"/>
    <mergeCell ref="O29:T29"/>
    <mergeCell ref="E30:L30"/>
    <mergeCell ref="O30:T30"/>
    <mergeCell ref="V30:X30"/>
    <mergeCell ref="O31:T31"/>
    <mergeCell ref="U32:AB32"/>
    <mergeCell ref="E31:L31"/>
    <mergeCell ref="V33:X33"/>
    <mergeCell ref="Z33:AB33"/>
    <mergeCell ref="V34:X34"/>
    <mergeCell ref="Z34:AB34"/>
    <mergeCell ref="V35:X35"/>
    <mergeCell ref="Z35:AB35"/>
    <mergeCell ref="Z37:AB37"/>
    <mergeCell ref="Z38:AB38"/>
    <mergeCell ref="V39:X39"/>
    <mergeCell ref="Z39:AB39"/>
    <mergeCell ref="B33:S34"/>
    <mergeCell ref="B36:D36"/>
    <mergeCell ref="O36:Q36"/>
    <mergeCell ref="V36:X36"/>
    <mergeCell ref="Z36:AB36"/>
    <mergeCell ref="V37:X37"/>
    <mergeCell ref="V38:X38"/>
    <mergeCell ref="C50:L50"/>
    <mergeCell ref="C51:L51"/>
    <mergeCell ref="C52:L52"/>
    <mergeCell ref="C53:L53"/>
    <mergeCell ref="B54:L54"/>
    <mergeCell ref="C55:L55"/>
    <mergeCell ref="C56:L56"/>
    <mergeCell ref="O67:X67"/>
    <mergeCell ref="O68:X68"/>
    <mergeCell ref="O54:X54"/>
    <mergeCell ref="O55:X55"/>
    <mergeCell ref="O52:X52"/>
    <mergeCell ref="O51:X51"/>
    <mergeCell ref="O56:X56"/>
    <mergeCell ref="O58:X58"/>
    <mergeCell ref="O60:X60"/>
    <mergeCell ref="O59:X59"/>
    <mergeCell ref="O57:X57"/>
    <mergeCell ref="E41:L41"/>
    <mergeCell ref="T41:W41"/>
    <mergeCell ref="X41:Y41"/>
    <mergeCell ref="Z41:AA41"/>
    <mergeCell ref="T42:W42"/>
    <mergeCell ref="X42:Y42"/>
    <mergeCell ref="Z42:AA42"/>
    <mergeCell ref="E42:L42"/>
    <mergeCell ref="T43:W43"/>
    <mergeCell ref="X43:Y43"/>
    <mergeCell ref="Z43:AA43"/>
    <mergeCell ref="AE43:AF43"/>
    <mergeCell ref="T44:W44"/>
    <mergeCell ref="AE44:AF44"/>
    <mergeCell ref="AA52:AJ52"/>
    <mergeCell ref="AA53:AJ53"/>
    <mergeCell ref="AA54:AJ54"/>
    <mergeCell ref="AA55:AJ55"/>
    <mergeCell ref="AA56:AJ56"/>
    <mergeCell ref="AA57:AJ57"/>
    <mergeCell ref="AA58:AJ58"/>
    <mergeCell ref="AA66:AJ66"/>
    <mergeCell ref="AA67:AJ67"/>
    <mergeCell ref="AA68:AJ68"/>
    <mergeCell ref="AA59:AJ59"/>
    <mergeCell ref="AA60:AJ60"/>
    <mergeCell ref="AA61:AJ61"/>
    <mergeCell ref="AA62:AJ62"/>
    <mergeCell ref="AA63:AJ63"/>
    <mergeCell ref="AA64:AJ64"/>
    <mergeCell ref="AA65:AJ65"/>
    <mergeCell ref="AE45:AF45"/>
    <mergeCell ref="AD46:AF46"/>
    <mergeCell ref="AG46:AQ46"/>
    <mergeCell ref="Z48:AJ48"/>
    <mergeCell ref="AA49:AJ49"/>
    <mergeCell ref="AA50:AJ50"/>
    <mergeCell ref="AA51:AJ51"/>
    <mergeCell ref="O61:X61"/>
    <mergeCell ref="O62:X62"/>
    <mergeCell ref="G84:J84"/>
    <mergeCell ref="K84:M84"/>
    <mergeCell ref="B82:F82"/>
    <mergeCell ref="G82:J82"/>
    <mergeCell ref="K82:M82"/>
    <mergeCell ref="B83:F83"/>
    <mergeCell ref="G83:J83"/>
    <mergeCell ref="K83:M83"/>
    <mergeCell ref="B84:F84"/>
    <mergeCell ref="G87:J87"/>
    <mergeCell ref="K87:M87"/>
    <mergeCell ref="B85:F85"/>
    <mergeCell ref="G85:J85"/>
    <mergeCell ref="K85:M85"/>
    <mergeCell ref="B86:F86"/>
    <mergeCell ref="G86:J86"/>
    <mergeCell ref="K86:M86"/>
    <mergeCell ref="B87:F87"/>
    <mergeCell ref="G91:J91"/>
    <mergeCell ref="K91:M91"/>
    <mergeCell ref="B89:F89"/>
    <mergeCell ref="G89:J89"/>
    <mergeCell ref="K89:M89"/>
    <mergeCell ref="B90:F90"/>
    <mergeCell ref="G90:J90"/>
    <mergeCell ref="K90:M90"/>
    <mergeCell ref="B91:F91"/>
    <mergeCell ref="G94:J94"/>
    <mergeCell ref="K94:M94"/>
    <mergeCell ref="B92:F92"/>
    <mergeCell ref="G92:J92"/>
    <mergeCell ref="K92:M92"/>
    <mergeCell ref="B93:F93"/>
    <mergeCell ref="G93:J93"/>
    <mergeCell ref="K93:M93"/>
    <mergeCell ref="B94:F94"/>
    <mergeCell ref="G97:J97"/>
    <mergeCell ref="K97:M97"/>
    <mergeCell ref="B95:F95"/>
    <mergeCell ref="G95:J95"/>
    <mergeCell ref="K95:M95"/>
    <mergeCell ref="B96:F96"/>
    <mergeCell ref="G96:J96"/>
    <mergeCell ref="K96:M96"/>
    <mergeCell ref="B97:F97"/>
    <mergeCell ref="C57:L57"/>
    <mergeCell ref="C58:L58"/>
    <mergeCell ref="C59:L59"/>
    <mergeCell ref="C60:L60"/>
    <mergeCell ref="C61:L61"/>
    <mergeCell ref="C62:L62"/>
    <mergeCell ref="G78:J78"/>
    <mergeCell ref="K78:M78"/>
    <mergeCell ref="B76:F76"/>
    <mergeCell ref="G76:J76"/>
    <mergeCell ref="K76:M76"/>
    <mergeCell ref="B77:F77"/>
    <mergeCell ref="G77:J77"/>
    <mergeCell ref="K77:M77"/>
    <mergeCell ref="B78:F78"/>
    <mergeCell ref="G81:J81"/>
    <mergeCell ref="K81:M81"/>
    <mergeCell ref="B79:F79"/>
    <mergeCell ref="G79:J79"/>
    <mergeCell ref="K79:M79"/>
    <mergeCell ref="B80:F80"/>
    <mergeCell ref="G80:J80"/>
    <mergeCell ref="K80:M80"/>
    <mergeCell ref="B81:F81"/>
    <mergeCell ref="B98:F98"/>
    <mergeCell ref="G98:J98"/>
    <mergeCell ref="K98:M98"/>
    <mergeCell ref="B99:F99"/>
    <mergeCell ref="G99:J99"/>
    <mergeCell ref="K99:M99"/>
    <mergeCell ref="BE33:BF33"/>
    <mergeCell ref="BE34:BF34"/>
    <mergeCell ref="AU35:BC35"/>
    <mergeCell ref="BE35:BF35"/>
    <mergeCell ref="BG35:BO35"/>
    <mergeCell ref="BE36:BF36"/>
    <mergeCell ref="BG36:BO36"/>
    <mergeCell ref="AU39:BC39"/>
    <mergeCell ref="AU40:BC40"/>
    <mergeCell ref="AU41:BC41"/>
    <mergeCell ref="AU42:BC42"/>
    <mergeCell ref="AU43:BC43"/>
    <mergeCell ref="AU44:BC44"/>
    <mergeCell ref="AU45:BC45"/>
    <mergeCell ref="AU46:BC46"/>
    <mergeCell ref="BG40:BO40"/>
    <mergeCell ref="BG41:BO41"/>
    <mergeCell ref="BG42:BO42"/>
    <mergeCell ref="BG43:BO43"/>
    <mergeCell ref="BG44:BO44"/>
    <mergeCell ref="BG45:BO45"/>
    <mergeCell ref="BG46:BO46"/>
    <mergeCell ref="AU36:BC36"/>
    <mergeCell ref="AU37:BC37"/>
    <mergeCell ref="BE37:BF37"/>
    <mergeCell ref="BG37:BO37"/>
    <mergeCell ref="AU38:BC38"/>
    <mergeCell ref="BG38:BO38"/>
    <mergeCell ref="BG39:BO39"/>
    <mergeCell ref="BE38:BF38"/>
    <mergeCell ref="BE39:BF39"/>
    <mergeCell ref="BE40:BF40"/>
    <mergeCell ref="BE41:BF41"/>
    <mergeCell ref="BE42:BF42"/>
    <mergeCell ref="BE43:BF43"/>
    <mergeCell ref="BE44:BF44"/>
    <mergeCell ref="BE45:BF45"/>
    <mergeCell ref="BE46:BF46"/>
    <mergeCell ref="AL48:BO48"/>
    <mergeCell ref="AL49:BO49"/>
    <mergeCell ref="AL50:BO50"/>
    <mergeCell ref="AL51:BO51"/>
    <mergeCell ref="AL52:BO52"/>
    <mergeCell ref="AL53:BO53"/>
    <mergeCell ref="AL54:BO54"/>
    <mergeCell ref="AL55:BO55"/>
    <mergeCell ref="AL56:BO56"/>
    <mergeCell ref="AL57:BO57"/>
    <mergeCell ref="AL58:BO58"/>
    <mergeCell ref="AL59:BO59"/>
    <mergeCell ref="AL60:BO60"/>
    <mergeCell ref="AL61:BO61"/>
    <mergeCell ref="AL62:BO62"/>
    <mergeCell ref="AL63:BO63"/>
    <mergeCell ref="AL64:BO64"/>
    <mergeCell ref="AL65:BO65"/>
    <mergeCell ref="AL66:BO66"/>
    <mergeCell ref="BB78:BO79"/>
    <mergeCell ref="AR79:AZ79"/>
    <mergeCell ref="BB81:BO82"/>
    <mergeCell ref="AR82:AZ82"/>
    <mergeCell ref="BB84:BO85"/>
    <mergeCell ref="AR85:AZ85"/>
    <mergeCell ref="BB87:BO88"/>
    <mergeCell ref="AR88:AZ88"/>
    <mergeCell ref="AL67:BO67"/>
    <mergeCell ref="AL68:BO68"/>
    <mergeCell ref="BB70:BH70"/>
    <mergeCell ref="AQ72:AZ72"/>
    <mergeCell ref="BB72:BO73"/>
    <mergeCell ref="AR73:AZ73"/>
    <mergeCell ref="BB75:BO76"/>
    <mergeCell ref="AR74:AZ74"/>
    <mergeCell ref="AR76:AZ76"/>
    <mergeCell ref="AR77:AZ77"/>
    <mergeCell ref="AR78:AZ78"/>
    <mergeCell ref="AR80:AZ80"/>
    <mergeCell ref="AR81:AZ81"/>
    <mergeCell ref="AR83:AZ83"/>
    <mergeCell ref="AR84:AZ84"/>
    <mergeCell ref="AR86:AZ86"/>
    <mergeCell ref="AR87:AZ87"/>
    <mergeCell ref="AR89:AZ89"/>
    <mergeCell ref="AR90:AZ90"/>
    <mergeCell ref="AR91:AZ91"/>
    <mergeCell ref="AR92:AZ92"/>
    <mergeCell ref="AR93:AZ93"/>
    <mergeCell ref="AR94:AZ94"/>
    <mergeCell ref="AR95:AZ95"/>
    <mergeCell ref="AR96:AZ96"/>
    <mergeCell ref="AR97:AZ97"/>
    <mergeCell ref="AR98:AZ98"/>
    <mergeCell ref="BB100:BO101"/>
    <mergeCell ref="AR99:AZ99"/>
    <mergeCell ref="AR101:AZ101"/>
    <mergeCell ref="AR102:AZ102"/>
    <mergeCell ref="AR103:AZ103"/>
    <mergeCell ref="AR104:AZ104"/>
    <mergeCell ref="AR105:AZ105"/>
    <mergeCell ref="AR106:AZ106"/>
    <mergeCell ref="J2:L2"/>
    <mergeCell ref="J3:L3"/>
    <mergeCell ref="R2:T2"/>
    <mergeCell ref="R3:T3"/>
    <mergeCell ref="AE2:AJ2"/>
    <mergeCell ref="AE3:AJ3"/>
    <mergeCell ref="B5:C5"/>
    <mergeCell ref="F5:G5"/>
    <mergeCell ref="V5:X5"/>
    <mergeCell ref="AD5:AJ5"/>
    <mergeCell ref="B6:D6"/>
    <mergeCell ref="F6:H6"/>
    <mergeCell ref="V6:X6"/>
    <mergeCell ref="Z6:AB6"/>
    <mergeCell ref="V3:X3"/>
    <mergeCell ref="AE4:AJ4"/>
    <mergeCell ref="B3:H3"/>
    <mergeCell ref="B8:D8"/>
    <mergeCell ref="O8:Q8"/>
    <mergeCell ref="V8:Y8"/>
    <mergeCell ref="O10:Q11"/>
    <mergeCell ref="O13:Q14"/>
    <mergeCell ref="S13:V14"/>
    <mergeCell ref="W13:X14"/>
    <mergeCell ref="Z13:AA14"/>
    <mergeCell ref="AB13:AB14"/>
    <mergeCell ref="B16:D16"/>
    <mergeCell ref="O16:Q16"/>
    <mergeCell ref="AD8:AF8"/>
    <mergeCell ref="S9:Y11"/>
    <mergeCell ref="Z9:AB11"/>
    <mergeCell ref="B22:N23"/>
    <mergeCell ref="P22:AB23"/>
    <mergeCell ref="E25:L25"/>
    <mergeCell ref="E26:L26"/>
    <mergeCell ref="O26:T26"/>
    <mergeCell ref="V26:X26"/>
    <mergeCell ref="E27:L27"/>
    <mergeCell ref="O27:T27"/>
    <mergeCell ref="AS1:BO29"/>
    <mergeCell ref="B2:H2"/>
    <mergeCell ref="N2:P2"/>
    <mergeCell ref="V2:X2"/>
    <mergeCell ref="N3:P3"/>
    <mergeCell ref="J4:T6"/>
    <mergeCell ref="AD6:AJ6"/>
    <mergeCell ref="V29:X29"/>
    <mergeCell ref="V31:X31"/>
    <mergeCell ref="AS31:BC31"/>
    <mergeCell ref="BE31:BO31"/>
    <mergeCell ref="BE32:BF32"/>
    <mergeCell ref="AU33:BC33"/>
    <mergeCell ref="BG33:BO33"/>
    <mergeCell ref="AU34:BC34"/>
    <mergeCell ref="BG34:BO34"/>
    <mergeCell ref="X44:Y44"/>
    <mergeCell ref="Z44:AA44"/>
    <mergeCell ref="T45:W45"/>
    <mergeCell ref="X45:Y45"/>
    <mergeCell ref="Z45:AA45"/>
    <mergeCell ref="T46:W46"/>
    <mergeCell ref="X46:Y46"/>
    <mergeCell ref="Z46:AA46"/>
    <mergeCell ref="E43:L43"/>
    <mergeCell ref="B45:R46"/>
    <mergeCell ref="B48:L48"/>
    <mergeCell ref="N48:X48"/>
    <mergeCell ref="C49:L49"/>
    <mergeCell ref="O49:X49"/>
    <mergeCell ref="O50:X50"/>
    <mergeCell ref="G113:J113"/>
    <mergeCell ref="K113:M113"/>
    <mergeCell ref="B110:F110"/>
    <mergeCell ref="G110:J110"/>
    <mergeCell ref="K110:M110"/>
    <mergeCell ref="B112:F112"/>
    <mergeCell ref="G112:J112"/>
    <mergeCell ref="K112:M112"/>
    <mergeCell ref="B113:F113"/>
    <mergeCell ref="G116:J116"/>
    <mergeCell ref="K116:M116"/>
    <mergeCell ref="B114:F114"/>
    <mergeCell ref="G114:J114"/>
    <mergeCell ref="K114:M114"/>
    <mergeCell ref="B115:F115"/>
    <mergeCell ref="G115:J115"/>
    <mergeCell ref="K115:M115"/>
    <mergeCell ref="B116:F116"/>
    <mergeCell ref="B88:F88"/>
    <mergeCell ref="G88:J88"/>
    <mergeCell ref="K88:M88"/>
    <mergeCell ref="G101:J101"/>
    <mergeCell ref="K101:M101"/>
    <mergeCell ref="B101:F101"/>
    <mergeCell ref="B102:F102"/>
    <mergeCell ref="G102:J102"/>
    <mergeCell ref="K102:M102"/>
    <mergeCell ref="B103:F103"/>
    <mergeCell ref="G103:J103"/>
    <mergeCell ref="K103:M103"/>
    <mergeCell ref="G106:J106"/>
    <mergeCell ref="K106:M106"/>
    <mergeCell ref="B104:F104"/>
    <mergeCell ref="G104:J104"/>
    <mergeCell ref="K104:M104"/>
    <mergeCell ref="B105:F105"/>
    <mergeCell ref="G105:J105"/>
    <mergeCell ref="K105:M105"/>
    <mergeCell ref="B106:F106"/>
    <mergeCell ref="G109:J109"/>
    <mergeCell ref="K109:M109"/>
    <mergeCell ref="B107:F107"/>
    <mergeCell ref="G107:J107"/>
    <mergeCell ref="K107:M107"/>
    <mergeCell ref="B108:F108"/>
    <mergeCell ref="G108:J108"/>
    <mergeCell ref="K108:M108"/>
    <mergeCell ref="B109:F109"/>
    <mergeCell ref="AR114:AZ114"/>
    <mergeCell ref="AR115:AZ115"/>
    <mergeCell ref="AR116:AZ116"/>
    <mergeCell ref="AR107:AZ107"/>
    <mergeCell ref="AR108:AZ108"/>
    <mergeCell ref="BB108:BO109"/>
    <mergeCell ref="AR109:AZ109"/>
    <mergeCell ref="AR110:AZ110"/>
    <mergeCell ref="AR112:AZ112"/>
    <mergeCell ref="AR113:AZ113"/>
  </mergeCells>
  <conditionalFormatting sqref="Z42:Z46 G76:G99 G101:G110 G112:G116">
    <cfRule type="containsText" dxfId="0" priority="1" operator="containsText" text="TRUE">
      <formula>NOT(ISERROR(SEARCH(("TRUE"),(Z42))))</formula>
    </cfRule>
  </conditionalFormatting>
  <conditionalFormatting sqref="Z42:Z46 G76:G99 G101:G110 G112:G116">
    <cfRule type="containsText" dxfId="1" priority="2" operator="containsText" text="FALSE">
      <formula>NOT(ISERROR(SEARCH(("FALSE"),(Z42))))</formula>
    </cfRule>
  </conditionalFormatting>
  <conditionalFormatting sqref="K77:M94">
    <cfRule type="cellIs" dxfId="0" priority="3" operator="equal">
      <formula>"ACTIVE"</formula>
    </cfRule>
  </conditionalFormatting>
  <conditionalFormatting sqref="K76:M94">
    <cfRule type="cellIs" dxfId="1" priority="4" operator="equal">
      <formula>"INACTIVE"</formula>
    </cfRule>
  </conditionalFormatting>
  <conditionalFormatting sqref="V33:X37 Z37:AB37 Z33:AB37">
    <cfRule type="containsText" dxfId="8" priority="5" operator="containsText" text="Custom Effect">
      <formula>NOT(ISERROR(SEARCH(("Custom Effect"),(V33))))</formula>
    </cfRule>
  </conditionalFormatting>
  <dataValidations>
    <dataValidation type="list" allowBlank="1" sqref="K76:K99 K101:K110 K112:K116">
      <formula1>"ACTIVE,INACTIVE"</formula1>
    </dataValidation>
    <dataValidation type="list" allowBlank="1" showErrorMessage="1" sqref="N26">
      <formula1>'Formula References'!$C$73:$C$94</formula1>
    </dataValidation>
    <dataValidation type="list" allowBlank="1" sqref="AE43:AE45">
      <formula1>"Artistry:,Craft:,Lore:,Perform:,Prof:"</formula1>
    </dataValidation>
    <dataValidation type="list" allowBlank="1" sqref="V38:V39 Z38:Z39 B112:B116">
      <formula1>'Formula References'!$A$237:$A$266</formula1>
    </dataValidation>
    <dataValidation type="list" allowBlank="1" sqref="G76:G99 G101:G110 G112:G116">
      <formula1>'Formula References'!$A$97:$A$111</formula1>
    </dataValidation>
    <dataValidation type="decimal" allowBlank="1" showInputMessage="1" prompt="Enter your weapon's critical damage multiplier (usually between 2 and 4)" sqref="Z26:Z31">
      <formula1>2.0</formula1>
      <formula2>7.0</formula2>
    </dataValidation>
    <dataValidation type="list" allowBlank="1" showDropDown="1" showInputMessage="1" prompt="0,Mwk,1,2,3,4,5" sqref="D42:D43">
      <formula1>"0,Mwk,1,2,3,4,5"</formula1>
    </dataValidation>
    <dataValidation type="list" allowBlank="1" sqref="AE3">
      <formula1>'Class Charts'!$S$10:$S$99</formula1>
    </dataValidation>
    <dataValidation type="list" allowBlank="1" sqref="M36">
      <formula1>"_,Slow and Steady (ignore Encumbrance/Heavy/Medium),Armor Training II (ignore Heavy/Medium),Armor Training I (ignore Medium)"</formula1>
    </dataValidation>
    <dataValidation type="list" allowBlank="1" sqref="M43">
      <formula1>'Formula References'!$A$199:$A$207</formula1>
    </dataValidation>
    <dataValidation type="list" allowBlank="1" sqref="AE2">
      <formula1>'Class Charts'!$R$10:$R$248</formula1>
    </dataValidation>
    <dataValidation type="list" allowBlank="1" sqref="N30">
      <formula1>'Formula References'!$O$73:$O$94</formula1>
    </dataValidation>
    <dataValidation type="list" allowBlank="1" sqref="N28">
      <formula1>'Formula References'!$I$73:$I$94</formula1>
    </dataValidation>
    <dataValidation type="list" allowBlank="1" showDropDown="1" showInputMessage="1" prompt="Press 'Enter' to see dropdown with full list of options" sqref="X42">
      <formula1>"Saves,AC,NatAC"</formula1>
    </dataValidation>
    <dataValidation type="list" allowBlank="1" showDropDown="1" showInputMessage="1" prompt="The Enhancement Bonus of this weapon or attack. Typical values include &quot;Mwk&quot;, 1, 2, 3, 4, or 5. If you are wielding an epic weapon, you might have a 6 or higher here!" sqref="D26:D31">
      <formula1>"0,Masterwork,1,2,3,4,5"</formula1>
    </dataValidation>
    <dataValidation type="list" allowBlank="1" sqref="N27">
      <formula1>'Formula References'!$F$73:$F$94</formula1>
    </dataValidation>
    <dataValidation type="list" allowBlank="1" showInputMessage="1" prompt="Click and enter a value from range 'Formula References'!A97:A111" sqref="Z42:Z46">
      <formula1>'Formula References'!$A$97:$A$111</formula1>
    </dataValidation>
    <dataValidation type="list" allowBlank="1" sqref="M26:M31">
      <formula1>'Formula References'!$A$45:$A$69</formula1>
    </dataValidation>
    <dataValidation type="list" allowBlank="1" sqref="M42">
      <formula1>'Formula References'!$A$150:$A$196</formula1>
    </dataValidation>
    <dataValidation type="list" allowBlank="1" sqref="N42">
      <formula1>'Formula References'!$K$201:$K$224</formula1>
    </dataValidation>
    <dataValidation type="list" allowBlank="1" sqref="V8">
      <formula1>'Formula References'!$H$3:$M$3</formula1>
    </dataValidation>
    <dataValidation type="list" allowBlank="1" sqref="AE4">
      <formula1>'Class Charts'!$T$10:$T$99</formula1>
    </dataValidation>
    <dataValidation type="list" allowBlank="1" showDropDown="1" showInputMessage="1" prompt="&quot;Saves&quot;, &quot;AC&quot;, or &quot;NatAC&quot; (Natural Armor)" sqref="X43:X46">
      <formula1>"Saves,AC,NatAC"</formula1>
    </dataValidation>
    <dataValidation type="list" allowBlank="1" sqref="V2">
      <formula1>'Formula References'!$B$114:$D$114</formula1>
    </dataValidation>
    <dataValidation type="list" allowBlank="1" sqref="N43">
      <formula1>'Formula References'!$L$201:$L$224</formula1>
    </dataValidation>
    <dataValidation type="list" allowBlank="1" sqref="N29">
      <formula1>'Formula References'!$L$73:$L$94</formula1>
    </dataValidation>
    <dataValidation type="list" allowBlank="1" sqref="N31">
      <formula1>'Formula References'!$R$73:$R$94</formula1>
    </dataValidation>
    <dataValidation type="list" allowBlank="1" sqref="AD2:AD4">
      <formula1>'Class Charts'!$P$9:$P$22</formula1>
    </dataValidation>
  </dataValidations>
  <printOptions horizontalCentered="1"/>
  <pageMargins bottom="0.75" footer="0.0" header="0.0" left="0.25" right="0.25" top="0.75"/>
  <pageSetup scale="69"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232"/>
    <outlinePr summaryBelow="0" summaryRight="0"/>
  </sheetPr>
  <sheetViews>
    <sheetView showGridLines="0" workbookViewId="0"/>
  </sheetViews>
  <sheetFormatPr customHeight="1" defaultColWidth="12.63" defaultRowHeight="15.75"/>
  <cols>
    <col customWidth="1" min="1" max="93" width="2.5"/>
    <col customWidth="1" hidden="1" min="94" max="94" width="2.5"/>
    <col customWidth="1" hidden="1" min="95" max="95" width="7.75"/>
    <col customWidth="1" hidden="1" min="96" max="96" width="14.5"/>
    <col customWidth="1" hidden="1" min="97" max="99" width="7.75"/>
  </cols>
  <sheetData>
    <row r="1" ht="3.0" customHeight="1">
      <c r="A1" s="47"/>
      <c r="B1" s="50"/>
      <c r="C1" s="50"/>
      <c r="D1" s="50"/>
      <c r="E1" s="50"/>
      <c r="F1" s="50"/>
      <c r="G1" s="50"/>
      <c r="H1" s="50"/>
      <c r="I1" s="50"/>
      <c r="J1" s="50"/>
      <c r="K1" s="50"/>
      <c r="L1" s="50"/>
      <c r="M1" s="50"/>
      <c r="N1" s="50"/>
      <c r="O1" s="50"/>
      <c r="P1" s="47"/>
      <c r="Q1" s="50"/>
      <c r="R1" s="50"/>
      <c r="S1" s="50"/>
      <c r="T1" s="50"/>
      <c r="U1" s="50"/>
      <c r="V1" s="50"/>
      <c r="W1" s="50"/>
      <c r="X1" s="50"/>
      <c r="Y1" s="50"/>
      <c r="Z1" s="55"/>
      <c r="AA1" s="55"/>
      <c r="AB1" s="55"/>
      <c r="AC1" s="55"/>
      <c r="AD1" s="55"/>
      <c r="AE1" s="55"/>
      <c r="AF1" s="55"/>
      <c r="AG1" s="55"/>
      <c r="AH1" s="55"/>
      <c r="AI1" s="55"/>
      <c r="AJ1" s="55"/>
      <c r="AK1" s="55"/>
      <c r="AL1" s="55"/>
      <c r="AM1" s="55"/>
      <c r="AN1" s="55"/>
      <c r="AO1" s="55"/>
      <c r="AP1" s="55"/>
      <c r="AQ1" s="55"/>
      <c r="AR1" s="55"/>
      <c r="AS1" s="55"/>
      <c r="AT1" s="55"/>
      <c r="AU1" s="55"/>
      <c r="AV1" s="55"/>
      <c r="AW1" s="59"/>
      <c r="AX1" s="59"/>
      <c r="AY1" s="59"/>
      <c r="AZ1" s="59"/>
      <c r="BA1" s="59"/>
      <c r="BB1" s="59"/>
      <c r="BC1" s="59"/>
      <c r="BD1" s="59"/>
      <c r="BE1" s="59"/>
      <c r="BF1" s="55"/>
      <c r="BG1" s="55"/>
      <c r="BH1" s="55"/>
      <c r="BI1" s="55"/>
      <c r="BJ1" s="55"/>
      <c r="BK1" s="55"/>
      <c r="BL1" s="55"/>
      <c r="BM1" s="55"/>
      <c r="CJ1" s="59"/>
      <c r="CK1" s="59"/>
      <c r="CL1" s="59"/>
      <c r="CM1" s="59"/>
      <c r="CN1" s="59"/>
      <c r="CO1" s="59"/>
      <c r="CP1" s="59"/>
      <c r="CQ1" s="59"/>
      <c r="CR1" s="55"/>
      <c r="CS1" s="55"/>
      <c r="CT1" s="55"/>
      <c r="CU1" s="59"/>
    </row>
    <row r="2" ht="16.5" customHeight="1">
      <c r="A2" s="64"/>
      <c r="B2" s="66" t="s">
        <v>45</v>
      </c>
      <c r="C2" s="67"/>
      <c r="D2" s="67"/>
      <c r="E2" s="67"/>
      <c r="F2" s="67"/>
      <c r="G2" s="67"/>
      <c r="H2" s="67"/>
      <c r="I2" s="67"/>
      <c r="J2" s="67"/>
      <c r="K2" s="67"/>
      <c r="L2" s="67"/>
      <c r="M2" s="67"/>
      <c r="N2" s="67"/>
      <c r="O2" s="69"/>
      <c r="P2" s="73"/>
      <c r="Q2" s="73"/>
      <c r="R2" s="73"/>
      <c r="S2" s="73"/>
      <c r="T2" s="73"/>
      <c r="U2" s="73"/>
      <c r="V2" s="73"/>
      <c r="W2" s="73"/>
      <c r="X2" s="73"/>
      <c r="Y2" s="73"/>
      <c r="Z2" s="73"/>
      <c r="AA2" s="73"/>
      <c r="AB2" s="73"/>
      <c r="AC2" s="73"/>
      <c r="AD2" s="73"/>
      <c r="AE2" s="73"/>
      <c r="AF2" s="73"/>
      <c r="AG2" s="73"/>
      <c r="AH2" s="78" t="s">
        <v>49</v>
      </c>
      <c r="AI2" s="80"/>
      <c r="AJ2" s="80"/>
      <c r="AK2" s="80"/>
      <c r="AL2" s="80"/>
      <c r="AM2" s="80"/>
      <c r="AN2" s="80"/>
      <c r="AO2" s="80"/>
      <c r="AP2" s="80"/>
      <c r="AQ2" s="80"/>
      <c r="AR2" s="80"/>
      <c r="AS2" s="80"/>
      <c r="AT2" s="80"/>
      <c r="AU2" s="80"/>
      <c r="AV2" s="84" t="str">
        <f>IF(istext($BY$3),$BY$3&amp;" lbs",)</f>
        <v>0 / 0 lbs</v>
      </c>
      <c r="AW2" s="87"/>
      <c r="AX2" s="89" t="s">
        <v>51</v>
      </c>
      <c r="AY2" s="90"/>
      <c r="AZ2" s="91"/>
      <c r="BA2" s="91"/>
      <c r="BB2" s="91"/>
      <c r="BC2" s="91"/>
      <c r="BD2" s="91"/>
      <c r="BE2" s="91"/>
      <c r="BF2" s="91"/>
      <c r="BG2" s="91"/>
      <c r="BH2" s="91"/>
      <c r="BI2" s="91"/>
      <c r="BJ2" s="91"/>
      <c r="BK2" s="91"/>
      <c r="BL2" s="84" t="str">
        <f>IF(istext($BY$4),$BY$4&amp;" lbs",)</f>
        <v/>
      </c>
      <c r="BM2" s="93"/>
      <c r="BN2" s="94" t="s">
        <v>54</v>
      </c>
      <c r="BO2" s="23"/>
      <c r="BP2" s="23"/>
      <c r="BQ2" s="23"/>
      <c r="BR2" s="23"/>
      <c r="BS2" s="94"/>
      <c r="BT2" s="98" t="s">
        <v>55</v>
      </c>
      <c r="BU2" s="23"/>
      <c r="BV2" s="23"/>
      <c r="BW2" s="23"/>
      <c r="BX2" s="23"/>
      <c r="BY2" s="98" t="s">
        <v>57</v>
      </c>
      <c r="BZ2" s="23"/>
      <c r="CA2" s="23"/>
      <c r="CB2" s="23"/>
      <c r="CC2" s="104" t="s">
        <v>60</v>
      </c>
      <c r="CD2" s="67"/>
      <c r="CE2" s="67"/>
      <c r="CF2" s="67"/>
      <c r="CG2" s="67"/>
      <c r="CH2" s="67"/>
      <c r="CI2" s="69"/>
      <c r="CJ2" s="106"/>
      <c r="CK2" s="59"/>
      <c r="CL2" s="59"/>
      <c r="CM2" s="59"/>
      <c r="CN2" s="59"/>
      <c r="CO2" s="59"/>
      <c r="CP2" s="59"/>
      <c r="CQ2" s="93"/>
      <c r="CR2" s="108" t="s">
        <v>67</v>
      </c>
      <c r="CS2" s="23"/>
      <c r="CT2" s="24"/>
      <c r="CU2" s="110"/>
    </row>
    <row r="3" ht="16.5" customHeight="1">
      <c r="A3" s="64"/>
      <c r="B3" s="111"/>
      <c r="C3" s="114"/>
      <c r="D3" s="114"/>
      <c r="E3" s="114"/>
      <c r="F3" s="114"/>
      <c r="G3" s="114"/>
      <c r="H3" s="114"/>
      <c r="I3" s="114"/>
      <c r="J3" s="114"/>
      <c r="K3" s="114"/>
      <c r="L3" s="114"/>
      <c r="M3" s="114"/>
      <c r="N3" s="114"/>
      <c r="O3" s="68"/>
      <c r="P3" s="73"/>
      <c r="Q3" s="118" t="s">
        <v>71</v>
      </c>
      <c r="R3" s="23"/>
      <c r="S3" s="24"/>
      <c r="T3" s="121"/>
      <c r="U3" s="23"/>
      <c r="V3" s="23"/>
      <c r="W3" s="23"/>
      <c r="X3" s="23"/>
      <c r="Y3" s="23"/>
      <c r="Z3" s="23"/>
      <c r="AA3" s="23"/>
      <c r="AB3" s="23"/>
      <c r="AC3" s="23"/>
      <c r="AD3" s="23"/>
      <c r="AE3" s="23"/>
      <c r="AF3" s="24"/>
      <c r="AG3" s="64"/>
      <c r="AH3" s="123" t="s">
        <v>79</v>
      </c>
      <c r="AI3" s="23"/>
      <c r="AJ3" s="134" t="str">
        <f>iferror(
IF('Main Sheet'!D5="F","Fine",
IF('Main Sheet'!D5="D","Diminutive",
IF('Main Sheet'!D5="T","Tiny",
IF('Main Sheet'!D5="S","Small",
IF('Main Sheet'!D5="M","Medium",
IF('Main Sheet'!D5="L","Large",
IF('Main Sheet'!D5="H","Huge",
IF('Main Sheet'!D5="G","Gargantuan",
IF('Main Sheet'!D5="C","Colossal"))))))))),"")</f>
        <v>Medium</v>
      </c>
      <c r="AK3" s="23"/>
      <c r="AL3" s="23"/>
      <c r="AM3" s="136" t="s">
        <v>57</v>
      </c>
      <c r="AN3" s="23"/>
      <c r="AO3" s="23"/>
      <c r="AP3" s="23"/>
      <c r="AQ3" s="139" t="s">
        <v>89</v>
      </c>
      <c r="AR3" s="23"/>
      <c r="AS3" s="144" t="s">
        <v>91</v>
      </c>
      <c r="AT3" s="23"/>
      <c r="AU3" s="146" t="s">
        <v>95</v>
      </c>
      <c r="AV3" s="24"/>
      <c r="AW3" s="87"/>
      <c r="AX3" s="123" t="s">
        <v>79</v>
      </c>
      <c r="AY3" s="23"/>
      <c r="AZ3" s="134" t="str">
        <f>IFERROR(__xludf.DUMMYFUNCTION("iferror(
IF(IMPORTRANGE($T3,""'Main Sheet'!D5"")=""F"",""Fine"",
IF(IMPORTRANGE($T3,""'Main Sheet'!D5"")=""D"",""Diminutive"",
IF(IMPORTRANGE($T3,""'Main Sheet'!D5"")=""T"",""Tiny"",
IF(IMPORTRANGE($T3,""'Main Sheet'!D5"")=""S"",""Small"",
IF(IMPORTRANGE("&amp;"$T3,""'Main Sheet'!D5"")=""M"",""Medium"",
IF(IMPORTRANGE($T3,""'Main Sheet'!D5"")=""L"",""Large"",
IF(IMPORTRANGE($T3,""'Main Sheet'!D5"")=""H"",""Huge"",
IF(IMPORTRANGE($T3,""'Main Sheet'!D5"")=""G"",""Gargantuan"",
IF(IMPORTRANGE($T3,""'Main Sheet'!D5"&amp;""")=""C"",""Colossal""))))))))))"),"")</f>
        <v/>
      </c>
      <c r="BA3" s="23"/>
      <c r="BB3" s="23"/>
      <c r="BC3" s="136" t="s">
        <v>57</v>
      </c>
      <c r="BD3" s="23"/>
      <c r="BE3" s="23"/>
      <c r="BF3" s="23"/>
      <c r="BG3" s="151" t="s">
        <v>89</v>
      </c>
      <c r="BH3" s="23"/>
      <c r="BI3" s="152" t="s">
        <v>91</v>
      </c>
      <c r="BJ3" s="23"/>
      <c r="BK3" s="153" t="s">
        <v>95</v>
      </c>
      <c r="BL3" s="24"/>
      <c r="BM3" s="93"/>
      <c r="BN3" s="165" t="s">
        <v>104</v>
      </c>
      <c r="BO3" s="166"/>
      <c r="BP3" s="166"/>
      <c r="BQ3" s="166"/>
      <c r="BR3" s="166"/>
      <c r="BS3" s="166"/>
      <c r="BT3" s="168"/>
      <c r="BU3" s="166"/>
      <c r="BV3" s="166"/>
      <c r="BW3" s="166"/>
      <c r="BX3" s="166"/>
      <c r="BY3" s="174" t="str">
        <f>IFERROR(__xludf.DUMMYFUNCTION("if(
if(istext($BN$3), iferror(SUM(FILTER(if(arrayformula(isnumber($BJ$10:$BJ$63)),ARRAYFORMULA($BN$10:$BN$63*$BJ$10:$BJ$63),ARRAYFORMULA($BN$10:$BN$63)),BL$10:BL$63 = $BT3))&gt;AM$4*2),),
if(istext($BN$3), iferror(SUM(FILTER(if(arrayformula(isnumber($BJ$10:$"&amp;"BJ$63)),ARRAYFORMULA($BN$10:$BN$63*$BJ$10:$BJ$63),ARRAYFORMULA($BN$10:$BN$63)),BL$10:BL$63 = $BT3))&amp;"" / ""&amp;AM$4*3),),
if(
if(istext($BN$3), iferror(SUM(FILTER(if(arrayformula(isnumber($BJ$10:$BJ$63)),ARRAYFORMULA($BN$10:$BN$63*$BJ$10:$BJ$63),ARRAYFORMUL"&amp;"A($BN$10:$BN$63)),BL$10:BL$63 = $BT3))&gt;AM$4),),
if(istext($BN$3), iferror(SUM(FILTER(if(arrayformula(isnumber($BJ$10:$BJ$63)),ARRAYFORMULA($BN$10:$BN$63*$BJ$10:$BJ$63),ARRAYFORMULA($BN$10:$BN$63)),BL$10:BL$63 = $BT3))&amp;"" / ""&amp;AM$4*2),),
if(istext($BN$3),"&amp;" iferror(SUM(FILTER(if(arrayformula(isnumber($BJ$10:$BJ$63)),ARRAYFORMULA($BN$10:$BN$63*$BJ$10:$BJ$63),ARRAYFORMULA($BN$10:$BN$63)),BL$10:BL$63 = $BT3))&amp;"" / ""&amp;AM$4),)))"),"0 / 0")</f>
        <v>0 / 0</v>
      </c>
      <c r="BZ3" s="175"/>
      <c r="CA3" s="175"/>
      <c r="CB3" s="175"/>
      <c r="CC3" s="168" t="str">
        <f>IFERROR(__xludf.DUMMYFUNCTION("iferror(if(SUM(FILTER(if(arrayformula(isnumber($BJ$10:$BJ$63)),ARRAYFORMULA($BN$10:$BN$63*$BJ$10:$BJ$63),ARRAYFORMULA($BN$10:$BN$63)),$BL$10:$BL$63 = BT3))&lt;$AM$4,""Light Encumbrance"",
if(SUM(FILTER(if(arrayformula(isnumber($BJ$10:$BJ$63)),ARRAYFORMULA($B"&amp;"N$10:$BN$63*$BJ$10:$BJ$63),ARRAYFORMULA($BN$10:$BN$63)),$BL$10:$BL$63 = BT3))&lt;$AM$4*2,""Medium Encumbrance"",
if(SUM(FILTER(if(arrayformula(isnumber($BJ$10:$BJ$63)),ARRAYFORMULA($BN$10:$BN$63*$BJ$10:$BJ$63),ARRAYFORMULA($BN$10:$BN$63)),$BL$10:$BL$63 = BT3"&amp;"))&lt;$AM$4*3,""Heavy Encumbrance"",
if(SUM(FILTER(if(arrayformula(isnumber($BJ$10:$BJ$63)),ARRAYFORMULA($BN$10:$BN$63*$BJ$10:$BJ$63),ARRAYFORMULA($BN$10:$BN$63)),$BL$10:$BL$63 = BT3))&gt;$AM$4*3,""Overencumbered"",)))))"),"")</f>
        <v/>
      </c>
      <c r="CD3" s="166"/>
      <c r="CE3" s="166"/>
      <c r="CF3" s="166"/>
      <c r="CG3" s="166"/>
      <c r="CH3" s="166"/>
      <c r="CI3" s="183"/>
      <c r="CJ3" s="110"/>
      <c r="CK3" s="59"/>
      <c r="CL3" s="59"/>
      <c r="CM3" s="59"/>
      <c r="CN3" s="59"/>
      <c r="CO3" s="59"/>
      <c r="CP3" s="59"/>
      <c r="CQ3" s="93"/>
      <c r="CR3" s="185" t="s">
        <v>125</v>
      </c>
      <c r="CS3" s="185" t="s">
        <v>128</v>
      </c>
      <c r="CT3" s="185" t="s">
        <v>57</v>
      </c>
      <c r="CU3" s="110"/>
    </row>
    <row r="4" ht="16.5" customHeight="1">
      <c r="A4" s="64"/>
      <c r="B4" s="187" t="s">
        <v>129</v>
      </c>
      <c r="L4" s="187"/>
      <c r="M4" s="187"/>
      <c r="N4" s="187"/>
      <c r="O4" s="187"/>
      <c r="P4" s="189"/>
      <c r="Q4" s="189"/>
      <c r="R4" s="189"/>
      <c r="S4" s="189"/>
      <c r="T4" s="189"/>
      <c r="U4" s="189"/>
      <c r="V4" s="189"/>
      <c r="W4" s="189"/>
      <c r="X4" s="192" t="s">
        <v>132</v>
      </c>
      <c r="Y4" s="195"/>
      <c r="Z4" s="198"/>
      <c r="AA4" s="201" t="s">
        <v>120</v>
      </c>
      <c r="AB4" s="198"/>
      <c r="AC4" s="201" t="s">
        <v>137</v>
      </c>
      <c r="AD4" s="198"/>
      <c r="AE4" s="201" t="s">
        <v>138</v>
      </c>
      <c r="AF4" s="64"/>
      <c r="AG4" s="64"/>
      <c r="AH4" s="202" t="s">
        <v>139</v>
      </c>
      <c r="AI4" s="23"/>
      <c r="AJ4" s="23"/>
      <c r="AK4" s="23"/>
      <c r="AL4" s="23"/>
      <c r="AM4" s="205">
        <f>int(AM6/3)</f>
        <v>0</v>
      </c>
      <c r="AN4" s="23"/>
      <c r="AO4" s="23"/>
      <c r="AP4" s="206"/>
      <c r="AQ4" s="207"/>
      <c r="AR4" s="23"/>
      <c r="AS4" s="209"/>
      <c r="AU4" s="210"/>
      <c r="AV4" s="24"/>
      <c r="AW4" s="87"/>
      <c r="AX4" s="211" t="s">
        <v>139</v>
      </c>
      <c r="AY4" s="23"/>
      <c r="AZ4" s="23"/>
      <c r="BA4" s="23"/>
      <c r="BB4" s="23"/>
      <c r="BC4" s="205">
        <f>int(BC6/3)</f>
        <v>0</v>
      </c>
      <c r="BD4" s="23"/>
      <c r="BE4" s="23"/>
      <c r="BF4" s="206"/>
      <c r="BG4" s="214"/>
      <c r="BH4" s="23"/>
      <c r="BI4" s="217"/>
      <c r="BJ4" s="23"/>
      <c r="BK4" s="219"/>
      <c r="BL4" s="24"/>
      <c r="BM4" s="93"/>
      <c r="BN4" s="221" t="s">
        <v>146</v>
      </c>
      <c r="BO4" s="222"/>
      <c r="BP4" s="222"/>
      <c r="BQ4" s="222"/>
      <c r="BR4" s="222"/>
      <c r="BS4" s="222"/>
      <c r="BT4" s="223" t="s">
        <v>147</v>
      </c>
      <c r="BU4" s="222"/>
      <c r="BV4" s="222"/>
      <c r="BW4" s="222"/>
      <c r="BX4" s="222"/>
      <c r="BY4" s="226" t="str">
        <f>IFERROR(__xludf.DUMMYFUNCTION("if(
if(istext($BN$3), iferror(SUM(FILTER(if(arrayformula(isnumber($BJ$10:$BJ$63)),ARRAYFORMULA($BN$10:$BN$63*$BJ$10:$BJ$63),ARRAYFORMULA($BN$10:$BN$63)),BL$10:BL$63 = $BT4))&gt;BC$4*2),),
if(istext($BN$3), iferror(SUM(FILTER(if(arrayformula(isnumber($BJ$10:$"&amp;"BJ$63)),ARRAYFORMULA($BN$10:$BN$63*$BJ$10:$BJ$63),ARRAYFORMULA($BN$10:$BN$63)),BL$10:BL$63 = $BT4))&amp;"" / ""&amp;BC$4*3),),
if(
if(istext($BN$3), iferror(SUM(FILTER(if(arrayformula(isnumber($BJ$10:$BJ$63)),ARRAYFORMULA($BN$10:$BN$63*$BJ$10:$BJ$63),ARRAYFORMUL"&amp;"A($BN$10:$BN$63)),BL$10:BL$63 = $BT4))&gt;BC$4),),
if(istext($BN$3), iferror(SUM(FILTER(if(arrayformula(isnumber($BJ$10:$BJ$63)),ARRAYFORMULA($BN$10:$BN$63*$BJ$10:$BJ$63),ARRAYFORMULA($BN$10:$BN$63)),BL$10:BL$63 = $BT4))&amp;"" / ""&amp;BC$4*2),),
if(istext($BN$3),"&amp;" iferror(SUM(FILTER(if(arrayformula(isnumber($BJ$10:$BJ$63)),ARRAYFORMULA($BN$10:$BN$63*$BJ$10:$BJ$63),ARRAYFORMULA($BN$10:$BN$63)),BL$10:BL$63 = $BT4))&amp;"" / ""&amp;BC$4),)))"),"")</f>
        <v/>
      </c>
      <c r="BZ4" s="222"/>
      <c r="CA4" s="222"/>
      <c r="CB4" s="222"/>
      <c r="CC4" s="232" t="str">
        <f>IFERROR(__xludf.DUMMYFUNCTION("iferror(if(SUM(FILTER(if(arrayformula(isnumber($BJ$10:$BJ$63)),ARRAYFORMULA($BN$10:$BN$63*$BJ$10:$BJ$63),ARRAYFORMULA($BN$10:$BN$63)),$BL$10:$BL$63 = BT4))&lt;$BC$4,""Light Encumbrance"",
if(SUM(FILTER(if(arrayformula(isnumber($BJ$10:$BJ$63)),ARRAYFORMULA($B"&amp;"N$10:$BN$63*$BJ$10:$BJ$63),ARRAYFORMULA($BN$10:$BN$63)),$BL$10:$BL$63 = BT4))&lt;$BC$4*2,""Medium Encumbrance"",
if(SUM(FILTER(if(arrayformula(isnumber($BJ$10:$BJ$63)),ARRAYFORMULA($BN$10:$BN$63*$BJ$10:$BJ$63),ARRAYFORMULA($BN$10:$BN$63)),$BL$10:$BL$63 = BT4"&amp;"))&lt;$BC$4*3,""Heavy Encumbrance"",
if(SUM(FILTER(if(arrayformula(isnumber($BJ$10:$BJ$63)),ARRAYFORMULA($BN$10:$BN$63*$BJ$10:$BJ$63),ARRAYFORMULA($BN$10:$BN$63)),$BL$10:$BL$63 = BT4))&gt;$BC$4*3,""Overencumbered"",)))))"),"")</f>
        <v/>
      </c>
      <c r="CD4" s="234"/>
      <c r="CE4" s="234"/>
      <c r="CF4" s="234"/>
      <c r="CG4" s="234"/>
      <c r="CH4" s="234"/>
      <c r="CI4" s="236"/>
      <c r="CJ4" s="110"/>
      <c r="CK4" s="59"/>
      <c r="CL4" s="59"/>
      <c r="CM4" s="59"/>
      <c r="CN4" s="59"/>
      <c r="CO4" s="59"/>
      <c r="CP4" s="59"/>
      <c r="CQ4" s="93"/>
      <c r="CR4" s="238" t="s">
        <v>154</v>
      </c>
      <c r="CS4" s="238">
        <v>5.0</v>
      </c>
      <c r="CT4" s="238">
        <v>100.0</v>
      </c>
      <c r="CU4" s="110"/>
    </row>
    <row r="5" ht="16.5" customHeight="1">
      <c r="A5" s="64"/>
      <c r="B5" s="98" t="s">
        <v>156</v>
      </c>
      <c r="C5" s="23"/>
      <c r="D5" s="23"/>
      <c r="E5" s="23"/>
      <c r="F5" s="240"/>
      <c r="G5" s="242">
        <v>880000.0</v>
      </c>
      <c r="H5" s="23"/>
      <c r="I5" s="23"/>
      <c r="J5" s="23"/>
      <c r="K5" s="247" t="s">
        <v>157</v>
      </c>
      <c r="L5" s="248"/>
      <c r="M5" s="253" t="str">
        <f>HYPERLINK("https://docs.google.com/spreadsheets/d/1rWBgTIy3lCH1-l5D29KfuyMGgP0MWEyleF5Fxeiddyg/copy","CLICK HERE 
TO COPY")</f>
        <v>CLICK HERE 
TO COPY</v>
      </c>
      <c r="N5" s="256"/>
      <c r="O5" s="256"/>
      <c r="P5" s="35"/>
      <c r="Q5" s="73"/>
      <c r="R5" s="261" t="str">
        <f>IFERROR(__xludf.DUMMYFUNCTION("iferror(regexextract(IMPORTRANGE($T2,""'Main Sheet'!B2""),""\w+""))"),"")</f>
        <v/>
      </c>
      <c r="S5" s="23"/>
      <c r="T5" s="23"/>
      <c r="U5" s="23"/>
      <c r="V5" s="23"/>
      <c r="W5" s="23"/>
      <c r="X5" s="267">
        <f t="shared" ref="X5:X6" si="1">if(isnumber(AA5),SUM(AA5:AC5),)*AE5</f>
        <v>0</v>
      </c>
      <c r="Y5" s="24"/>
      <c r="Z5" s="268" t="s">
        <v>171</v>
      </c>
      <c r="AA5" s="271">
        <f>'Main Sheet'!F9</f>
        <v>10</v>
      </c>
      <c r="AB5" s="268" t="s">
        <v>175</v>
      </c>
      <c r="AC5" s="238"/>
      <c r="AD5" s="275" t="s">
        <v>176</v>
      </c>
      <c r="AE5" s="238" t="str">
        <f>IFERROR(__xludf.DUMMYFUNCTION("iferror(IMPORTRANGE($T2,""'Main Sheet'!BR31""))"),"")</f>
        <v/>
      </c>
      <c r="AF5" s="64"/>
      <c r="AG5" s="64"/>
      <c r="AH5" s="202" t="s">
        <v>180</v>
      </c>
      <c r="AI5" s="23"/>
      <c r="AJ5" s="23"/>
      <c r="AK5" s="23"/>
      <c r="AL5" s="23"/>
      <c r="AM5" s="205">
        <f>int(AM6*2/3)</f>
        <v>0</v>
      </c>
      <c r="AN5" s="23"/>
      <c r="AO5" s="23"/>
      <c r="AP5" s="206"/>
      <c r="AQ5" s="277" t="s">
        <v>183</v>
      </c>
      <c r="AR5" s="23"/>
      <c r="AS5" s="207">
        <v>-3.0</v>
      </c>
      <c r="AT5" s="23"/>
      <c r="AU5" s="210" t="s">
        <v>187</v>
      </c>
      <c r="AV5" s="24"/>
      <c r="AW5" s="87"/>
      <c r="AX5" s="211" t="s">
        <v>180</v>
      </c>
      <c r="AY5" s="23"/>
      <c r="AZ5" s="23"/>
      <c r="BA5" s="23"/>
      <c r="BB5" s="23"/>
      <c r="BC5" s="205">
        <f>int(BC6*2/3)</f>
        <v>0</v>
      </c>
      <c r="BD5" s="23"/>
      <c r="BE5" s="23"/>
      <c r="BF5" s="206"/>
      <c r="BG5" s="282" t="s">
        <v>183</v>
      </c>
      <c r="BH5" s="23"/>
      <c r="BI5" s="284">
        <v>-3.0</v>
      </c>
      <c r="BJ5" s="23"/>
      <c r="BK5" s="285" t="s">
        <v>187</v>
      </c>
      <c r="BL5" s="24"/>
      <c r="BM5" s="93"/>
      <c r="BN5" s="287"/>
      <c r="BO5" s="222"/>
      <c r="BP5" s="222"/>
      <c r="BQ5" s="222"/>
      <c r="BR5" s="222"/>
      <c r="BS5" s="222"/>
      <c r="BT5" s="223"/>
      <c r="BU5" s="222"/>
      <c r="BV5" s="222"/>
      <c r="BW5" s="222"/>
      <c r="BX5" s="222"/>
      <c r="BY5" s="226" t="str">
        <f>IFERROR(__xludf.DUMMYFUNCTION("if(istext($BN$5), iferror(SUM(FILTER(if(arrayformula(isnumber($BJ$10:$BJ$63)),ARRAYFORMULA($BN$10:$BN$63*$BJ$10:$BJ$63),ARRAYFORMULA($BN$10:$BN$63)),BL$10:BL$63 = $BT$5))&amp;"" / ""&amp;vlookup( $BN$5,CR4:CT18,3,false)),)"),"")</f>
        <v/>
      </c>
      <c r="BZ5" s="222"/>
      <c r="CA5" s="222"/>
      <c r="CB5" s="291"/>
      <c r="CC5" s="107" t="s">
        <v>201</v>
      </c>
      <c r="CO5" s="59"/>
      <c r="CP5" s="59"/>
      <c r="CQ5" s="93"/>
      <c r="CR5" s="238" t="s">
        <v>202</v>
      </c>
      <c r="CS5" s="238">
        <v>15.0</v>
      </c>
      <c r="CT5" s="238">
        <v>250.0</v>
      </c>
      <c r="CU5" s="110"/>
    </row>
    <row r="6" ht="16.5" customHeight="1">
      <c r="A6" s="64"/>
      <c r="B6" s="98" t="s">
        <v>204</v>
      </c>
      <c r="C6" s="23"/>
      <c r="D6" s="23"/>
      <c r="E6" s="23"/>
      <c r="F6" s="24"/>
      <c r="G6" s="302">
        <f t="array" ref="G6">G5-SUM(if(isnumber(B10:C63),B10:C63,1)*N10:O63,
     if(isnumber(AH10:AI29),AH10:AI29,1)*BG10:BH29,
     if(isnumber(AH33:AI48),AH33:AI48,1)*BG33:BH48,
     if(isnumber(AH52:AI63),AH52:AI63,1)*BG52:BH63,
     if(isnumber(BJ10:BK63),BJ10:BK63,1)*CM10:CN63,
     AE10:AF22,AE26:AF63)</f>
        <v>880000</v>
      </c>
      <c r="H6" s="23"/>
      <c r="I6" s="23"/>
      <c r="J6" s="23"/>
      <c r="K6" s="304" t="s">
        <v>157</v>
      </c>
      <c r="L6" s="248"/>
      <c r="M6" s="77"/>
      <c r="N6" s="307"/>
      <c r="O6" s="307"/>
      <c r="P6" s="82"/>
      <c r="Q6" s="73"/>
      <c r="R6" s="261" t="str">
        <f>IFERROR(__xludf.DUMMYFUNCTION("iferror(regexextract(IMPORTRANGE(T3,""'Main Sheet'!B2""),""\w+""))"),"")</f>
        <v/>
      </c>
      <c r="S6" s="23"/>
      <c r="T6" s="23"/>
      <c r="U6" s="23"/>
      <c r="V6" s="23"/>
      <c r="W6" s="23"/>
      <c r="X6" s="267">
        <f t="shared" si="1"/>
        <v>0</v>
      </c>
      <c r="Y6" s="24"/>
      <c r="Z6" s="268" t="s">
        <v>171</v>
      </c>
      <c r="AA6" s="271" t="str">
        <f>IFERROR(__xludf.DUMMYFUNCTION("iferror(IMPORTRANGE($T3,""'Main Sheet'!F9""))"),"")</f>
        <v/>
      </c>
      <c r="AB6" s="268" t="s">
        <v>175</v>
      </c>
      <c r="AC6" s="238"/>
      <c r="AD6" s="275" t="s">
        <v>176</v>
      </c>
      <c r="AE6" s="308"/>
      <c r="AF6" s="64"/>
      <c r="AG6" s="64"/>
      <c r="AH6" s="202" t="s">
        <v>236</v>
      </c>
      <c r="AI6" s="23"/>
      <c r="AJ6" s="23"/>
      <c r="AK6" s="23"/>
      <c r="AL6" s="23"/>
      <c r="AM6" s="205">
        <f>PRODUCT(
  if(isnumber(AE5),AE5,1),
  If(X5&lt;10,
    10*X5,
    Choose(1+X5-10*rounddown(X5/10,0),
           100, 115, 130, 150, 175, 200, 230, 260, 300, 350
          )*POWER(4,rounddown(X5/10,0)-1)),
iferror(VLOOKUP(Size,SizeTable,7,false),""))</f>
        <v>0</v>
      </c>
      <c r="AN6" s="23"/>
      <c r="AO6" s="23"/>
      <c r="AP6" s="206"/>
      <c r="AQ6" s="277" t="s">
        <v>243</v>
      </c>
      <c r="AR6" s="23"/>
      <c r="AS6" s="207">
        <v>-6.0</v>
      </c>
      <c r="AT6" s="23"/>
      <c r="AU6" s="210" t="s">
        <v>245</v>
      </c>
      <c r="AV6" s="24"/>
      <c r="AW6" s="110"/>
      <c r="AX6" s="211" t="s">
        <v>236</v>
      </c>
      <c r="AY6" s="23"/>
      <c r="AZ6" s="23"/>
      <c r="BA6" s="23"/>
      <c r="BB6" s="23"/>
      <c r="BC6" s="205">
        <f>IFERROR(__xludf.DUMMYFUNCTION("PRODUCT(
  if(isnumber(AE6),AE6,1),
  If(X6&lt;10,
    10*X6,
    Choose(1+X6-10*rounddown(X6/10),
           100, 115, 130, 150, 175, 200, 230, 260, 300, 350
          )*POWER(4,rounddown(X6/10)-1)),
iferror(VLOOKUP(IMPORTRANGE($T3,""Size""),IMPORTRANGE($T3"&amp;",""SizeTable""),7,false)))"),0.0)</f>
        <v>0</v>
      </c>
      <c r="BD6" s="23"/>
      <c r="BE6" s="23"/>
      <c r="BF6" s="206"/>
      <c r="BG6" s="282" t="s">
        <v>243</v>
      </c>
      <c r="BH6" s="23"/>
      <c r="BI6" s="284">
        <v>-6.0</v>
      </c>
      <c r="BJ6" s="23"/>
      <c r="BK6" s="285" t="s">
        <v>245</v>
      </c>
      <c r="BL6" s="24"/>
      <c r="BM6" s="59"/>
      <c r="BN6" s="322"/>
      <c r="BO6" s="234"/>
      <c r="BP6" s="234"/>
      <c r="BQ6" s="234"/>
      <c r="BR6" s="234"/>
      <c r="BS6" s="234"/>
      <c r="BT6" s="323"/>
      <c r="BU6" s="234"/>
      <c r="BV6" s="234"/>
      <c r="BW6" s="234"/>
      <c r="BX6" s="234"/>
      <c r="BY6" s="232" t="str">
        <f>IFERROR(__xludf.DUMMYFUNCTION("if(istext($BN$6), iferror(SUM(FILTER(if(arrayformula(isnumber($BJ$10:$BJ$63)),ARRAYFORMULA($BN$10:$BN$63*$BJ$10:$BJ$63),ARRAYFORMULA($BN$10:$BN$63)),BL$10:BL$63 = $BT$6))&amp;"" / ""&amp;vlookup( $BN$6,$CS$44:$CU$49,3,false)),)"),"")</f>
        <v/>
      </c>
      <c r="BZ6" s="234"/>
      <c r="CA6" s="234"/>
      <c r="CB6" s="236"/>
      <c r="CC6" s="325"/>
      <c r="CD6" s="325"/>
      <c r="CE6" s="325"/>
      <c r="CF6" s="325"/>
      <c r="CG6" s="325"/>
      <c r="CH6" s="325"/>
      <c r="CI6" s="325"/>
      <c r="CJ6" s="325"/>
      <c r="CK6" s="325"/>
      <c r="CL6" s="325"/>
      <c r="CM6" s="325"/>
      <c r="CN6" s="325"/>
      <c r="CO6" s="59"/>
      <c r="CP6" s="59"/>
      <c r="CQ6" s="93"/>
      <c r="CR6" s="238" t="s">
        <v>255</v>
      </c>
      <c r="CS6" s="238">
        <v>25.0</v>
      </c>
      <c r="CT6" s="238">
        <v>500.0</v>
      </c>
      <c r="CU6" s="110"/>
    </row>
    <row r="7" ht="16.5" customHeight="1">
      <c r="A7" s="47"/>
      <c r="B7" s="55"/>
      <c r="C7" s="328"/>
      <c r="D7" s="330"/>
      <c r="E7" s="55"/>
      <c r="F7" s="55"/>
      <c r="G7" s="55"/>
      <c r="H7" s="55"/>
      <c r="I7" s="55"/>
      <c r="J7" s="55"/>
      <c r="K7" s="55"/>
      <c r="L7" s="55"/>
      <c r="M7" s="55"/>
      <c r="N7" s="55"/>
      <c r="O7" s="55"/>
      <c r="P7" s="331"/>
      <c r="Q7" s="331"/>
      <c r="R7" s="332"/>
      <c r="S7" s="59"/>
      <c r="T7" s="59"/>
      <c r="U7" s="59"/>
      <c r="V7" s="59"/>
      <c r="W7" s="59"/>
      <c r="X7" s="59"/>
      <c r="Y7" s="59"/>
      <c r="Z7" s="59"/>
      <c r="AA7" s="59"/>
      <c r="AB7" s="59"/>
      <c r="AC7" s="59"/>
      <c r="AD7" s="59"/>
      <c r="AE7" s="59"/>
      <c r="AF7" s="59"/>
      <c r="AG7" s="59"/>
      <c r="AH7" s="59"/>
      <c r="AI7" s="334"/>
      <c r="AJ7" s="59"/>
      <c r="AK7" s="59"/>
      <c r="AL7" s="59"/>
      <c r="AM7" s="59"/>
      <c r="AN7" s="59"/>
      <c r="AO7" s="59"/>
      <c r="AP7" s="59"/>
      <c r="AQ7" s="59"/>
      <c r="AR7" s="59"/>
      <c r="AS7" s="59"/>
      <c r="AT7" s="59"/>
      <c r="AU7" s="59"/>
      <c r="AV7" s="59"/>
      <c r="AW7" s="59"/>
      <c r="AX7" s="59"/>
      <c r="AY7" s="59"/>
      <c r="AZ7" s="59"/>
      <c r="BA7" s="59"/>
      <c r="BB7" s="59"/>
      <c r="BC7" s="59"/>
      <c r="BD7" s="59"/>
      <c r="BE7" s="59"/>
      <c r="BF7" s="59"/>
      <c r="BG7" s="59"/>
      <c r="BH7" s="59"/>
      <c r="BI7" s="59"/>
      <c r="BJ7" s="59"/>
      <c r="BK7" s="334"/>
      <c r="BL7" s="59"/>
      <c r="BM7" s="59"/>
      <c r="BN7" s="59"/>
      <c r="BO7" s="59"/>
      <c r="BP7" s="59"/>
      <c r="BQ7" s="59"/>
      <c r="BR7" s="59"/>
      <c r="BS7" s="59"/>
      <c r="BT7" s="59"/>
      <c r="BU7" s="59"/>
      <c r="BV7" s="59"/>
      <c r="BW7" s="59"/>
      <c r="BX7" s="59"/>
      <c r="BY7" s="59"/>
      <c r="BZ7" s="59"/>
      <c r="CA7" s="59"/>
      <c r="CB7" s="59"/>
      <c r="CC7" s="59"/>
      <c r="CD7" s="59"/>
      <c r="CE7" s="59"/>
      <c r="CF7" s="59"/>
      <c r="CG7" s="59"/>
      <c r="CH7" s="59"/>
      <c r="CI7" s="59"/>
      <c r="CJ7" s="59"/>
      <c r="CK7" s="59"/>
      <c r="CL7" s="59"/>
      <c r="CM7" s="55"/>
      <c r="CN7" s="55"/>
      <c r="CO7" s="59"/>
      <c r="CP7" s="59"/>
      <c r="CQ7" s="93"/>
      <c r="CR7" s="238" t="s">
        <v>265</v>
      </c>
      <c r="CS7" s="238">
        <v>35.0</v>
      </c>
      <c r="CT7" s="238">
        <v>1000.0</v>
      </c>
      <c r="CU7" s="110"/>
    </row>
    <row r="8" ht="16.5" customHeight="1">
      <c r="A8" s="335"/>
      <c r="B8" s="336" t="s">
        <v>267</v>
      </c>
      <c r="C8" s="23"/>
      <c r="D8" s="23"/>
      <c r="E8" s="23"/>
      <c r="F8" s="23"/>
      <c r="G8" s="23"/>
      <c r="H8" s="23"/>
      <c r="I8" s="23"/>
      <c r="J8" s="23"/>
      <c r="K8" s="23"/>
      <c r="L8" s="23"/>
      <c r="M8" s="23"/>
      <c r="N8" s="23"/>
      <c r="O8" s="24"/>
      <c r="P8" s="337"/>
      <c r="Q8" s="338" t="s">
        <v>270</v>
      </c>
      <c r="R8" s="23"/>
      <c r="S8" s="23"/>
      <c r="T8" s="23"/>
      <c r="U8" s="23"/>
      <c r="V8" s="23"/>
      <c r="W8" s="23"/>
      <c r="X8" s="23"/>
      <c r="Y8" s="23"/>
      <c r="Z8" s="23"/>
      <c r="AA8" s="23"/>
      <c r="AB8" s="23"/>
      <c r="AC8" s="23"/>
      <c r="AD8" s="23"/>
      <c r="AE8" s="23"/>
      <c r="AF8" s="24"/>
      <c r="AG8" s="64"/>
      <c r="AH8" s="341" t="str">
        <f>hyperlink("http://www.d20pfsrd.com/equipment/weapons/alchemical-weapons/","Alchemical Weapons")</f>
        <v>Alchemical Weapons</v>
      </c>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4"/>
      <c r="BI8" s="343"/>
      <c r="BJ8" s="338" t="s">
        <v>278</v>
      </c>
      <c r="BK8" s="23"/>
      <c r="BL8" s="23"/>
      <c r="BM8" s="23"/>
      <c r="BN8" s="23"/>
      <c r="BO8" s="23"/>
      <c r="BP8" s="23"/>
      <c r="BQ8" s="23"/>
      <c r="BR8" s="23"/>
      <c r="BS8" s="23"/>
      <c r="BT8" s="23"/>
      <c r="BU8" s="23"/>
      <c r="BV8" s="23"/>
      <c r="BW8" s="23"/>
      <c r="BX8" s="23"/>
      <c r="BY8" s="23"/>
      <c r="BZ8" s="23"/>
      <c r="CA8" s="23"/>
      <c r="CB8" s="23"/>
      <c r="CC8" s="23"/>
      <c r="CD8" s="23"/>
      <c r="CE8" s="23"/>
      <c r="CF8" s="23"/>
      <c r="CG8" s="23"/>
      <c r="CH8" s="23"/>
      <c r="CI8" s="23"/>
      <c r="CJ8" s="23"/>
      <c r="CK8" s="23"/>
      <c r="CL8" s="24"/>
      <c r="CM8" s="345"/>
      <c r="CN8" s="345"/>
      <c r="CO8" s="73"/>
      <c r="CP8" s="59"/>
      <c r="CQ8" s="93"/>
      <c r="CR8" s="238" t="s">
        <v>281</v>
      </c>
      <c r="CS8" s="238">
        <v>60.0</v>
      </c>
      <c r="CT8" s="238">
        <v>1500.0</v>
      </c>
      <c r="CU8" s="110"/>
    </row>
    <row r="9" ht="16.5" customHeight="1">
      <c r="A9" s="335"/>
      <c r="B9" s="346" t="s">
        <v>283</v>
      </c>
      <c r="C9" s="67"/>
      <c r="D9" s="347" t="s">
        <v>125</v>
      </c>
      <c r="E9" s="67"/>
      <c r="F9" s="67"/>
      <c r="G9" s="67"/>
      <c r="H9" s="67"/>
      <c r="I9" s="67"/>
      <c r="J9" s="67"/>
      <c r="K9" s="67"/>
      <c r="L9" s="67"/>
      <c r="M9" s="67"/>
      <c r="N9" s="347" t="s">
        <v>287</v>
      </c>
      <c r="O9" s="69"/>
      <c r="P9" s="348"/>
      <c r="Q9" s="350" t="s">
        <v>289</v>
      </c>
      <c r="R9" s="67"/>
      <c r="S9" s="69"/>
      <c r="T9" s="347" t="s">
        <v>125</v>
      </c>
      <c r="U9" s="67"/>
      <c r="V9" s="67"/>
      <c r="W9" s="67"/>
      <c r="X9" s="67"/>
      <c r="Y9" s="67"/>
      <c r="Z9" s="67"/>
      <c r="AA9" s="67"/>
      <c r="AB9" s="67"/>
      <c r="AC9" s="67"/>
      <c r="AD9" s="69"/>
      <c r="AE9" s="353" t="s">
        <v>287</v>
      </c>
      <c r="AF9" s="24"/>
      <c r="AG9" s="64"/>
      <c r="AH9" s="357" t="s">
        <v>283</v>
      </c>
      <c r="AI9" s="24"/>
      <c r="AJ9" s="358" t="s">
        <v>125</v>
      </c>
      <c r="AK9" s="23"/>
      <c r="AL9" s="23"/>
      <c r="AM9" s="23"/>
      <c r="AN9" s="23"/>
      <c r="AO9" s="23"/>
      <c r="AP9" s="23"/>
      <c r="AQ9" s="24"/>
      <c r="AR9" s="360" t="s">
        <v>298</v>
      </c>
      <c r="AS9" s="23"/>
      <c r="AT9" s="23"/>
      <c r="AU9" s="23"/>
      <c r="AV9" s="23"/>
      <c r="AW9" s="23"/>
      <c r="AX9" s="23"/>
      <c r="AY9" s="23"/>
      <c r="AZ9" s="23"/>
      <c r="BA9" s="23"/>
      <c r="BB9" s="23"/>
      <c r="BC9" s="23"/>
      <c r="BD9" s="23"/>
      <c r="BE9" s="24"/>
      <c r="BF9" s="361" t="s">
        <v>300</v>
      </c>
      <c r="BG9" s="353" t="s">
        <v>287</v>
      </c>
      <c r="BH9" s="24"/>
      <c r="BI9" s="343"/>
      <c r="BJ9" s="346" t="s">
        <v>283</v>
      </c>
      <c r="BK9" s="69"/>
      <c r="BL9" s="363" t="s">
        <v>302</v>
      </c>
      <c r="BM9" s="69"/>
      <c r="BN9" s="347" t="s">
        <v>128</v>
      </c>
      <c r="BO9" s="67"/>
      <c r="BP9" s="347" t="s">
        <v>125</v>
      </c>
      <c r="BQ9" s="67"/>
      <c r="BR9" s="67"/>
      <c r="BS9" s="67"/>
      <c r="BT9" s="67"/>
      <c r="BU9" s="67"/>
      <c r="BV9" s="67"/>
      <c r="BW9" s="67"/>
      <c r="BX9" s="365" t="s">
        <v>298</v>
      </c>
      <c r="BY9" s="67"/>
      <c r="BZ9" s="67"/>
      <c r="CA9" s="67"/>
      <c r="CB9" s="67"/>
      <c r="CC9" s="67"/>
      <c r="CD9" s="67"/>
      <c r="CE9" s="67"/>
      <c r="CF9" s="67"/>
      <c r="CG9" s="67"/>
      <c r="CH9" s="67"/>
      <c r="CI9" s="67"/>
      <c r="CJ9" s="67"/>
      <c r="CK9" s="67"/>
      <c r="CL9" s="69"/>
      <c r="CM9" s="347" t="s">
        <v>287</v>
      </c>
      <c r="CN9" s="69"/>
      <c r="CO9" s="64"/>
      <c r="CP9" s="59"/>
      <c r="CQ9" s="93"/>
      <c r="CR9" s="238" t="s">
        <v>308</v>
      </c>
      <c r="CS9" s="238">
        <v>0.0</v>
      </c>
      <c r="CT9" s="238" t="s">
        <v>309</v>
      </c>
      <c r="CU9" s="110"/>
    </row>
    <row r="10" ht="16.5" customHeight="1">
      <c r="A10" s="64"/>
      <c r="B10" s="370"/>
      <c r="C10" s="166"/>
      <c r="D10" s="371"/>
      <c r="E10" s="373"/>
      <c r="F10" s="166"/>
      <c r="G10" s="166"/>
      <c r="H10" s="166"/>
      <c r="I10" s="166"/>
      <c r="J10" s="166"/>
      <c r="K10" s="166"/>
      <c r="L10" s="166"/>
      <c r="M10" s="166"/>
      <c r="N10" s="370"/>
      <c r="O10" s="183"/>
      <c r="P10" s="376"/>
      <c r="Q10" s="377" t="s">
        <v>315</v>
      </c>
      <c r="R10" s="166"/>
      <c r="S10" s="183"/>
      <c r="T10" s="378" t="str">
        <f>'Main Sheet'!BG33</f>
        <v/>
      </c>
      <c r="U10" s="166"/>
      <c r="V10" s="166"/>
      <c r="W10" s="166"/>
      <c r="X10" s="166"/>
      <c r="Y10" s="166"/>
      <c r="Z10" s="166"/>
      <c r="AA10" s="166"/>
      <c r="AB10" s="166"/>
      <c r="AC10" s="166"/>
      <c r="AD10" s="183"/>
      <c r="AE10" s="379"/>
      <c r="AF10" s="380"/>
      <c r="AG10" s="73"/>
      <c r="AH10" s="370"/>
      <c r="AI10" s="183"/>
      <c r="AJ10" s="382"/>
      <c r="AK10" s="175"/>
      <c r="AL10" s="175"/>
      <c r="AM10" s="175"/>
      <c r="AN10" s="175"/>
      <c r="AO10" s="175"/>
      <c r="AP10" s="175"/>
      <c r="AQ10" s="380"/>
      <c r="AR10" s="384"/>
      <c r="AS10" s="175"/>
      <c r="AT10" s="175"/>
      <c r="AU10" s="175"/>
      <c r="AV10" s="175"/>
      <c r="AW10" s="175"/>
      <c r="AX10" s="175"/>
      <c r="AY10" s="175"/>
      <c r="AZ10" s="175"/>
      <c r="BA10" s="175"/>
      <c r="BB10" s="175"/>
      <c r="BC10" s="175"/>
      <c r="BD10" s="175"/>
      <c r="BE10" s="380"/>
      <c r="BF10" s="386"/>
      <c r="BG10" s="388"/>
      <c r="BH10" s="380"/>
      <c r="BI10" s="392"/>
      <c r="BJ10" s="371"/>
      <c r="BK10" s="183"/>
      <c r="BL10" s="370"/>
      <c r="BM10" s="183"/>
      <c r="BN10" s="397"/>
      <c r="BO10" s="183"/>
      <c r="BP10" s="398"/>
      <c r="BQ10" s="166"/>
      <c r="BR10" s="166"/>
      <c r="BS10" s="166"/>
      <c r="BT10" s="166"/>
      <c r="BU10" s="166"/>
      <c r="BV10" s="166"/>
      <c r="BW10" s="183"/>
      <c r="BX10" s="399"/>
      <c r="BY10" s="166"/>
      <c r="BZ10" s="166"/>
      <c r="CA10" s="166"/>
      <c r="CB10" s="166"/>
      <c r="CC10" s="166"/>
      <c r="CD10" s="166"/>
      <c r="CE10" s="166"/>
      <c r="CF10" s="166"/>
      <c r="CG10" s="166"/>
      <c r="CH10" s="166"/>
      <c r="CI10" s="166"/>
      <c r="CJ10" s="166"/>
      <c r="CK10" s="166"/>
      <c r="CL10" s="183"/>
      <c r="CM10" s="371"/>
      <c r="CN10" s="183"/>
      <c r="CO10" s="64"/>
      <c r="CP10" s="59"/>
      <c r="CQ10" s="93"/>
      <c r="CR10" s="402" t="s">
        <v>344</v>
      </c>
      <c r="CS10" s="238">
        <v>0.0</v>
      </c>
      <c r="CT10" s="238">
        <v>500.0</v>
      </c>
      <c r="CU10" s="110"/>
    </row>
    <row r="11" ht="16.5" customHeight="1">
      <c r="A11" s="64"/>
      <c r="B11" s="405"/>
      <c r="C11" s="222"/>
      <c r="D11" s="406"/>
      <c r="E11" s="407"/>
      <c r="F11" s="222"/>
      <c r="G11" s="222"/>
      <c r="H11" s="222"/>
      <c r="I11" s="222"/>
      <c r="J11" s="222"/>
      <c r="K11" s="222"/>
      <c r="L11" s="222"/>
      <c r="M11" s="222"/>
      <c r="N11" s="408"/>
      <c r="O11" s="291"/>
      <c r="P11" s="376"/>
      <c r="Q11" s="409" t="s">
        <v>353</v>
      </c>
      <c r="R11" s="222"/>
      <c r="S11" s="291"/>
      <c r="T11" s="411" t="str">
        <f>'Main Sheet'!BG34</f>
        <v/>
      </c>
      <c r="U11" s="222"/>
      <c r="V11" s="222"/>
      <c r="W11" s="222"/>
      <c r="X11" s="222"/>
      <c r="Y11" s="222"/>
      <c r="Z11" s="222"/>
      <c r="AA11" s="222"/>
      <c r="AB11" s="222"/>
      <c r="AC11" s="222"/>
      <c r="AD11" s="291"/>
      <c r="AE11" s="412"/>
      <c r="AF11" s="291"/>
      <c r="AG11" s="73"/>
      <c r="AH11" s="405"/>
      <c r="AI11" s="291"/>
      <c r="AJ11" s="415"/>
      <c r="AK11" s="222"/>
      <c r="AL11" s="222"/>
      <c r="AM11" s="222"/>
      <c r="AN11" s="222"/>
      <c r="AO11" s="222"/>
      <c r="AP11" s="222"/>
      <c r="AQ11" s="291"/>
      <c r="AR11" s="416"/>
      <c r="AS11" s="222"/>
      <c r="AT11" s="222"/>
      <c r="AU11" s="222"/>
      <c r="AV11" s="222"/>
      <c r="AW11" s="222"/>
      <c r="AX11" s="222"/>
      <c r="AY11" s="222"/>
      <c r="AZ11" s="222"/>
      <c r="BA11" s="222"/>
      <c r="BB11" s="222"/>
      <c r="BC11" s="222"/>
      <c r="BD11" s="222"/>
      <c r="BE11" s="291"/>
      <c r="BF11" s="418"/>
      <c r="BG11" s="419"/>
      <c r="BH11" s="291"/>
      <c r="BI11" s="392"/>
      <c r="BJ11" s="406"/>
      <c r="BK11" s="291"/>
      <c r="BL11" s="405"/>
      <c r="BM11" s="291"/>
      <c r="BN11" s="406"/>
      <c r="BO11" s="291"/>
      <c r="BP11" s="420"/>
      <c r="BQ11" s="222"/>
      <c r="BR11" s="222"/>
      <c r="BS11" s="222"/>
      <c r="BT11" s="222"/>
      <c r="BU11" s="222"/>
      <c r="BV11" s="222"/>
      <c r="BW11" s="291"/>
      <c r="BX11" s="421"/>
      <c r="BY11" s="222"/>
      <c r="BZ11" s="222"/>
      <c r="CA11" s="222"/>
      <c r="CB11" s="222"/>
      <c r="CC11" s="222"/>
      <c r="CD11" s="222"/>
      <c r="CE11" s="222"/>
      <c r="CF11" s="222"/>
      <c r="CG11" s="222"/>
      <c r="CH11" s="222"/>
      <c r="CI11" s="222"/>
      <c r="CJ11" s="222"/>
      <c r="CK11" s="222"/>
      <c r="CL11" s="291"/>
      <c r="CM11" s="406"/>
      <c r="CN11" s="291"/>
      <c r="CO11" s="64"/>
      <c r="CP11" s="59"/>
      <c r="CQ11" s="93"/>
      <c r="CR11" s="423"/>
      <c r="CS11" s="423"/>
      <c r="CT11" s="423"/>
      <c r="CU11" s="110"/>
    </row>
    <row r="12">
      <c r="A12" s="64"/>
      <c r="B12" s="405"/>
      <c r="C12" s="222"/>
      <c r="D12" s="406"/>
      <c r="E12" s="407"/>
      <c r="F12" s="222"/>
      <c r="G12" s="222"/>
      <c r="H12" s="222"/>
      <c r="I12" s="222"/>
      <c r="J12" s="222"/>
      <c r="K12" s="222"/>
      <c r="L12" s="222"/>
      <c r="M12" s="222"/>
      <c r="N12" s="408"/>
      <c r="O12" s="291"/>
      <c r="P12" s="376"/>
      <c r="Q12" s="409" t="s">
        <v>385</v>
      </c>
      <c r="R12" s="222"/>
      <c r="S12" s="291"/>
      <c r="T12" s="411" t="str">
        <f>'Main Sheet'!BG35</f>
        <v/>
      </c>
      <c r="U12" s="222"/>
      <c r="V12" s="222"/>
      <c r="W12" s="222"/>
      <c r="X12" s="222"/>
      <c r="Y12" s="222"/>
      <c r="Z12" s="222"/>
      <c r="AA12" s="222"/>
      <c r="AB12" s="222"/>
      <c r="AC12" s="222"/>
      <c r="AD12" s="291"/>
      <c r="AE12" s="412"/>
      <c r="AF12" s="291"/>
      <c r="AG12" s="73"/>
      <c r="AH12" s="405"/>
      <c r="AI12" s="291"/>
      <c r="AJ12" s="415"/>
      <c r="AK12" s="222"/>
      <c r="AL12" s="222"/>
      <c r="AM12" s="222"/>
      <c r="AN12" s="222"/>
      <c r="AO12" s="222"/>
      <c r="AP12" s="222"/>
      <c r="AQ12" s="291"/>
      <c r="AR12" s="416"/>
      <c r="AS12" s="222"/>
      <c r="AT12" s="222"/>
      <c r="AU12" s="222"/>
      <c r="AV12" s="222"/>
      <c r="AW12" s="222"/>
      <c r="AX12" s="222"/>
      <c r="AY12" s="222"/>
      <c r="AZ12" s="222"/>
      <c r="BA12" s="222"/>
      <c r="BB12" s="222"/>
      <c r="BC12" s="222"/>
      <c r="BD12" s="222"/>
      <c r="BE12" s="291"/>
      <c r="BF12" s="418"/>
      <c r="BG12" s="419"/>
      <c r="BH12" s="291"/>
      <c r="BI12" s="426"/>
      <c r="BJ12" s="406"/>
      <c r="BK12" s="291"/>
      <c r="BL12" s="405"/>
      <c r="BM12" s="291"/>
      <c r="BN12" s="406"/>
      <c r="BO12" s="291"/>
      <c r="BP12" s="420"/>
      <c r="BQ12" s="222"/>
      <c r="BR12" s="222"/>
      <c r="BS12" s="222"/>
      <c r="BT12" s="222"/>
      <c r="BU12" s="222"/>
      <c r="BV12" s="222"/>
      <c r="BW12" s="291"/>
      <c r="BX12" s="421"/>
      <c r="BY12" s="222"/>
      <c r="BZ12" s="222"/>
      <c r="CA12" s="222"/>
      <c r="CB12" s="222"/>
      <c r="CC12" s="222"/>
      <c r="CD12" s="222"/>
      <c r="CE12" s="222"/>
      <c r="CF12" s="222"/>
      <c r="CG12" s="222"/>
      <c r="CH12" s="222"/>
      <c r="CI12" s="222"/>
      <c r="CJ12" s="222"/>
      <c r="CK12" s="222"/>
      <c r="CL12" s="291"/>
      <c r="CM12" s="406"/>
      <c r="CN12" s="291"/>
      <c r="CO12" s="73"/>
      <c r="CP12" s="59"/>
      <c r="CQ12" s="93"/>
      <c r="CR12" s="423"/>
      <c r="CS12" s="423"/>
      <c r="CT12" s="423"/>
      <c r="CU12" s="110"/>
    </row>
    <row r="13">
      <c r="A13" s="64"/>
      <c r="B13" s="408"/>
      <c r="C13" s="222"/>
      <c r="D13" s="406"/>
      <c r="E13" s="407"/>
      <c r="F13" s="222"/>
      <c r="G13" s="222"/>
      <c r="H13" s="222"/>
      <c r="I13" s="222"/>
      <c r="J13" s="222"/>
      <c r="K13" s="222"/>
      <c r="L13" s="222"/>
      <c r="M13" s="222"/>
      <c r="N13" s="408"/>
      <c r="O13" s="291"/>
      <c r="P13" s="376"/>
      <c r="Q13" s="409" t="s">
        <v>411</v>
      </c>
      <c r="R13" s="222"/>
      <c r="S13" s="291"/>
      <c r="T13" s="411" t="str">
        <f>'Main Sheet'!BG36</f>
        <v/>
      </c>
      <c r="U13" s="222"/>
      <c r="V13" s="222"/>
      <c r="W13" s="222"/>
      <c r="X13" s="222"/>
      <c r="Y13" s="222"/>
      <c r="Z13" s="222"/>
      <c r="AA13" s="222"/>
      <c r="AB13" s="222"/>
      <c r="AC13" s="222"/>
      <c r="AD13" s="291"/>
      <c r="AE13" s="412"/>
      <c r="AF13" s="291"/>
      <c r="AG13" s="73"/>
      <c r="AH13" s="405"/>
      <c r="AI13" s="291"/>
      <c r="AJ13" s="429"/>
      <c r="AK13" s="222"/>
      <c r="AL13" s="222"/>
      <c r="AM13" s="222"/>
      <c r="AN13" s="222"/>
      <c r="AO13" s="222"/>
      <c r="AP13" s="222"/>
      <c r="AQ13" s="291"/>
      <c r="AR13" s="416"/>
      <c r="AS13" s="222"/>
      <c r="AT13" s="222"/>
      <c r="AU13" s="222"/>
      <c r="AV13" s="222"/>
      <c r="AW13" s="222"/>
      <c r="AX13" s="222"/>
      <c r="AY13" s="222"/>
      <c r="AZ13" s="222"/>
      <c r="BA13" s="222"/>
      <c r="BB13" s="222"/>
      <c r="BC13" s="222"/>
      <c r="BD13" s="222"/>
      <c r="BE13" s="291"/>
      <c r="BF13" s="418"/>
      <c r="BG13" s="419"/>
      <c r="BH13" s="291"/>
      <c r="BI13" s="426"/>
      <c r="BJ13" s="406"/>
      <c r="BK13" s="222"/>
      <c r="BL13" s="405"/>
      <c r="BM13" s="222"/>
      <c r="BN13" s="406"/>
      <c r="BO13" s="222"/>
      <c r="BP13" s="420"/>
      <c r="BQ13" s="222"/>
      <c r="BR13" s="222"/>
      <c r="BS13" s="222"/>
      <c r="BT13" s="222"/>
      <c r="BU13" s="222"/>
      <c r="BV13" s="222"/>
      <c r="BW13" s="222"/>
      <c r="BX13" s="421"/>
      <c r="BY13" s="222"/>
      <c r="BZ13" s="222"/>
      <c r="CA13" s="222"/>
      <c r="CB13" s="222"/>
      <c r="CC13" s="222"/>
      <c r="CD13" s="222"/>
      <c r="CE13" s="222"/>
      <c r="CF13" s="222"/>
      <c r="CG13" s="222"/>
      <c r="CH13" s="222"/>
      <c r="CI13" s="222"/>
      <c r="CJ13" s="222"/>
      <c r="CK13" s="222"/>
      <c r="CL13" s="222"/>
      <c r="CM13" s="406"/>
      <c r="CN13" s="291"/>
      <c r="CO13" s="73"/>
      <c r="CP13" s="59"/>
      <c r="CQ13" s="93"/>
      <c r="CR13" s="423"/>
      <c r="CS13" s="423"/>
      <c r="CT13" s="423"/>
      <c r="CU13" s="110"/>
    </row>
    <row r="14">
      <c r="A14" s="64"/>
      <c r="B14" s="405"/>
      <c r="C14" s="222"/>
      <c r="D14" s="406"/>
      <c r="E14" s="407"/>
      <c r="F14" s="222"/>
      <c r="G14" s="222"/>
      <c r="H14" s="222"/>
      <c r="I14" s="222"/>
      <c r="J14" s="222"/>
      <c r="K14" s="222"/>
      <c r="L14" s="222"/>
      <c r="M14" s="222"/>
      <c r="N14" s="405"/>
      <c r="O14" s="291"/>
      <c r="P14" s="376"/>
      <c r="Q14" s="409" t="s">
        <v>433</v>
      </c>
      <c r="R14" s="222"/>
      <c r="S14" s="291"/>
      <c r="T14" s="411" t="str">
        <f>'Main Sheet'!BG37</f>
        <v/>
      </c>
      <c r="U14" s="222"/>
      <c r="V14" s="222"/>
      <c r="W14" s="222"/>
      <c r="X14" s="222"/>
      <c r="Y14" s="222"/>
      <c r="Z14" s="222"/>
      <c r="AA14" s="222"/>
      <c r="AB14" s="222"/>
      <c r="AC14" s="222"/>
      <c r="AD14" s="291"/>
      <c r="AE14" s="412"/>
      <c r="AF14" s="291"/>
      <c r="AG14" s="73"/>
      <c r="AH14" s="405"/>
      <c r="AI14" s="291"/>
      <c r="AJ14" s="415"/>
      <c r="AK14" s="222"/>
      <c r="AL14" s="222"/>
      <c r="AM14" s="222"/>
      <c r="AN14" s="222"/>
      <c r="AO14" s="222"/>
      <c r="AP14" s="222"/>
      <c r="AQ14" s="291"/>
      <c r="AR14" s="416"/>
      <c r="AS14" s="222"/>
      <c r="AT14" s="222"/>
      <c r="AU14" s="222"/>
      <c r="AV14" s="222"/>
      <c r="AW14" s="222"/>
      <c r="AX14" s="222"/>
      <c r="AY14" s="222"/>
      <c r="AZ14" s="222"/>
      <c r="BA14" s="222"/>
      <c r="BB14" s="222"/>
      <c r="BC14" s="222"/>
      <c r="BD14" s="222"/>
      <c r="BE14" s="291"/>
      <c r="BF14" s="418"/>
      <c r="BG14" s="419"/>
      <c r="BH14" s="291"/>
      <c r="BI14" s="426"/>
      <c r="BJ14" s="406"/>
      <c r="BK14" s="222"/>
      <c r="BL14" s="405"/>
      <c r="BM14" s="222"/>
      <c r="BN14" s="406"/>
      <c r="BO14" s="222"/>
      <c r="BP14" s="420"/>
      <c r="BQ14" s="222"/>
      <c r="BR14" s="222"/>
      <c r="BS14" s="222"/>
      <c r="BT14" s="222"/>
      <c r="BU14" s="222"/>
      <c r="BV14" s="222"/>
      <c r="BW14" s="222"/>
      <c r="BX14" s="421"/>
      <c r="BY14" s="222"/>
      <c r="BZ14" s="222"/>
      <c r="CA14" s="222"/>
      <c r="CB14" s="222"/>
      <c r="CC14" s="222"/>
      <c r="CD14" s="222"/>
      <c r="CE14" s="222"/>
      <c r="CF14" s="222"/>
      <c r="CG14" s="222"/>
      <c r="CH14" s="222"/>
      <c r="CI14" s="222"/>
      <c r="CJ14" s="222"/>
      <c r="CK14" s="222"/>
      <c r="CL14" s="222"/>
      <c r="CM14" s="406"/>
      <c r="CN14" s="291"/>
      <c r="CO14" s="73"/>
      <c r="CP14" s="59"/>
      <c r="CQ14" s="93"/>
      <c r="CR14" s="423"/>
      <c r="CS14" s="423"/>
      <c r="CT14" s="423"/>
      <c r="CU14" s="110"/>
    </row>
    <row r="15">
      <c r="A15" s="64"/>
      <c r="B15" s="405"/>
      <c r="C15" s="222"/>
      <c r="D15" s="406"/>
      <c r="E15" s="407"/>
      <c r="F15" s="222"/>
      <c r="G15" s="222"/>
      <c r="H15" s="222"/>
      <c r="I15" s="222"/>
      <c r="J15" s="222"/>
      <c r="K15" s="222"/>
      <c r="L15" s="222"/>
      <c r="M15" s="222"/>
      <c r="N15" s="405"/>
      <c r="O15" s="291"/>
      <c r="P15" s="376"/>
      <c r="Q15" s="409" t="s">
        <v>450</v>
      </c>
      <c r="R15" s="222"/>
      <c r="S15" s="291"/>
      <c r="T15" s="411" t="str">
        <f>'Main Sheet'!BG38</f>
        <v/>
      </c>
      <c r="U15" s="222"/>
      <c r="V15" s="222"/>
      <c r="W15" s="222"/>
      <c r="X15" s="222"/>
      <c r="Y15" s="222"/>
      <c r="Z15" s="222"/>
      <c r="AA15" s="222"/>
      <c r="AB15" s="222"/>
      <c r="AC15" s="222"/>
      <c r="AD15" s="291"/>
      <c r="AE15" s="412"/>
      <c r="AF15" s="291"/>
      <c r="AG15" s="73"/>
      <c r="AH15" s="405"/>
      <c r="AI15" s="291"/>
      <c r="AJ15" s="415"/>
      <c r="AK15" s="222"/>
      <c r="AL15" s="222"/>
      <c r="AM15" s="222"/>
      <c r="AN15" s="222"/>
      <c r="AO15" s="222"/>
      <c r="AP15" s="222"/>
      <c r="AQ15" s="291"/>
      <c r="AR15" s="416"/>
      <c r="AS15" s="222"/>
      <c r="AT15" s="222"/>
      <c r="AU15" s="222"/>
      <c r="AV15" s="222"/>
      <c r="AW15" s="222"/>
      <c r="AX15" s="222"/>
      <c r="AY15" s="222"/>
      <c r="AZ15" s="222"/>
      <c r="BA15" s="222"/>
      <c r="BB15" s="222"/>
      <c r="BC15" s="222"/>
      <c r="BD15" s="222"/>
      <c r="BE15" s="291"/>
      <c r="BF15" s="418"/>
      <c r="BG15" s="406"/>
      <c r="BH15" s="291"/>
      <c r="BI15" s="426"/>
      <c r="BJ15" s="431"/>
      <c r="BK15" s="222"/>
      <c r="BL15" s="405"/>
      <c r="BM15" s="222"/>
      <c r="BN15" s="406"/>
      <c r="BO15" s="222"/>
      <c r="BP15" s="420"/>
      <c r="BQ15" s="222"/>
      <c r="BR15" s="222"/>
      <c r="BS15" s="222"/>
      <c r="BT15" s="222"/>
      <c r="BU15" s="222"/>
      <c r="BV15" s="222"/>
      <c r="BW15" s="222"/>
      <c r="BX15" s="421"/>
      <c r="BY15" s="222"/>
      <c r="BZ15" s="222"/>
      <c r="CA15" s="222"/>
      <c r="CB15" s="222"/>
      <c r="CC15" s="222"/>
      <c r="CD15" s="222"/>
      <c r="CE15" s="222"/>
      <c r="CF15" s="222"/>
      <c r="CG15" s="222"/>
      <c r="CH15" s="222"/>
      <c r="CI15" s="222"/>
      <c r="CJ15" s="222"/>
      <c r="CK15" s="222"/>
      <c r="CL15" s="222"/>
      <c r="CM15" s="406"/>
      <c r="CN15" s="291"/>
      <c r="CO15" s="73"/>
      <c r="CP15" s="59"/>
      <c r="CQ15" s="93"/>
      <c r="CR15" s="423"/>
      <c r="CS15" s="423"/>
      <c r="CT15" s="423"/>
      <c r="CU15" s="110"/>
    </row>
    <row r="16">
      <c r="A16" s="64"/>
      <c r="B16" s="408"/>
      <c r="C16" s="222"/>
      <c r="D16" s="434"/>
      <c r="E16" s="435"/>
      <c r="F16" s="222"/>
      <c r="G16" s="222"/>
      <c r="H16" s="222"/>
      <c r="I16" s="222"/>
      <c r="J16" s="222"/>
      <c r="K16" s="222"/>
      <c r="L16" s="222"/>
      <c r="M16" s="222"/>
      <c r="N16" s="408"/>
      <c r="O16" s="291"/>
      <c r="P16" s="376"/>
      <c r="Q16" s="409" t="s">
        <v>476</v>
      </c>
      <c r="R16" s="222"/>
      <c r="S16" s="291"/>
      <c r="T16" s="411" t="str">
        <f>'Main Sheet'!BG39</f>
        <v/>
      </c>
      <c r="U16" s="222"/>
      <c r="V16" s="222"/>
      <c r="W16" s="222"/>
      <c r="X16" s="222"/>
      <c r="Y16" s="222"/>
      <c r="Z16" s="222"/>
      <c r="AA16" s="222"/>
      <c r="AB16" s="222"/>
      <c r="AC16" s="222"/>
      <c r="AD16" s="291"/>
      <c r="AE16" s="419"/>
      <c r="AF16" s="291"/>
      <c r="AG16" s="73"/>
      <c r="AH16" s="405"/>
      <c r="AI16" s="291"/>
      <c r="AJ16" s="415"/>
      <c r="AK16" s="222"/>
      <c r="AL16" s="222"/>
      <c r="AM16" s="222"/>
      <c r="AN16" s="222"/>
      <c r="AO16" s="222"/>
      <c r="AP16" s="222"/>
      <c r="AQ16" s="291"/>
      <c r="AR16" s="416"/>
      <c r="AS16" s="222"/>
      <c r="AT16" s="222"/>
      <c r="AU16" s="222"/>
      <c r="AV16" s="222"/>
      <c r="AW16" s="222"/>
      <c r="AX16" s="222"/>
      <c r="AY16" s="222"/>
      <c r="AZ16" s="222"/>
      <c r="BA16" s="222"/>
      <c r="BB16" s="222"/>
      <c r="BC16" s="222"/>
      <c r="BD16" s="222"/>
      <c r="BE16" s="291"/>
      <c r="BF16" s="437"/>
      <c r="BG16" s="419"/>
      <c r="BH16" s="291"/>
      <c r="BI16" s="426"/>
      <c r="BJ16" s="406"/>
      <c r="BK16" s="291"/>
      <c r="BL16" s="405"/>
      <c r="BM16" s="222"/>
      <c r="BN16" s="406"/>
      <c r="BO16" s="291"/>
      <c r="BP16" s="420"/>
      <c r="BQ16" s="222"/>
      <c r="BR16" s="222"/>
      <c r="BS16" s="222"/>
      <c r="BT16" s="222"/>
      <c r="BU16" s="222"/>
      <c r="BV16" s="222"/>
      <c r="BW16" s="291"/>
      <c r="BX16" s="421"/>
      <c r="BY16" s="222"/>
      <c r="BZ16" s="222"/>
      <c r="CA16" s="222"/>
      <c r="CB16" s="222"/>
      <c r="CC16" s="222"/>
      <c r="CD16" s="222"/>
      <c r="CE16" s="222"/>
      <c r="CF16" s="222"/>
      <c r="CG16" s="222"/>
      <c r="CH16" s="222"/>
      <c r="CI16" s="222"/>
      <c r="CJ16" s="222"/>
      <c r="CK16" s="222"/>
      <c r="CL16" s="291"/>
      <c r="CM16" s="406"/>
      <c r="CN16" s="291"/>
      <c r="CO16" s="73"/>
      <c r="CP16" s="59"/>
      <c r="CQ16" s="93"/>
      <c r="CR16" s="423"/>
      <c r="CS16" s="423"/>
      <c r="CT16" s="423"/>
      <c r="CU16" s="110"/>
    </row>
    <row r="17">
      <c r="A17" s="64"/>
      <c r="B17" s="408"/>
      <c r="C17" s="222"/>
      <c r="D17" s="434"/>
      <c r="E17" s="435"/>
      <c r="F17" s="222"/>
      <c r="G17" s="222"/>
      <c r="H17" s="222"/>
      <c r="I17" s="222"/>
      <c r="J17" s="222"/>
      <c r="K17" s="222"/>
      <c r="L17" s="222"/>
      <c r="M17" s="222"/>
      <c r="N17" s="408"/>
      <c r="O17" s="291"/>
      <c r="P17" s="376"/>
      <c r="Q17" s="409" t="s">
        <v>503</v>
      </c>
      <c r="R17" s="222"/>
      <c r="S17" s="291"/>
      <c r="T17" s="411" t="str">
        <f>'Main Sheet'!BG40</f>
        <v/>
      </c>
      <c r="U17" s="222"/>
      <c r="V17" s="222"/>
      <c r="W17" s="222"/>
      <c r="X17" s="222"/>
      <c r="Y17" s="222"/>
      <c r="Z17" s="222"/>
      <c r="AA17" s="222"/>
      <c r="AB17" s="222"/>
      <c r="AC17" s="222"/>
      <c r="AD17" s="291"/>
      <c r="AE17" s="441"/>
      <c r="AF17" s="291"/>
      <c r="AG17" s="73"/>
      <c r="AH17" s="405"/>
      <c r="AI17" s="291"/>
      <c r="AJ17" s="442"/>
      <c r="AK17" s="222"/>
      <c r="AL17" s="222"/>
      <c r="AM17" s="222"/>
      <c r="AN17" s="222"/>
      <c r="AO17" s="222"/>
      <c r="AP17" s="222"/>
      <c r="AQ17" s="222"/>
      <c r="AR17" s="443"/>
      <c r="AS17" s="222"/>
      <c r="AT17" s="222"/>
      <c r="AU17" s="222"/>
      <c r="AV17" s="222"/>
      <c r="AW17" s="222"/>
      <c r="AX17" s="222"/>
      <c r="AY17" s="222"/>
      <c r="AZ17" s="222"/>
      <c r="BA17" s="222"/>
      <c r="BB17" s="222"/>
      <c r="BC17" s="222"/>
      <c r="BD17" s="222"/>
      <c r="BE17" s="222"/>
      <c r="BF17" s="446"/>
      <c r="BG17" s="406"/>
      <c r="BH17" s="291"/>
      <c r="BI17" s="448"/>
      <c r="BJ17" s="406"/>
      <c r="BK17" s="291"/>
      <c r="BL17" s="405"/>
      <c r="BM17" s="222"/>
      <c r="BN17" s="406"/>
      <c r="BO17" s="291"/>
      <c r="BP17" s="420"/>
      <c r="BQ17" s="222"/>
      <c r="BR17" s="222"/>
      <c r="BS17" s="222"/>
      <c r="BT17" s="222"/>
      <c r="BU17" s="222"/>
      <c r="BV17" s="222"/>
      <c r="BW17" s="291"/>
      <c r="BX17" s="421"/>
      <c r="BY17" s="222"/>
      <c r="BZ17" s="222"/>
      <c r="CA17" s="222"/>
      <c r="CB17" s="222"/>
      <c r="CC17" s="222"/>
      <c r="CD17" s="222"/>
      <c r="CE17" s="222"/>
      <c r="CF17" s="222"/>
      <c r="CG17" s="222"/>
      <c r="CH17" s="222"/>
      <c r="CI17" s="222"/>
      <c r="CJ17" s="222"/>
      <c r="CK17" s="222"/>
      <c r="CL17" s="291"/>
      <c r="CM17" s="406"/>
      <c r="CN17" s="291"/>
      <c r="CO17" s="73"/>
      <c r="CP17" s="59"/>
      <c r="CQ17" s="93"/>
      <c r="CR17" s="423"/>
      <c r="CS17" s="423"/>
      <c r="CT17" s="423"/>
      <c r="CU17" s="110"/>
    </row>
    <row r="18">
      <c r="A18" s="64"/>
      <c r="B18" s="408"/>
      <c r="C18" s="222"/>
      <c r="D18" s="434"/>
      <c r="E18" s="435"/>
      <c r="F18" s="222"/>
      <c r="G18" s="222"/>
      <c r="H18" s="222"/>
      <c r="I18" s="222"/>
      <c r="J18" s="222"/>
      <c r="K18" s="222"/>
      <c r="L18" s="222"/>
      <c r="M18" s="222"/>
      <c r="N18" s="408"/>
      <c r="O18" s="291"/>
      <c r="P18" s="376"/>
      <c r="Q18" s="409" t="s">
        <v>529</v>
      </c>
      <c r="R18" s="222"/>
      <c r="S18" s="291"/>
      <c r="T18" s="411" t="str">
        <f>'Main Sheet'!BG41</f>
        <v/>
      </c>
      <c r="U18" s="222"/>
      <c r="V18" s="222"/>
      <c r="W18" s="222"/>
      <c r="X18" s="222"/>
      <c r="Y18" s="222"/>
      <c r="Z18" s="222"/>
      <c r="AA18" s="222"/>
      <c r="AB18" s="222"/>
      <c r="AC18" s="222"/>
      <c r="AD18" s="291"/>
      <c r="AE18" s="441"/>
      <c r="AF18" s="291"/>
      <c r="AG18" s="73"/>
      <c r="AH18" s="405"/>
      <c r="AI18" s="291"/>
      <c r="AJ18" s="442"/>
      <c r="AK18" s="222"/>
      <c r="AL18" s="222"/>
      <c r="AM18" s="222"/>
      <c r="AN18" s="222"/>
      <c r="AO18" s="222"/>
      <c r="AP18" s="222"/>
      <c r="AQ18" s="222"/>
      <c r="AR18" s="443"/>
      <c r="AS18" s="222"/>
      <c r="AT18" s="222"/>
      <c r="AU18" s="222"/>
      <c r="AV18" s="222"/>
      <c r="AW18" s="222"/>
      <c r="AX18" s="222"/>
      <c r="AY18" s="222"/>
      <c r="AZ18" s="222"/>
      <c r="BA18" s="222"/>
      <c r="BB18" s="222"/>
      <c r="BC18" s="222"/>
      <c r="BD18" s="222"/>
      <c r="BE18" s="222"/>
      <c r="BF18" s="446"/>
      <c r="BG18" s="406"/>
      <c r="BH18" s="291"/>
      <c r="BI18" s="448"/>
      <c r="BJ18" s="406"/>
      <c r="BK18" s="222"/>
      <c r="BL18" s="405"/>
      <c r="BM18" s="222"/>
      <c r="BN18" s="406"/>
      <c r="BO18" s="222"/>
      <c r="BP18" s="420"/>
      <c r="BQ18" s="222"/>
      <c r="BR18" s="222"/>
      <c r="BS18" s="222"/>
      <c r="BT18" s="222"/>
      <c r="BU18" s="222"/>
      <c r="BV18" s="222"/>
      <c r="BW18" s="222"/>
      <c r="BX18" s="421"/>
      <c r="BY18" s="222"/>
      <c r="BZ18" s="222"/>
      <c r="CA18" s="222"/>
      <c r="CB18" s="222"/>
      <c r="CC18" s="222"/>
      <c r="CD18" s="222"/>
      <c r="CE18" s="222"/>
      <c r="CF18" s="222"/>
      <c r="CG18" s="222"/>
      <c r="CH18" s="222"/>
      <c r="CI18" s="222"/>
      <c r="CJ18" s="222"/>
      <c r="CK18" s="222"/>
      <c r="CL18" s="222"/>
      <c r="CM18" s="406"/>
      <c r="CN18" s="291"/>
      <c r="CO18" s="73"/>
      <c r="CP18" s="59"/>
      <c r="CQ18" s="93"/>
      <c r="CR18" s="423"/>
      <c r="CS18" s="423"/>
      <c r="CT18" s="423"/>
      <c r="CU18" s="110"/>
    </row>
    <row r="19">
      <c r="A19" s="64"/>
      <c r="B19" s="408"/>
      <c r="C19" s="222"/>
      <c r="D19" s="434"/>
      <c r="E19" s="435"/>
      <c r="F19" s="222"/>
      <c r="G19" s="222"/>
      <c r="H19" s="222"/>
      <c r="I19" s="222"/>
      <c r="J19" s="222"/>
      <c r="K19" s="222"/>
      <c r="L19" s="222"/>
      <c r="M19" s="222"/>
      <c r="N19" s="408"/>
      <c r="O19" s="291"/>
      <c r="P19" s="376"/>
      <c r="Q19" s="409" t="s">
        <v>556</v>
      </c>
      <c r="R19" s="222"/>
      <c r="S19" s="291"/>
      <c r="T19" s="411" t="str">
        <f>'Main Sheet'!BG42</f>
        <v/>
      </c>
      <c r="U19" s="222"/>
      <c r="V19" s="222"/>
      <c r="W19" s="222"/>
      <c r="X19" s="222"/>
      <c r="Y19" s="222"/>
      <c r="Z19" s="222"/>
      <c r="AA19" s="222"/>
      <c r="AB19" s="222"/>
      <c r="AC19" s="222"/>
      <c r="AD19" s="291"/>
      <c r="AE19" s="412"/>
      <c r="AF19" s="291"/>
      <c r="AG19" s="73"/>
      <c r="AH19" s="405"/>
      <c r="AI19" s="291"/>
      <c r="AJ19" s="442"/>
      <c r="AK19" s="222"/>
      <c r="AL19" s="222"/>
      <c r="AM19" s="222"/>
      <c r="AN19" s="222"/>
      <c r="AO19" s="222"/>
      <c r="AP19" s="222"/>
      <c r="AQ19" s="222"/>
      <c r="AR19" s="443"/>
      <c r="AS19" s="222"/>
      <c r="AT19" s="222"/>
      <c r="AU19" s="222"/>
      <c r="AV19" s="222"/>
      <c r="AW19" s="222"/>
      <c r="AX19" s="222"/>
      <c r="AY19" s="222"/>
      <c r="AZ19" s="222"/>
      <c r="BA19" s="222"/>
      <c r="BB19" s="222"/>
      <c r="BC19" s="222"/>
      <c r="BD19" s="222"/>
      <c r="BE19" s="222"/>
      <c r="BF19" s="446"/>
      <c r="BG19" s="406"/>
      <c r="BH19" s="291"/>
      <c r="BI19" s="448"/>
      <c r="BJ19" s="406"/>
      <c r="BK19" s="222"/>
      <c r="BL19" s="405"/>
      <c r="BM19" s="222"/>
      <c r="BN19" s="406"/>
      <c r="BO19" s="222"/>
      <c r="BP19" s="420"/>
      <c r="BQ19" s="222"/>
      <c r="BR19" s="222"/>
      <c r="BS19" s="222"/>
      <c r="BT19" s="222"/>
      <c r="BU19" s="222"/>
      <c r="BV19" s="222"/>
      <c r="BW19" s="222"/>
      <c r="BX19" s="421"/>
      <c r="BY19" s="222"/>
      <c r="BZ19" s="222"/>
      <c r="CA19" s="222"/>
      <c r="CB19" s="222"/>
      <c r="CC19" s="222"/>
      <c r="CD19" s="222"/>
      <c r="CE19" s="222"/>
      <c r="CF19" s="222"/>
      <c r="CG19" s="222"/>
      <c r="CH19" s="222"/>
      <c r="CI19" s="222"/>
      <c r="CJ19" s="222"/>
      <c r="CK19" s="222"/>
      <c r="CL19" s="222"/>
      <c r="CM19" s="406"/>
      <c r="CN19" s="291"/>
      <c r="CO19" s="73"/>
      <c r="CP19" s="59"/>
      <c r="CQ19" s="59"/>
      <c r="CR19" s="59"/>
      <c r="CS19" s="59"/>
      <c r="CT19" s="59"/>
      <c r="CU19" s="59"/>
    </row>
    <row r="20">
      <c r="A20" s="64"/>
      <c r="B20" s="408"/>
      <c r="C20" s="222"/>
      <c r="D20" s="434"/>
      <c r="E20" s="435"/>
      <c r="F20" s="222"/>
      <c r="G20" s="222"/>
      <c r="H20" s="222"/>
      <c r="I20" s="222"/>
      <c r="J20" s="222"/>
      <c r="K20" s="222"/>
      <c r="L20" s="222"/>
      <c r="M20" s="222"/>
      <c r="N20" s="408"/>
      <c r="O20" s="291"/>
      <c r="P20" s="376"/>
      <c r="Q20" s="409" t="s">
        <v>569</v>
      </c>
      <c r="R20" s="222"/>
      <c r="S20" s="291"/>
      <c r="T20" s="411" t="str">
        <f>'Main Sheet'!BG43</f>
        <v/>
      </c>
      <c r="U20" s="222"/>
      <c r="V20" s="222"/>
      <c r="W20" s="222"/>
      <c r="X20" s="222"/>
      <c r="Y20" s="222"/>
      <c r="Z20" s="222"/>
      <c r="AA20" s="222"/>
      <c r="AB20" s="222"/>
      <c r="AC20" s="222"/>
      <c r="AD20" s="291"/>
      <c r="AE20" s="412"/>
      <c r="AF20" s="291"/>
      <c r="AG20" s="73"/>
      <c r="AH20" s="405"/>
      <c r="AI20" s="291"/>
      <c r="AJ20" s="442"/>
      <c r="AK20" s="222"/>
      <c r="AL20" s="222"/>
      <c r="AM20" s="222"/>
      <c r="AN20" s="222"/>
      <c r="AO20" s="222"/>
      <c r="AP20" s="222"/>
      <c r="AQ20" s="222"/>
      <c r="AR20" s="443"/>
      <c r="AS20" s="222"/>
      <c r="AT20" s="222"/>
      <c r="AU20" s="222"/>
      <c r="AV20" s="222"/>
      <c r="AW20" s="222"/>
      <c r="AX20" s="222"/>
      <c r="AY20" s="222"/>
      <c r="AZ20" s="222"/>
      <c r="BA20" s="222"/>
      <c r="BB20" s="222"/>
      <c r="BC20" s="222"/>
      <c r="BD20" s="222"/>
      <c r="BE20" s="222"/>
      <c r="BF20" s="446"/>
      <c r="BG20" s="406"/>
      <c r="BH20" s="291"/>
      <c r="BI20" s="448"/>
      <c r="BJ20" s="434"/>
      <c r="BK20" s="222"/>
      <c r="BL20" s="405"/>
      <c r="BM20" s="222"/>
      <c r="BN20" s="406"/>
      <c r="BO20" s="222"/>
      <c r="BP20" s="420"/>
      <c r="BQ20" s="222"/>
      <c r="BR20" s="222"/>
      <c r="BS20" s="222"/>
      <c r="BT20" s="222"/>
      <c r="BU20" s="222"/>
      <c r="BV20" s="222"/>
      <c r="BW20" s="222"/>
      <c r="BX20" s="421"/>
      <c r="BY20" s="222"/>
      <c r="BZ20" s="222"/>
      <c r="CA20" s="222"/>
      <c r="CB20" s="222"/>
      <c r="CC20" s="222"/>
      <c r="CD20" s="222"/>
      <c r="CE20" s="222"/>
      <c r="CF20" s="222"/>
      <c r="CG20" s="222"/>
      <c r="CH20" s="222"/>
      <c r="CI20" s="222"/>
      <c r="CJ20" s="222"/>
      <c r="CK20" s="222"/>
      <c r="CL20" s="222"/>
      <c r="CM20" s="406"/>
      <c r="CN20" s="291"/>
      <c r="CO20" s="73"/>
      <c r="CP20" s="59"/>
      <c r="CQ20" s="59"/>
      <c r="CR20" s="59"/>
      <c r="CS20" s="59"/>
      <c r="CT20" s="59"/>
      <c r="CU20" s="59"/>
    </row>
    <row r="21">
      <c r="A21" s="64"/>
      <c r="B21" s="408"/>
      <c r="C21" s="222"/>
      <c r="D21" s="434"/>
      <c r="E21" s="435"/>
      <c r="F21" s="222"/>
      <c r="G21" s="222"/>
      <c r="H21" s="222"/>
      <c r="I21" s="222"/>
      <c r="J21" s="222"/>
      <c r="K21" s="222"/>
      <c r="L21" s="222"/>
      <c r="M21" s="222"/>
      <c r="N21" s="408"/>
      <c r="O21" s="291"/>
      <c r="P21" s="376"/>
      <c r="Q21" s="409" t="s">
        <v>576</v>
      </c>
      <c r="R21" s="222"/>
      <c r="S21" s="291"/>
      <c r="T21" s="411" t="str">
        <f>'Main Sheet'!BG44</f>
        <v/>
      </c>
      <c r="U21" s="222"/>
      <c r="V21" s="222"/>
      <c r="W21" s="222"/>
      <c r="X21" s="222"/>
      <c r="Y21" s="222"/>
      <c r="Z21" s="222"/>
      <c r="AA21" s="222"/>
      <c r="AB21" s="222"/>
      <c r="AC21" s="222"/>
      <c r="AD21" s="291"/>
      <c r="AE21" s="412"/>
      <c r="AF21" s="291"/>
      <c r="AG21" s="73"/>
      <c r="AH21" s="405"/>
      <c r="AI21" s="291"/>
      <c r="AJ21" s="442"/>
      <c r="AK21" s="222"/>
      <c r="AL21" s="222"/>
      <c r="AM21" s="222"/>
      <c r="AN21" s="222"/>
      <c r="AO21" s="222"/>
      <c r="AP21" s="222"/>
      <c r="AQ21" s="222"/>
      <c r="AR21" s="443"/>
      <c r="AS21" s="222"/>
      <c r="AT21" s="222"/>
      <c r="AU21" s="222"/>
      <c r="AV21" s="222"/>
      <c r="AW21" s="222"/>
      <c r="AX21" s="222"/>
      <c r="AY21" s="222"/>
      <c r="AZ21" s="222"/>
      <c r="BA21" s="222"/>
      <c r="BB21" s="222"/>
      <c r="BC21" s="222"/>
      <c r="BD21" s="222"/>
      <c r="BE21" s="222"/>
      <c r="BF21" s="446"/>
      <c r="BG21" s="406"/>
      <c r="BH21" s="291"/>
      <c r="BI21" s="448"/>
      <c r="BJ21" s="434"/>
      <c r="BK21" s="222"/>
      <c r="BL21" s="405"/>
      <c r="BM21" s="222"/>
      <c r="BN21" s="406"/>
      <c r="BO21" s="222"/>
      <c r="BP21" s="420"/>
      <c r="BQ21" s="222"/>
      <c r="BR21" s="222"/>
      <c r="BS21" s="222"/>
      <c r="BT21" s="222"/>
      <c r="BU21" s="222"/>
      <c r="BV21" s="222"/>
      <c r="BW21" s="222"/>
      <c r="BX21" s="421"/>
      <c r="BY21" s="222"/>
      <c r="BZ21" s="222"/>
      <c r="CA21" s="222"/>
      <c r="CB21" s="222"/>
      <c r="CC21" s="222"/>
      <c r="CD21" s="222"/>
      <c r="CE21" s="222"/>
      <c r="CF21" s="222"/>
      <c r="CG21" s="222"/>
      <c r="CH21" s="222"/>
      <c r="CI21" s="222"/>
      <c r="CJ21" s="222"/>
      <c r="CK21" s="222"/>
      <c r="CL21" s="222"/>
      <c r="CM21" s="406"/>
      <c r="CN21" s="291"/>
      <c r="CO21" s="73"/>
      <c r="CP21" s="59"/>
      <c r="CQ21" s="59"/>
      <c r="CR21" s="59"/>
      <c r="CS21" s="59"/>
      <c r="CT21" s="59"/>
      <c r="CU21" s="59"/>
    </row>
    <row r="22">
      <c r="A22" s="64"/>
      <c r="B22" s="408"/>
      <c r="C22" s="222"/>
      <c r="D22" s="434"/>
      <c r="E22" s="435"/>
      <c r="F22" s="222"/>
      <c r="G22" s="222"/>
      <c r="H22" s="222"/>
      <c r="I22" s="222"/>
      <c r="J22" s="222"/>
      <c r="K22" s="222"/>
      <c r="L22" s="222"/>
      <c r="M22" s="222"/>
      <c r="N22" s="408"/>
      <c r="O22" s="291"/>
      <c r="P22" s="376"/>
      <c r="Q22" s="472" t="s">
        <v>576</v>
      </c>
      <c r="R22" s="234"/>
      <c r="S22" s="236"/>
      <c r="T22" s="476" t="str">
        <f>'Main Sheet'!BG45</f>
        <v/>
      </c>
      <c r="U22" s="234"/>
      <c r="V22" s="234"/>
      <c r="W22" s="234"/>
      <c r="X22" s="234"/>
      <c r="Y22" s="234"/>
      <c r="Z22" s="234"/>
      <c r="AA22" s="234"/>
      <c r="AB22" s="234"/>
      <c r="AC22" s="234"/>
      <c r="AD22" s="236"/>
      <c r="AE22" s="479"/>
      <c r="AF22" s="236"/>
      <c r="AG22" s="73"/>
      <c r="AH22" s="405"/>
      <c r="AI22" s="291"/>
      <c r="AJ22" s="442"/>
      <c r="AK22" s="222"/>
      <c r="AL22" s="222"/>
      <c r="AM22" s="222"/>
      <c r="AN22" s="222"/>
      <c r="AO22" s="222"/>
      <c r="AP22" s="222"/>
      <c r="AQ22" s="222"/>
      <c r="AR22" s="443"/>
      <c r="AS22" s="222"/>
      <c r="AT22" s="222"/>
      <c r="AU22" s="222"/>
      <c r="AV22" s="222"/>
      <c r="AW22" s="222"/>
      <c r="AX22" s="222"/>
      <c r="AY22" s="222"/>
      <c r="AZ22" s="222"/>
      <c r="BA22" s="222"/>
      <c r="BB22" s="222"/>
      <c r="BC22" s="222"/>
      <c r="BD22" s="222"/>
      <c r="BE22" s="222"/>
      <c r="BF22" s="446"/>
      <c r="BG22" s="406"/>
      <c r="BH22" s="291"/>
      <c r="BI22" s="448"/>
      <c r="BJ22" s="434"/>
      <c r="BK22" s="222"/>
      <c r="BL22" s="405"/>
      <c r="BM22" s="222"/>
      <c r="BN22" s="406"/>
      <c r="BO22" s="222"/>
      <c r="BP22" s="420"/>
      <c r="BQ22" s="222"/>
      <c r="BR22" s="222"/>
      <c r="BS22" s="222"/>
      <c r="BT22" s="222"/>
      <c r="BU22" s="222"/>
      <c r="BV22" s="222"/>
      <c r="BW22" s="222"/>
      <c r="BX22" s="421"/>
      <c r="BY22" s="222"/>
      <c r="BZ22" s="222"/>
      <c r="CA22" s="222"/>
      <c r="CB22" s="222"/>
      <c r="CC22" s="222"/>
      <c r="CD22" s="222"/>
      <c r="CE22" s="222"/>
      <c r="CF22" s="222"/>
      <c r="CG22" s="222"/>
      <c r="CH22" s="222"/>
      <c r="CI22" s="222"/>
      <c r="CJ22" s="222"/>
      <c r="CK22" s="222"/>
      <c r="CL22" s="222"/>
      <c r="CM22" s="406"/>
      <c r="CN22" s="291"/>
      <c r="CO22" s="73"/>
      <c r="CP22" s="59"/>
      <c r="CQ22" s="59"/>
      <c r="CR22" s="59"/>
      <c r="CS22" s="59"/>
      <c r="CT22" s="59"/>
      <c r="CU22" s="59"/>
    </row>
    <row r="23">
      <c r="A23" s="64"/>
      <c r="B23" s="408"/>
      <c r="C23" s="222"/>
      <c r="D23" s="434"/>
      <c r="E23" s="435"/>
      <c r="F23" s="222"/>
      <c r="G23" s="222"/>
      <c r="H23" s="222"/>
      <c r="I23" s="222"/>
      <c r="J23" s="222"/>
      <c r="K23" s="222"/>
      <c r="L23" s="222"/>
      <c r="M23" s="222"/>
      <c r="N23" s="408"/>
      <c r="O23" s="291"/>
      <c r="P23" s="487"/>
      <c r="Q23" s="488"/>
      <c r="R23" s="488"/>
      <c r="S23" s="488"/>
      <c r="T23" s="488"/>
      <c r="U23" s="488"/>
      <c r="V23" s="488"/>
      <c r="W23" s="488"/>
      <c r="X23" s="488"/>
      <c r="Y23" s="488"/>
      <c r="Z23" s="488"/>
      <c r="AA23" s="488"/>
      <c r="AB23" s="488"/>
      <c r="AC23" s="488"/>
      <c r="AD23" s="488"/>
      <c r="AE23" s="489"/>
      <c r="AF23" s="489"/>
      <c r="AG23" s="64"/>
      <c r="AH23" s="405"/>
      <c r="AI23" s="291"/>
      <c r="AJ23" s="442"/>
      <c r="AK23" s="222"/>
      <c r="AL23" s="222"/>
      <c r="AM23" s="222"/>
      <c r="AN23" s="222"/>
      <c r="AO23" s="222"/>
      <c r="AP23" s="222"/>
      <c r="AQ23" s="222"/>
      <c r="AR23" s="443"/>
      <c r="AS23" s="222"/>
      <c r="AT23" s="222"/>
      <c r="AU23" s="222"/>
      <c r="AV23" s="222"/>
      <c r="AW23" s="222"/>
      <c r="AX23" s="222"/>
      <c r="AY23" s="222"/>
      <c r="AZ23" s="222"/>
      <c r="BA23" s="222"/>
      <c r="BB23" s="222"/>
      <c r="BC23" s="222"/>
      <c r="BD23" s="222"/>
      <c r="BE23" s="222"/>
      <c r="BF23" s="446"/>
      <c r="BG23" s="406"/>
      <c r="BH23" s="291"/>
      <c r="BI23" s="448"/>
      <c r="BJ23" s="406"/>
      <c r="BK23" s="222"/>
      <c r="BL23" s="405"/>
      <c r="BM23" s="222"/>
      <c r="BN23" s="406"/>
      <c r="BO23" s="222"/>
      <c r="BP23" s="420"/>
      <c r="BQ23" s="222"/>
      <c r="BR23" s="222"/>
      <c r="BS23" s="222"/>
      <c r="BT23" s="222"/>
      <c r="BU23" s="222"/>
      <c r="BV23" s="222"/>
      <c r="BW23" s="222"/>
      <c r="BX23" s="421"/>
      <c r="BY23" s="222"/>
      <c r="BZ23" s="222"/>
      <c r="CA23" s="222"/>
      <c r="CB23" s="222"/>
      <c r="CC23" s="222"/>
      <c r="CD23" s="222"/>
      <c r="CE23" s="222"/>
      <c r="CF23" s="222"/>
      <c r="CG23" s="222"/>
      <c r="CH23" s="222"/>
      <c r="CI23" s="222"/>
      <c r="CJ23" s="222"/>
      <c r="CK23" s="222"/>
      <c r="CL23" s="222"/>
      <c r="CM23" s="406"/>
      <c r="CN23" s="291"/>
      <c r="CO23" s="73"/>
      <c r="CP23" s="59"/>
      <c r="CQ23" s="59"/>
      <c r="CR23" s="59"/>
      <c r="CS23" s="59"/>
      <c r="CT23" s="59"/>
      <c r="CU23" s="59"/>
    </row>
    <row r="24">
      <c r="A24" s="64"/>
      <c r="B24" s="408"/>
      <c r="C24" s="222"/>
      <c r="D24" s="434"/>
      <c r="E24" s="435"/>
      <c r="F24" s="222"/>
      <c r="G24" s="222"/>
      <c r="H24" s="222"/>
      <c r="I24" s="222"/>
      <c r="J24" s="222"/>
      <c r="K24" s="222"/>
      <c r="L24" s="222"/>
      <c r="M24" s="222"/>
      <c r="N24" s="408"/>
      <c r="O24" s="291"/>
      <c r="P24" s="376"/>
      <c r="Q24" s="493" t="s">
        <v>602</v>
      </c>
      <c r="R24" s="23"/>
      <c r="S24" s="23"/>
      <c r="T24" s="23"/>
      <c r="U24" s="23"/>
      <c r="V24" s="23"/>
      <c r="W24" s="23"/>
      <c r="X24" s="23"/>
      <c r="Y24" s="23"/>
      <c r="Z24" s="23"/>
      <c r="AA24" s="23"/>
      <c r="AB24" s="23"/>
      <c r="AC24" s="23"/>
      <c r="AD24" s="23"/>
      <c r="AE24" s="23"/>
      <c r="AF24" s="24"/>
      <c r="AG24" s="64"/>
      <c r="AH24" s="405"/>
      <c r="AI24" s="291"/>
      <c r="AJ24" s="442"/>
      <c r="AK24" s="222"/>
      <c r="AL24" s="222"/>
      <c r="AM24" s="222"/>
      <c r="AN24" s="222"/>
      <c r="AO24" s="222"/>
      <c r="AP24" s="222"/>
      <c r="AQ24" s="222"/>
      <c r="AR24" s="443"/>
      <c r="AS24" s="222"/>
      <c r="AT24" s="222"/>
      <c r="AU24" s="222"/>
      <c r="AV24" s="222"/>
      <c r="AW24" s="222"/>
      <c r="AX24" s="222"/>
      <c r="AY24" s="222"/>
      <c r="AZ24" s="222"/>
      <c r="BA24" s="222"/>
      <c r="BB24" s="222"/>
      <c r="BC24" s="222"/>
      <c r="BD24" s="222"/>
      <c r="BE24" s="222"/>
      <c r="BF24" s="496"/>
      <c r="BG24" s="406"/>
      <c r="BH24" s="291"/>
      <c r="BI24" s="448"/>
      <c r="BJ24" s="406"/>
      <c r="BK24" s="222"/>
      <c r="BL24" s="405"/>
      <c r="BM24" s="222"/>
      <c r="BN24" s="406"/>
      <c r="BO24" s="222"/>
      <c r="BP24" s="420"/>
      <c r="BQ24" s="222"/>
      <c r="BR24" s="222"/>
      <c r="BS24" s="222"/>
      <c r="BT24" s="222"/>
      <c r="BU24" s="222"/>
      <c r="BV24" s="222"/>
      <c r="BW24" s="222"/>
      <c r="BX24" s="421"/>
      <c r="BY24" s="222"/>
      <c r="BZ24" s="222"/>
      <c r="CA24" s="222"/>
      <c r="CB24" s="222"/>
      <c r="CC24" s="222"/>
      <c r="CD24" s="222"/>
      <c r="CE24" s="222"/>
      <c r="CF24" s="222"/>
      <c r="CG24" s="222"/>
      <c r="CH24" s="222"/>
      <c r="CI24" s="222"/>
      <c r="CJ24" s="222"/>
      <c r="CK24" s="222"/>
      <c r="CL24" s="222"/>
      <c r="CM24" s="406"/>
      <c r="CN24" s="291"/>
      <c r="CO24" s="73"/>
      <c r="CP24" s="59"/>
      <c r="CQ24" s="59"/>
      <c r="CR24" s="59"/>
      <c r="CS24" s="59"/>
      <c r="CT24" s="59"/>
      <c r="CU24" s="59"/>
    </row>
    <row r="25">
      <c r="A25" s="64"/>
      <c r="B25" s="408"/>
      <c r="C25" s="222"/>
      <c r="D25" s="434"/>
      <c r="E25" s="435"/>
      <c r="F25" s="222"/>
      <c r="G25" s="222"/>
      <c r="H25" s="222"/>
      <c r="I25" s="222"/>
      <c r="J25" s="222"/>
      <c r="K25" s="222"/>
      <c r="L25" s="222"/>
      <c r="M25" s="222"/>
      <c r="N25" s="408"/>
      <c r="O25" s="291"/>
      <c r="P25" s="376"/>
      <c r="Q25" s="347" t="s">
        <v>125</v>
      </c>
      <c r="R25" s="67"/>
      <c r="S25" s="67"/>
      <c r="T25" s="67"/>
      <c r="U25" s="67"/>
      <c r="V25" s="67"/>
      <c r="W25" s="67"/>
      <c r="X25" s="67"/>
      <c r="Y25" s="67"/>
      <c r="Z25" s="67"/>
      <c r="AA25" s="67"/>
      <c r="AB25" s="67"/>
      <c r="AC25" s="67"/>
      <c r="AD25" s="69"/>
      <c r="AE25" s="353" t="s">
        <v>287</v>
      </c>
      <c r="AF25" s="24"/>
      <c r="AG25" s="64"/>
      <c r="AH25" s="405"/>
      <c r="AI25" s="291"/>
      <c r="AJ25" s="442"/>
      <c r="AK25" s="222"/>
      <c r="AL25" s="222"/>
      <c r="AM25" s="222"/>
      <c r="AN25" s="222"/>
      <c r="AO25" s="222"/>
      <c r="AP25" s="222"/>
      <c r="AQ25" s="222"/>
      <c r="AR25" s="443"/>
      <c r="AS25" s="222"/>
      <c r="AT25" s="222"/>
      <c r="AU25" s="222"/>
      <c r="AV25" s="222"/>
      <c r="AW25" s="222"/>
      <c r="AX25" s="222"/>
      <c r="AY25" s="222"/>
      <c r="AZ25" s="222"/>
      <c r="BA25" s="222"/>
      <c r="BB25" s="222"/>
      <c r="BC25" s="222"/>
      <c r="BD25" s="222"/>
      <c r="BE25" s="222"/>
      <c r="BF25" s="446"/>
      <c r="BG25" s="406"/>
      <c r="BH25" s="291"/>
      <c r="BI25" s="448"/>
      <c r="BJ25" s="406"/>
      <c r="BK25" s="222"/>
      <c r="BL25" s="405"/>
      <c r="BM25" s="222"/>
      <c r="BN25" s="406"/>
      <c r="BO25" s="222"/>
      <c r="BP25" s="420"/>
      <c r="BQ25" s="222"/>
      <c r="BR25" s="222"/>
      <c r="BS25" s="222"/>
      <c r="BT25" s="222"/>
      <c r="BU25" s="222"/>
      <c r="BV25" s="222"/>
      <c r="BW25" s="222"/>
      <c r="BX25" s="421"/>
      <c r="BY25" s="222"/>
      <c r="BZ25" s="222"/>
      <c r="CA25" s="222"/>
      <c r="CB25" s="222"/>
      <c r="CC25" s="222"/>
      <c r="CD25" s="222"/>
      <c r="CE25" s="222"/>
      <c r="CF25" s="222"/>
      <c r="CG25" s="222"/>
      <c r="CH25" s="222"/>
      <c r="CI25" s="222"/>
      <c r="CJ25" s="222"/>
      <c r="CK25" s="222"/>
      <c r="CL25" s="222"/>
      <c r="CM25" s="406"/>
      <c r="CN25" s="291"/>
      <c r="CO25" s="73"/>
      <c r="CP25" s="59"/>
      <c r="CQ25" s="59"/>
      <c r="CR25" s="59"/>
      <c r="CS25" s="59"/>
      <c r="CT25" s="59"/>
      <c r="CU25" s="59"/>
    </row>
    <row r="26">
      <c r="A26" s="64"/>
      <c r="B26" s="408"/>
      <c r="C26" s="222"/>
      <c r="D26" s="434"/>
      <c r="E26" s="435"/>
      <c r="F26" s="222"/>
      <c r="G26" s="222"/>
      <c r="H26" s="222"/>
      <c r="I26" s="222"/>
      <c r="J26" s="222"/>
      <c r="K26" s="222"/>
      <c r="L26" s="222"/>
      <c r="M26" s="222"/>
      <c r="N26" s="408"/>
      <c r="O26" s="291"/>
      <c r="P26" s="376"/>
      <c r="Q26" s="370"/>
      <c r="R26" s="166"/>
      <c r="S26" s="166"/>
      <c r="T26" s="166"/>
      <c r="U26" s="166"/>
      <c r="V26" s="166"/>
      <c r="W26" s="166"/>
      <c r="X26" s="166"/>
      <c r="Y26" s="166"/>
      <c r="Z26" s="166"/>
      <c r="AA26" s="166"/>
      <c r="AB26" s="166"/>
      <c r="AC26" s="166"/>
      <c r="AD26" s="183"/>
      <c r="AE26" s="508"/>
      <c r="AF26" s="380"/>
      <c r="AG26" s="64"/>
      <c r="AH26" s="405"/>
      <c r="AI26" s="291"/>
      <c r="AJ26" s="442"/>
      <c r="AK26" s="222"/>
      <c r="AL26" s="222"/>
      <c r="AM26" s="222"/>
      <c r="AN26" s="222"/>
      <c r="AO26" s="222"/>
      <c r="AP26" s="222"/>
      <c r="AQ26" s="222"/>
      <c r="AR26" s="443"/>
      <c r="AS26" s="222"/>
      <c r="AT26" s="222"/>
      <c r="AU26" s="222"/>
      <c r="AV26" s="222"/>
      <c r="AW26" s="222"/>
      <c r="AX26" s="222"/>
      <c r="AY26" s="222"/>
      <c r="AZ26" s="222"/>
      <c r="BA26" s="222"/>
      <c r="BB26" s="222"/>
      <c r="BC26" s="222"/>
      <c r="BD26" s="222"/>
      <c r="BE26" s="222"/>
      <c r="BF26" s="446"/>
      <c r="BG26" s="406"/>
      <c r="BH26" s="291"/>
      <c r="BI26" s="448"/>
      <c r="BJ26" s="434"/>
      <c r="BK26" s="222"/>
      <c r="BL26" s="405"/>
      <c r="BM26" s="222"/>
      <c r="BN26" s="406"/>
      <c r="BO26" s="222"/>
      <c r="BP26" s="420"/>
      <c r="BQ26" s="222"/>
      <c r="BR26" s="222"/>
      <c r="BS26" s="222"/>
      <c r="BT26" s="222"/>
      <c r="BU26" s="222"/>
      <c r="BV26" s="222"/>
      <c r="BW26" s="222"/>
      <c r="BX26" s="421"/>
      <c r="BY26" s="222"/>
      <c r="BZ26" s="222"/>
      <c r="CA26" s="222"/>
      <c r="CB26" s="222"/>
      <c r="CC26" s="222"/>
      <c r="CD26" s="222"/>
      <c r="CE26" s="222"/>
      <c r="CF26" s="222"/>
      <c r="CG26" s="222"/>
      <c r="CH26" s="222"/>
      <c r="CI26" s="222"/>
      <c r="CJ26" s="222"/>
      <c r="CK26" s="222"/>
      <c r="CL26" s="222"/>
      <c r="CM26" s="406"/>
      <c r="CN26" s="291"/>
      <c r="CO26" s="73"/>
      <c r="CP26" s="59"/>
      <c r="CQ26" s="59"/>
      <c r="CR26" s="59"/>
      <c r="CS26" s="59"/>
      <c r="CT26" s="59"/>
      <c r="CU26" s="59"/>
    </row>
    <row r="27">
      <c r="A27" s="64"/>
      <c r="B27" s="408"/>
      <c r="C27" s="222"/>
      <c r="D27" s="434"/>
      <c r="E27" s="435"/>
      <c r="F27" s="222"/>
      <c r="G27" s="222"/>
      <c r="H27" s="222"/>
      <c r="I27" s="222"/>
      <c r="J27" s="222"/>
      <c r="K27" s="222"/>
      <c r="L27" s="222"/>
      <c r="M27" s="222"/>
      <c r="N27" s="408"/>
      <c r="O27" s="291"/>
      <c r="P27" s="376"/>
      <c r="Q27" s="405"/>
      <c r="R27" s="222"/>
      <c r="S27" s="222"/>
      <c r="T27" s="222"/>
      <c r="U27" s="222"/>
      <c r="V27" s="222"/>
      <c r="W27" s="222"/>
      <c r="X27" s="222"/>
      <c r="Y27" s="222"/>
      <c r="Z27" s="222"/>
      <c r="AA27" s="222"/>
      <c r="AB27" s="222"/>
      <c r="AC27" s="222"/>
      <c r="AD27" s="291"/>
      <c r="AE27" s="412"/>
      <c r="AF27" s="291"/>
      <c r="AG27" s="64"/>
      <c r="AH27" s="405"/>
      <c r="AI27" s="291"/>
      <c r="AJ27" s="442"/>
      <c r="AK27" s="222"/>
      <c r="AL27" s="222"/>
      <c r="AM27" s="222"/>
      <c r="AN27" s="222"/>
      <c r="AO27" s="222"/>
      <c r="AP27" s="222"/>
      <c r="AQ27" s="222"/>
      <c r="AR27" s="443"/>
      <c r="AS27" s="222"/>
      <c r="AT27" s="222"/>
      <c r="AU27" s="222"/>
      <c r="AV27" s="222"/>
      <c r="AW27" s="222"/>
      <c r="AX27" s="222"/>
      <c r="AY27" s="222"/>
      <c r="AZ27" s="222"/>
      <c r="BA27" s="222"/>
      <c r="BB27" s="222"/>
      <c r="BC27" s="222"/>
      <c r="BD27" s="222"/>
      <c r="BE27" s="222"/>
      <c r="BF27" s="446"/>
      <c r="BG27" s="406"/>
      <c r="BH27" s="291"/>
      <c r="BI27" s="448"/>
      <c r="BJ27" s="434"/>
      <c r="BK27" s="222"/>
      <c r="BL27" s="405"/>
      <c r="BM27" s="222"/>
      <c r="BN27" s="406"/>
      <c r="BO27" s="222"/>
      <c r="BP27" s="420"/>
      <c r="BQ27" s="222"/>
      <c r="BR27" s="222"/>
      <c r="BS27" s="222"/>
      <c r="BT27" s="222"/>
      <c r="BU27" s="222"/>
      <c r="BV27" s="222"/>
      <c r="BW27" s="222"/>
      <c r="BX27" s="421"/>
      <c r="BY27" s="222"/>
      <c r="BZ27" s="222"/>
      <c r="CA27" s="222"/>
      <c r="CB27" s="222"/>
      <c r="CC27" s="222"/>
      <c r="CD27" s="222"/>
      <c r="CE27" s="222"/>
      <c r="CF27" s="222"/>
      <c r="CG27" s="222"/>
      <c r="CH27" s="222"/>
      <c r="CI27" s="222"/>
      <c r="CJ27" s="222"/>
      <c r="CK27" s="222"/>
      <c r="CL27" s="222"/>
      <c r="CM27" s="406"/>
      <c r="CN27" s="291"/>
      <c r="CO27" s="73"/>
      <c r="CP27" s="59"/>
      <c r="CQ27" s="59"/>
      <c r="CR27" s="59"/>
      <c r="CS27" s="59"/>
      <c r="CT27" s="59"/>
      <c r="CU27" s="59"/>
    </row>
    <row r="28">
      <c r="A28" s="64"/>
      <c r="B28" s="408"/>
      <c r="C28" s="222"/>
      <c r="D28" s="434"/>
      <c r="E28" s="435"/>
      <c r="F28" s="222"/>
      <c r="G28" s="222"/>
      <c r="H28" s="222"/>
      <c r="I28" s="222"/>
      <c r="J28" s="222"/>
      <c r="K28" s="222"/>
      <c r="L28" s="222"/>
      <c r="M28" s="222"/>
      <c r="N28" s="408"/>
      <c r="O28" s="291"/>
      <c r="P28" s="376"/>
      <c r="Q28" s="405"/>
      <c r="R28" s="222"/>
      <c r="S28" s="222"/>
      <c r="T28" s="222"/>
      <c r="U28" s="222"/>
      <c r="V28" s="222"/>
      <c r="W28" s="222"/>
      <c r="X28" s="222"/>
      <c r="Y28" s="222"/>
      <c r="Z28" s="222"/>
      <c r="AA28" s="222"/>
      <c r="AB28" s="222"/>
      <c r="AC28" s="222"/>
      <c r="AD28" s="291"/>
      <c r="AE28" s="412"/>
      <c r="AF28" s="291"/>
      <c r="AG28" s="64"/>
      <c r="AH28" s="405"/>
      <c r="AI28" s="291"/>
      <c r="AJ28" s="442"/>
      <c r="AK28" s="222"/>
      <c r="AL28" s="222"/>
      <c r="AM28" s="222"/>
      <c r="AN28" s="222"/>
      <c r="AO28" s="222"/>
      <c r="AP28" s="222"/>
      <c r="AQ28" s="291"/>
      <c r="AR28" s="443"/>
      <c r="AS28" s="222"/>
      <c r="AT28" s="222"/>
      <c r="AU28" s="222"/>
      <c r="AV28" s="222"/>
      <c r="AW28" s="222"/>
      <c r="AX28" s="222"/>
      <c r="AY28" s="222"/>
      <c r="AZ28" s="222"/>
      <c r="BA28" s="222"/>
      <c r="BB28" s="222"/>
      <c r="BC28" s="222"/>
      <c r="BD28" s="222"/>
      <c r="BE28" s="291"/>
      <c r="BF28" s="446"/>
      <c r="BG28" s="406"/>
      <c r="BH28" s="291"/>
      <c r="BI28" s="343"/>
      <c r="BJ28" s="434"/>
      <c r="BK28" s="291"/>
      <c r="BL28" s="405"/>
      <c r="BM28" s="291"/>
      <c r="BN28" s="406"/>
      <c r="BO28" s="291"/>
      <c r="BP28" s="519"/>
      <c r="BQ28" s="222"/>
      <c r="BR28" s="222"/>
      <c r="BS28" s="222"/>
      <c r="BT28" s="222"/>
      <c r="BU28" s="222"/>
      <c r="BV28" s="222"/>
      <c r="BW28" s="222"/>
      <c r="BX28" s="520"/>
      <c r="BY28" s="222"/>
      <c r="BZ28" s="222"/>
      <c r="CA28" s="222"/>
      <c r="CB28" s="222"/>
      <c r="CC28" s="222"/>
      <c r="CD28" s="222"/>
      <c r="CE28" s="222"/>
      <c r="CF28" s="222"/>
      <c r="CG28" s="222"/>
      <c r="CH28" s="222"/>
      <c r="CI28" s="222"/>
      <c r="CJ28" s="222"/>
      <c r="CK28" s="222"/>
      <c r="CL28" s="291"/>
      <c r="CM28" s="406"/>
      <c r="CN28" s="291"/>
      <c r="CO28" s="73"/>
      <c r="CP28" s="59"/>
      <c r="CQ28" s="59"/>
      <c r="CR28" s="59"/>
      <c r="CS28" s="59"/>
      <c r="CT28" s="59"/>
      <c r="CU28" s="59"/>
    </row>
    <row r="29">
      <c r="A29" s="64"/>
      <c r="B29" s="408"/>
      <c r="C29" s="222"/>
      <c r="D29" s="434"/>
      <c r="E29" s="435"/>
      <c r="F29" s="222"/>
      <c r="G29" s="222"/>
      <c r="H29" s="222"/>
      <c r="I29" s="222"/>
      <c r="J29" s="222"/>
      <c r="K29" s="222"/>
      <c r="L29" s="222"/>
      <c r="M29" s="222"/>
      <c r="N29" s="408"/>
      <c r="O29" s="291"/>
      <c r="P29" s="376"/>
      <c r="Q29" s="405"/>
      <c r="R29" s="222"/>
      <c r="S29" s="222"/>
      <c r="T29" s="222"/>
      <c r="U29" s="222"/>
      <c r="V29" s="222"/>
      <c r="W29" s="222"/>
      <c r="X29" s="222"/>
      <c r="Y29" s="222"/>
      <c r="Z29" s="222"/>
      <c r="AA29" s="222"/>
      <c r="AB29" s="222"/>
      <c r="AC29" s="222"/>
      <c r="AD29" s="291"/>
      <c r="AE29" s="412"/>
      <c r="AF29" s="291"/>
      <c r="AG29" s="64"/>
      <c r="AH29" s="521"/>
      <c r="AI29" s="236"/>
      <c r="AJ29" s="522"/>
      <c r="AK29" s="234"/>
      <c r="AL29" s="234"/>
      <c r="AM29" s="234"/>
      <c r="AN29" s="234"/>
      <c r="AO29" s="234"/>
      <c r="AP29" s="234"/>
      <c r="AQ29" s="236"/>
      <c r="AR29" s="525"/>
      <c r="AS29" s="234"/>
      <c r="AT29" s="234"/>
      <c r="AU29" s="234"/>
      <c r="AV29" s="234"/>
      <c r="AW29" s="234"/>
      <c r="AX29" s="234"/>
      <c r="AY29" s="234"/>
      <c r="AZ29" s="234"/>
      <c r="BA29" s="234"/>
      <c r="BB29" s="234"/>
      <c r="BC29" s="234"/>
      <c r="BD29" s="234"/>
      <c r="BE29" s="236"/>
      <c r="BF29" s="527"/>
      <c r="BG29" s="529"/>
      <c r="BH29" s="236"/>
      <c r="BI29" s="343"/>
      <c r="BJ29" s="434"/>
      <c r="BK29" s="291"/>
      <c r="BL29" s="405"/>
      <c r="BM29" s="291"/>
      <c r="BN29" s="406"/>
      <c r="BO29" s="291"/>
      <c r="BP29" s="519"/>
      <c r="BQ29" s="222"/>
      <c r="BR29" s="222"/>
      <c r="BS29" s="222"/>
      <c r="BT29" s="222"/>
      <c r="BU29" s="222"/>
      <c r="BV29" s="222"/>
      <c r="BW29" s="222"/>
      <c r="BX29" s="520"/>
      <c r="BY29" s="222"/>
      <c r="BZ29" s="222"/>
      <c r="CA29" s="222"/>
      <c r="CB29" s="222"/>
      <c r="CC29" s="222"/>
      <c r="CD29" s="222"/>
      <c r="CE29" s="222"/>
      <c r="CF29" s="222"/>
      <c r="CG29" s="222"/>
      <c r="CH29" s="222"/>
      <c r="CI29" s="222"/>
      <c r="CJ29" s="222"/>
      <c r="CK29" s="222"/>
      <c r="CL29" s="291"/>
      <c r="CM29" s="406"/>
      <c r="CN29" s="291"/>
      <c r="CO29" s="73"/>
      <c r="CP29" s="59"/>
      <c r="CQ29" s="59"/>
      <c r="CR29" s="59"/>
      <c r="CS29" s="59"/>
      <c r="CT29" s="59"/>
      <c r="CU29" s="59"/>
    </row>
    <row r="30">
      <c r="A30" s="64"/>
      <c r="B30" s="408"/>
      <c r="C30" s="222"/>
      <c r="D30" s="434"/>
      <c r="E30" s="435"/>
      <c r="F30" s="222"/>
      <c r="G30" s="222"/>
      <c r="H30" s="222"/>
      <c r="I30" s="222"/>
      <c r="J30" s="222"/>
      <c r="K30" s="222"/>
      <c r="L30" s="222"/>
      <c r="M30" s="222"/>
      <c r="N30" s="408"/>
      <c r="O30" s="291"/>
      <c r="P30" s="448"/>
      <c r="Q30" s="405"/>
      <c r="R30" s="222"/>
      <c r="S30" s="222"/>
      <c r="T30" s="222"/>
      <c r="U30" s="222"/>
      <c r="V30" s="222"/>
      <c r="W30" s="222"/>
      <c r="X30" s="222"/>
      <c r="Y30" s="222"/>
      <c r="Z30" s="222"/>
      <c r="AA30" s="222"/>
      <c r="AB30" s="222"/>
      <c r="AC30" s="222"/>
      <c r="AD30" s="291"/>
      <c r="AE30" s="412"/>
      <c r="AF30" s="291"/>
      <c r="AG30" s="64"/>
      <c r="AH30" s="533"/>
      <c r="AI30" s="533"/>
      <c r="AJ30" s="533"/>
      <c r="AK30" s="533"/>
      <c r="AL30" s="533"/>
      <c r="AM30" s="533"/>
      <c r="AN30" s="533"/>
      <c r="AO30" s="533"/>
      <c r="AP30" s="533"/>
      <c r="AQ30" s="533"/>
      <c r="AR30" s="533"/>
      <c r="AS30" s="533"/>
      <c r="AT30" s="533"/>
      <c r="AU30" s="533"/>
      <c r="AV30" s="533"/>
      <c r="AW30" s="533"/>
      <c r="AX30" s="533"/>
      <c r="AY30" s="533"/>
      <c r="AZ30" s="533"/>
      <c r="BA30" s="533"/>
      <c r="BB30" s="533"/>
      <c r="BC30" s="533"/>
      <c r="BD30" s="533"/>
      <c r="BE30" s="533"/>
      <c r="BF30" s="533"/>
      <c r="BG30" s="533"/>
      <c r="BH30" s="533"/>
      <c r="BI30" s="343"/>
      <c r="BJ30" s="434"/>
      <c r="BK30" s="291"/>
      <c r="BL30" s="405"/>
      <c r="BM30" s="291"/>
      <c r="BN30" s="406"/>
      <c r="BO30" s="291"/>
      <c r="BP30" s="519"/>
      <c r="BQ30" s="222"/>
      <c r="BR30" s="222"/>
      <c r="BS30" s="222"/>
      <c r="BT30" s="222"/>
      <c r="BU30" s="222"/>
      <c r="BV30" s="222"/>
      <c r="BW30" s="222"/>
      <c r="BX30" s="421"/>
      <c r="BY30" s="222"/>
      <c r="BZ30" s="222"/>
      <c r="CA30" s="222"/>
      <c r="CB30" s="222"/>
      <c r="CC30" s="222"/>
      <c r="CD30" s="222"/>
      <c r="CE30" s="222"/>
      <c r="CF30" s="222"/>
      <c r="CG30" s="222"/>
      <c r="CH30" s="222"/>
      <c r="CI30" s="222"/>
      <c r="CJ30" s="222"/>
      <c r="CK30" s="222"/>
      <c r="CL30" s="291"/>
      <c r="CM30" s="406"/>
      <c r="CN30" s="291"/>
      <c r="CO30" s="73"/>
      <c r="CP30" s="59"/>
      <c r="CQ30" s="59"/>
      <c r="CR30" s="59"/>
      <c r="CS30" s="59"/>
      <c r="CT30" s="59"/>
      <c r="CU30" s="59"/>
    </row>
    <row r="31">
      <c r="A31" s="64"/>
      <c r="B31" s="408"/>
      <c r="C31" s="222"/>
      <c r="D31" s="434"/>
      <c r="E31" s="435"/>
      <c r="F31" s="222"/>
      <c r="G31" s="222"/>
      <c r="H31" s="222"/>
      <c r="I31" s="222"/>
      <c r="J31" s="222"/>
      <c r="K31" s="222"/>
      <c r="L31" s="222"/>
      <c r="M31" s="222"/>
      <c r="N31" s="408"/>
      <c r="O31" s="291"/>
      <c r="P31" s="537"/>
      <c r="Q31" s="405"/>
      <c r="R31" s="222"/>
      <c r="S31" s="222"/>
      <c r="T31" s="222"/>
      <c r="U31" s="222"/>
      <c r="V31" s="222"/>
      <c r="W31" s="222"/>
      <c r="X31" s="222"/>
      <c r="Y31" s="222"/>
      <c r="Z31" s="222"/>
      <c r="AA31" s="222"/>
      <c r="AB31" s="222"/>
      <c r="AC31" s="222"/>
      <c r="AD31" s="291"/>
      <c r="AE31" s="538"/>
      <c r="AF31" s="291"/>
      <c r="AG31" s="64"/>
      <c r="AH31" s="341" t="str">
        <f>hyperlink("http://www.d20pfsrd.com/equipment/goods-and-services/herbs-oils-other-substances/","Alchemical Medicines and Drugs")</f>
        <v>Alchemical Medicines and Drugs</v>
      </c>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4"/>
      <c r="BI31" s="392"/>
      <c r="BJ31" s="434"/>
      <c r="BK31" s="291"/>
      <c r="BL31" s="405"/>
      <c r="BM31" s="291"/>
      <c r="BN31" s="406"/>
      <c r="BO31" s="291"/>
      <c r="BP31" s="519"/>
      <c r="BQ31" s="222"/>
      <c r="BR31" s="222"/>
      <c r="BS31" s="222"/>
      <c r="BT31" s="222"/>
      <c r="BU31" s="222"/>
      <c r="BV31" s="222"/>
      <c r="BW31" s="291"/>
      <c r="BX31" s="421"/>
      <c r="BY31" s="222"/>
      <c r="BZ31" s="222"/>
      <c r="CA31" s="222"/>
      <c r="CB31" s="222"/>
      <c r="CC31" s="222"/>
      <c r="CD31" s="222"/>
      <c r="CE31" s="222"/>
      <c r="CF31" s="222"/>
      <c r="CG31" s="222"/>
      <c r="CH31" s="222"/>
      <c r="CI31" s="222"/>
      <c r="CJ31" s="222"/>
      <c r="CK31" s="222"/>
      <c r="CL31" s="291"/>
      <c r="CM31" s="406"/>
      <c r="CN31" s="291"/>
      <c r="CO31" s="64"/>
      <c r="CP31" s="59"/>
      <c r="CQ31" s="59"/>
      <c r="CR31" s="59"/>
      <c r="CS31" s="59"/>
      <c r="CT31" s="59"/>
      <c r="CU31" s="59"/>
    </row>
    <row r="32">
      <c r="A32" s="64"/>
      <c r="B32" s="408"/>
      <c r="C32" s="222"/>
      <c r="D32" s="434"/>
      <c r="E32" s="435"/>
      <c r="F32" s="222"/>
      <c r="G32" s="222"/>
      <c r="H32" s="222"/>
      <c r="I32" s="222"/>
      <c r="J32" s="222"/>
      <c r="K32" s="222"/>
      <c r="L32" s="222"/>
      <c r="M32" s="222"/>
      <c r="N32" s="408"/>
      <c r="O32" s="291"/>
      <c r="P32" s="348"/>
      <c r="Q32" s="405"/>
      <c r="R32" s="222"/>
      <c r="S32" s="222"/>
      <c r="T32" s="222"/>
      <c r="U32" s="222"/>
      <c r="V32" s="222"/>
      <c r="W32" s="222"/>
      <c r="X32" s="222"/>
      <c r="Y32" s="222"/>
      <c r="Z32" s="222"/>
      <c r="AA32" s="222"/>
      <c r="AB32" s="222"/>
      <c r="AC32" s="222"/>
      <c r="AD32" s="291"/>
      <c r="AE32" s="412"/>
      <c r="AF32" s="291"/>
      <c r="AG32" s="64"/>
      <c r="AH32" s="346" t="s">
        <v>283</v>
      </c>
      <c r="AI32" s="67"/>
      <c r="AJ32" s="548" t="s">
        <v>125</v>
      </c>
      <c r="AK32" s="67"/>
      <c r="AL32" s="67"/>
      <c r="AM32" s="67"/>
      <c r="AN32" s="67"/>
      <c r="AO32" s="67"/>
      <c r="AP32" s="67"/>
      <c r="AQ32" s="67"/>
      <c r="AR32" s="551" t="s">
        <v>298</v>
      </c>
      <c r="AS32" s="67"/>
      <c r="AT32" s="67"/>
      <c r="AU32" s="67"/>
      <c r="AV32" s="67"/>
      <c r="AW32" s="67"/>
      <c r="AX32" s="67"/>
      <c r="AY32" s="67"/>
      <c r="AZ32" s="67"/>
      <c r="BA32" s="67"/>
      <c r="BB32" s="67"/>
      <c r="BC32" s="67"/>
      <c r="BD32" s="67"/>
      <c r="BE32" s="67"/>
      <c r="BF32" s="553" t="s">
        <v>300</v>
      </c>
      <c r="BG32" s="347" t="s">
        <v>287</v>
      </c>
      <c r="BH32" s="69"/>
      <c r="BI32" s="392"/>
      <c r="BJ32" s="406"/>
      <c r="BK32" s="291"/>
      <c r="BL32" s="405"/>
      <c r="BM32" s="291"/>
      <c r="BN32" s="406"/>
      <c r="BO32" s="291"/>
      <c r="BP32" s="519"/>
      <c r="BQ32" s="222"/>
      <c r="BR32" s="222"/>
      <c r="BS32" s="222"/>
      <c r="BT32" s="222"/>
      <c r="BU32" s="222"/>
      <c r="BV32" s="222"/>
      <c r="BW32" s="222"/>
      <c r="BX32" s="421"/>
      <c r="BY32" s="222"/>
      <c r="BZ32" s="222"/>
      <c r="CA32" s="222"/>
      <c r="CB32" s="222"/>
      <c r="CC32" s="222"/>
      <c r="CD32" s="222"/>
      <c r="CE32" s="222"/>
      <c r="CF32" s="222"/>
      <c r="CG32" s="222"/>
      <c r="CH32" s="222"/>
      <c r="CI32" s="222"/>
      <c r="CJ32" s="222"/>
      <c r="CK32" s="222"/>
      <c r="CL32" s="291"/>
      <c r="CM32" s="406"/>
      <c r="CN32" s="291"/>
      <c r="CO32" s="64"/>
      <c r="CP32" s="59"/>
      <c r="CQ32" s="59"/>
      <c r="CR32" s="59"/>
      <c r="CS32" s="59"/>
      <c r="CT32" s="59"/>
      <c r="CU32" s="59"/>
    </row>
    <row r="33">
      <c r="A33" s="64"/>
      <c r="B33" s="408"/>
      <c r="C33" s="222"/>
      <c r="D33" s="434"/>
      <c r="E33" s="435"/>
      <c r="F33" s="222"/>
      <c r="G33" s="222"/>
      <c r="H33" s="222"/>
      <c r="I33" s="222"/>
      <c r="J33" s="222"/>
      <c r="K33" s="222"/>
      <c r="L33" s="222"/>
      <c r="M33" s="222"/>
      <c r="N33" s="408"/>
      <c r="O33" s="291"/>
      <c r="P33" s="348"/>
      <c r="Q33" s="405"/>
      <c r="R33" s="222"/>
      <c r="S33" s="222"/>
      <c r="T33" s="222"/>
      <c r="U33" s="222"/>
      <c r="V33" s="222"/>
      <c r="W33" s="222"/>
      <c r="X33" s="222"/>
      <c r="Y33" s="222"/>
      <c r="Z33" s="222"/>
      <c r="AA33" s="222"/>
      <c r="AB33" s="222"/>
      <c r="AC33" s="222"/>
      <c r="AD33" s="291"/>
      <c r="AE33" s="406"/>
      <c r="AF33" s="291"/>
      <c r="AG33" s="64"/>
      <c r="AH33" s="370"/>
      <c r="AI33" s="166"/>
      <c r="AJ33" s="566"/>
      <c r="AK33" s="166"/>
      <c r="AL33" s="166"/>
      <c r="AM33" s="166"/>
      <c r="AN33" s="166"/>
      <c r="AO33" s="166"/>
      <c r="AP33" s="166"/>
      <c r="AQ33" s="183"/>
      <c r="AR33" s="568"/>
      <c r="AS33" s="166"/>
      <c r="AT33" s="166"/>
      <c r="AU33" s="166"/>
      <c r="AV33" s="166"/>
      <c r="AW33" s="166"/>
      <c r="AX33" s="166"/>
      <c r="AY33" s="166"/>
      <c r="AZ33" s="166"/>
      <c r="BA33" s="166"/>
      <c r="BB33" s="166"/>
      <c r="BC33" s="166"/>
      <c r="BD33" s="166"/>
      <c r="BE33" s="183"/>
      <c r="BF33" s="569"/>
      <c r="BG33" s="570"/>
      <c r="BH33" s="183"/>
      <c r="BI33" s="392"/>
      <c r="BJ33" s="434"/>
      <c r="BK33" s="291"/>
      <c r="BL33" s="405"/>
      <c r="BM33" s="291"/>
      <c r="BN33" s="434"/>
      <c r="BO33" s="291"/>
      <c r="BP33" s="519"/>
      <c r="BQ33" s="222"/>
      <c r="BR33" s="222"/>
      <c r="BS33" s="222"/>
      <c r="BT33" s="222"/>
      <c r="BU33" s="222"/>
      <c r="BV33" s="222"/>
      <c r="BW33" s="222"/>
      <c r="BX33" s="520"/>
      <c r="BY33" s="222"/>
      <c r="BZ33" s="222"/>
      <c r="CA33" s="222"/>
      <c r="CB33" s="222"/>
      <c r="CC33" s="222"/>
      <c r="CD33" s="222"/>
      <c r="CE33" s="222"/>
      <c r="CF33" s="222"/>
      <c r="CG33" s="222"/>
      <c r="CH33" s="222"/>
      <c r="CI33" s="222"/>
      <c r="CJ33" s="222"/>
      <c r="CK33" s="222"/>
      <c r="CL33" s="291"/>
      <c r="CM33" s="406"/>
      <c r="CN33" s="291"/>
      <c r="CO33" s="64"/>
      <c r="CP33" s="59"/>
      <c r="CQ33" s="59"/>
      <c r="CR33" s="59"/>
      <c r="CS33" s="59"/>
      <c r="CT33" s="59"/>
      <c r="CU33" s="59"/>
    </row>
    <row r="34">
      <c r="A34" s="64"/>
      <c r="B34" s="408"/>
      <c r="C34" s="222"/>
      <c r="D34" s="434"/>
      <c r="E34" s="435"/>
      <c r="F34" s="222"/>
      <c r="G34" s="222"/>
      <c r="H34" s="222"/>
      <c r="I34" s="222"/>
      <c r="J34" s="222"/>
      <c r="K34" s="222"/>
      <c r="L34" s="222"/>
      <c r="M34" s="222"/>
      <c r="N34" s="408"/>
      <c r="O34" s="291"/>
      <c r="P34" s="348"/>
      <c r="Q34" s="405"/>
      <c r="R34" s="222"/>
      <c r="S34" s="222"/>
      <c r="T34" s="222"/>
      <c r="U34" s="222"/>
      <c r="V34" s="222"/>
      <c r="W34" s="222"/>
      <c r="X34" s="222"/>
      <c r="Y34" s="222"/>
      <c r="Z34" s="222"/>
      <c r="AA34" s="222"/>
      <c r="AB34" s="222"/>
      <c r="AC34" s="222"/>
      <c r="AD34" s="291"/>
      <c r="AE34" s="406"/>
      <c r="AF34" s="291"/>
      <c r="AG34" s="64"/>
      <c r="AH34" s="405"/>
      <c r="AI34" s="222"/>
      <c r="AJ34" s="415"/>
      <c r="AK34" s="222"/>
      <c r="AL34" s="222"/>
      <c r="AM34" s="222"/>
      <c r="AN34" s="222"/>
      <c r="AO34" s="222"/>
      <c r="AP34" s="222"/>
      <c r="AQ34" s="291"/>
      <c r="AR34" s="416"/>
      <c r="AS34" s="222"/>
      <c r="AT34" s="222"/>
      <c r="AU34" s="222"/>
      <c r="AV34" s="222"/>
      <c r="AW34" s="222"/>
      <c r="AX34" s="222"/>
      <c r="AY34" s="222"/>
      <c r="AZ34" s="222"/>
      <c r="BA34" s="222"/>
      <c r="BB34" s="222"/>
      <c r="BC34" s="222"/>
      <c r="BD34" s="222"/>
      <c r="BE34" s="291"/>
      <c r="BF34" s="572"/>
      <c r="BG34" s="419"/>
      <c r="BH34" s="291"/>
      <c r="BI34" s="392"/>
      <c r="BJ34" s="434"/>
      <c r="BK34" s="291"/>
      <c r="BL34" s="405"/>
      <c r="BM34" s="291"/>
      <c r="BN34" s="434"/>
      <c r="BO34" s="291"/>
      <c r="BP34" s="519"/>
      <c r="BQ34" s="222"/>
      <c r="BR34" s="222"/>
      <c r="BS34" s="222"/>
      <c r="BT34" s="222"/>
      <c r="BU34" s="222"/>
      <c r="BV34" s="222"/>
      <c r="BW34" s="222"/>
      <c r="BX34" s="520"/>
      <c r="BY34" s="222"/>
      <c r="BZ34" s="222"/>
      <c r="CA34" s="222"/>
      <c r="CB34" s="222"/>
      <c r="CC34" s="222"/>
      <c r="CD34" s="222"/>
      <c r="CE34" s="222"/>
      <c r="CF34" s="222"/>
      <c r="CG34" s="222"/>
      <c r="CH34" s="222"/>
      <c r="CI34" s="222"/>
      <c r="CJ34" s="222"/>
      <c r="CK34" s="222"/>
      <c r="CL34" s="291"/>
      <c r="CM34" s="406"/>
      <c r="CN34" s="291"/>
      <c r="CO34" s="64"/>
      <c r="CP34" s="59"/>
      <c r="CQ34" s="59"/>
      <c r="CR34" s="59"/>
      <c r="CS34" s="59"/>
      <c r="CT34" s="59"/>
      <c r="CU34" s="59"/>
    </row>
    <row r="35">
      <c r="A35" s="64"/>
      <c r="B35" s="408"/>
      <c r="C35" s="222"/>
      <c r="D35" s="434"/>
      <c r="E35" s="435"/>
      <c r="F35" s="222"/>
      <c r="G35" s="222"/>
      <c r="H35" s="222"/>
      <c r="I35" s="222"/>
      <c r="J35" s="222"/>
      <c r="K35" s="222"/>
      <c r="L35" s="222"/>
      <c r="M35" s="222"/>
      <c r="N35" s="408"/>
      <c r="O35" s="291"/>
      <c r="P35" s="348"/>
      <c r="Q35" s="405"/>
      <c r="R35" s="222"/>
      <c r="S35" s="222"/>
      <c r="T35" s="222"/>
      <c r="U35" s="222"/>
      <c r="V35" s="222"/>
      <c r="W35" s="222"/>
      <c r="X35" s="222"/>
      <c r="Y35" s="222"/>
      <c r="Z35" s="222"/>
      <c r="AA35" s="222"/>
      <c r="AB35" s="222"/>
      <c r="AC35" s="222"/>
      <c r="AD35" s="291"/>
      <c r="AE35" s="406"/>
      <c r="AF35" s="291"/>
      <c r="AG35" s="64"/>
      <c r="AH35" s="408"/>
      <c r="AI35" s="222"/>
      <c r="AJ35" s="415"/>
      <c r="AK35" s="222"/>
      <c r="AL35" s="222"/>
      <c r="AM35" s="222"/>
      <c r="AN35" s="222"/>
      <c r="AO35" s="222"/>
      <c r="AP35" s="222"/>
      <c r="AQ35" s="291"/>
      <c r="AR35" s="416"/>
      <c r="AS35" s="222"/>
      <c r="AT35" s="222"/>
      <c r="AU35" s="222"/>
      <c r="AV35" s="222"/>
      <c r="AW35" s="222"/>
      <c r="AX35" s="222"/>
      <c r="AY35" s="222"/>
      <c r="AZ35" s="222"/>
      <c r="BA35" s="222"/>
      <c r="BB35" s="222"/>
      <c r="BC35" s="222"/>
      <c r="BD35" s="222"/>
      <c r="BE35" s="291"/>
      <c r="BF35" s="572"/>
      <c r="BG35" s="419"/>
      <c r="BH35" s="291"/>
      <c r="BI35" s="392"/>
      <c r="BJ35" s="406"/>
      <c r="BK35" s="291"/>
      <c r="BL35" s="405"/>
      <c r="BM35" s="291"/>
      <c r="BN35" s="406"/>
      <c r="BO35" s="291"/>
      <c r="BP35" s="519"/>
      <c r="BQ35" s="222"/>
      <c r="BR35" s="222"/>
      <c r="BS35" s="222"/>
      <c r="BT35" s="222"/>
      <c r="BU35" s="222"/>
      <c r="BV35" s="222"/>
      <c r="BW35" s="291"/>
      <c r="BX35" s="421"/>
      <c r="BY35" s="222"/>
      <c r="BZ35" s="222"/>
      <c r="CA35" s="222"/>
      <c r="CB35" s="222"/>
      <c r="CC35" s="222"/>
      <c r="CD35" s="222"/>
      <c r="CE35" s="222"/>
      <c r="CF35" s="222"/>
      <c r="CG35" s="222"/>
      <c r="CH35" s="222"/>
      <c r="CI35" s="222"/>
      <c r="CJ35" s="222"/>
      <c r="CK35" s="222"/>
      <c r="CL35" s="291"/>
      <c r="CM35" s="406"/>
      <c r="CN35" s="291"/>
      <c r="CO35" s="64"/>
      <c r="CP35" s="59"/>
      <c r="CQ35" s="59"/>
      <c r="CR35" s="59"/>
      <c r="CS35" s="59"/>
      <c r="CT35" s="59"/>
      <c r="CU35" s="59"/>
    </row>
    <row r="36">
      <c r="A36" s="64"/>
      <c r="B36" s="408"/>
      <c r="C36" s="222"/>
      <c r="D36" s="434"/>
      <c r="E36" s="435"/>
      <c r="F36" s="222"/>
      <c r="G36" s="222"/>
      <c r="H36" s="222"/>
      <c r="I36" s="222"/>
      <c r="J36" s="222"/>
      <c r="K36" s="222"/>
      <c r="L36" s="222"/>
      <c r="M36" s="222"/>
      <c r="N36" s="408"/>
      <c r="O36" s="291"/>
      <c r="P36" s="348"/>
      <c r="Q36" s="405"/>
      <c r="R36" s="222"/>
      <c r="S36" s="222"/>
      <c r="T36" s="222"/>
      <c r="U36" s="222"/>
      <c r="V36" s="222"/>
      <c r="W36" s="222"/>
      <c r="X36" s="222"/>
      <c r="Y36" s="222"/>
      <c r="Z36" s="222"/>
      <c r="AA36" s="222"/>
      <c r="AB36" s="222"/>
      <c r="AC36" s="222"/>
      <c r="AD36" s="291"/>
      <c r="AE36" s="406"/>
      <c r="AF36" s="291"/>
      <c r="AG36" s="64"/>
      <c r="AH36" s="408"/>
      <c r="AI36" s="222"/>
      <c r="AJ36" s="415"/>
      <c r="AK36" s="222"/>
      <c r="AL36" s="222"/>
      <c r="AM36" s="222"/>
      <c r="AN36" s="222"/>
      <c r="AO36" s="222"/>
      <c r="AP36" s="222"/>
      <c r="AQ36" s="222"/>
      <c r="AR36" s="582"/>
      <c r="AS36" s="222"/>
      <c r="AT36" s="222"/>
      <c r="AU36" s="222"/>
      <c r="AV36" s="222"/>
      <c r="AW36" s="222"/>
      <c r="AX36" s="222"/>
      <c r="AY36" s="222"/>
      <c r="AZ36" s="222"/>
      <c r="BA36" s="222"/>
      <c r="BB36" s="222"/>
      <c r="BC36" s="222"/>
      <c r="BD36" s="222"/>
      <c r="BE36" s="291"/>
      <c r="BF36" s="585"/>
      <c r="BG36" s="586"/>
      <c r="BH36" s="291"/>
      <c r="BI36" s="392"/>
      <c r="BJ36" s="406"/>
      <c r="BK36" s="291"/>
      <c r="BL36" s="405"/>
      <c r="BM36" s="291"/>
      <c r="BN36" s="406"/>
      <c r="BO36" s="291"/>
      <c r="BP36" s="519"/>
      <c r="BQ36" s="222"/>
      <c r="BR36" s="222"/>
      <c r="BS36" s="222"/>
      <c r="BT36" s="222"/>
      <c r="BU36" s="222"/>
      <c r="BV36" s="222"/>
      <c r="BW36" s="222"/>
      <c r="BX36" s="421"/>
      <c r="BY36" s="222"/>
      <c r="BZ36" s="222"/>
      <c r="CA36" s="222"/>
      <c r="CB36" s="222"/>
      <c r="CC36" s="222"/>
      <c r="CD36" s="222"/>
      <c r="CE36" s="222"/>
      <c r="CF36" s="222"/>
      <c r="CG36" s="222"/>
      <c r="CH36" s="222"/>
      <c r="CI36" s="222"/>
      <c r="CJ36" s="222"/>
      <c r="CK36" s="222"/>
      <c r="CL36" s="291"/>
      <c r="CM36" s="406"/>
      <c r="CN36" s="291"/>
      <c r="CO36" s="64"/>
      <c r="CP36" s="59"/>
      <c r="CQ36" s="59"/>
      <c r="CR36" s="59"/>
      <c r="CS36" s="59"/>
      <c r="CT36" s="59"/>
      <c r="CU36" s="59"/>
    </row>
    <row r="37">
      <c r="A37" s="64"/>
      <c r="B37" s="408"/>
      <c r="C37" s="222"/>
      <c r="D37" s="434"/>
      <c r="E37" s="435"/>
      <c r="F37" s="222"/>
      <c r="G37" s="222"/>
      <c r="H37" s="222"/>
      <c r="I37" s="222"/>
      <c r="J37" s="222"/>
      <c r="K37" s="222"/>
      <c r="L37" s="222"/>
      <c r="M37" s="222"/>
      <c r="N37" s="408"/>
      <c r="O37" s="291"/>
      <c r="P37" s="348"/>
      <c r="Q37" s="405"/>
      <c r="R37" s="222"/>
      <c r="S37" s="222"/>
      <c r="T37" s="222"/>
      <c r="U37" s="222"/>
      <c r="V37" s="222"/>
      <c r="W37" s="222"/>
      <c r="X37" s="222"/>
      <c r="Y37" s="222"/>
      <c r="Z37" s="222"/>
      <c r="AA37" s="222"/>
      <c r="AB37" s="222"/>
      <c r="AC37" s="222"/>
      <c r="AD37" s="291"/>
      <c r="AE37" s="406"/>
      <c r="AF37" s="291"/>
      <c r="AG37" s="64"/>
      <c r="AH37" s="408"/>
      <c r="AI37" s="222"/>
      <c r="AJ37" s="415"/>
      <c r="AK37" s="222"/>
      <c r="AL37" s="222"/>
      <c r="AM37" s="222"/>
      <c r="AN37" s="222"/>
      <c r="AO37" s="222"/>
      <c r="AP37" s="222"/>
      <c r="AQ37" s="222"/>
      <c r="AR37" s="582"/>
      <c r="AS37" s="222"/>
      <c r="AT37" s="222"/>
      <c r="AU37" s="222"/>
      <c r="AV37" s="222"/>
      <c r="AW37" s="222"/>
      <c r="AX37" s="222"/>
      <c r="AY37" s="222"/>
      <c r="AZ37" s="222"/>
      <c r="BA37" s="222"/>
      <c r="BB37" s="222"/>
      <c r="BC37" s="222"/>
      <c r="BD37" s="222"/>
      <c r="BE37" s="291"/>
      <c r="BF37" s="585"/>
      <c r="BG37" s="586"/>
      <c r="BH37" s="291"/>
      <c r="BI37" s="392"/>
      <c r="BJ37" s="434"/>
      <c r="BK37" s="291"/>
      <c r="BL37" s="408"/>
      <c r="BM37" s="291"/>
      <c r="BN37" s="434"/>
      <c r="BO37" s="291"/>
      <c r="BP37" s="519"/>
      <c r="BQ37" s="222"/>
      <c r="BR37" s="222"/>
      <c r="BS37" s="222"/>
      <c r="BT37" s="222"/>
      <c r="BU37" s="222"/>
      <c r="BV37" s="222"/>
      <c r="BW37" s="222"/>
      <c r="BX37" s="421"/>
      <c r="BY37" s="222"/>
      <c r="BZ37" s="222"/>
      <c r="CA37" s="222"/>
      <c r="CB37" s="222"/>
      <c r="CC37" s="222"/>
      <c r="CD37" s="222"/>
      <c r="CE37" s="222"/>
      <c r="CF37" s="222"/>
      <c r="CG37" s="222"/>
      <c r="CH37" s="222"/>
      <c r="CI37" s="222"/>
      <c r="CJ37" s="222"/>
      <c r="CK37" s="222"/>
      <c r="CL37" s="291"/>
      <c r="CM37" s="406"/>
      <c r="CN37" s="291"/>
      <c r="CO37" s="64"/>
      <c r="CP37" s="59"/>
      <c r="CQ37" s="59"/>
      <c r="CR37" s="59"/>
      <c r="CS37" s="59"/>
      <c r="CT37" s="59"/>
      <c r="CU37" s="59"/>
    </row>
    <row r="38">
      <c r="A38" s="64"/>
      <c r="B38" s="408"/>
      <c r="C38" s="222"/>
      <c r="D38" s="434"/>
      <c r="E38" s="435"/>
      <c r="F38" s="222"/>
      <c r="G38" s="222"/>
      <c r="H38" s="222"/>
      <c r="I38" s="222"/>
      <c r="J38" s="222"/>
      <c r="K38" s="222"/>
      <c r="L38" s="222"/>
      <c r="M38" s="222"/>
      <c r="N38" s="408"/>
      <c r="O38" s="291"/>
      <c r="P38" s="348"/>
      <c r="Q38" s="405"/>
      <c r="R38" s="222"/>
      <c r="S38" s="222"/>
      <c r="T38" s="222"/>
      <c r="U38" s="222"/>
      <c r="V38" s="222"/>
      <c r="W38" s="222"/>
      <c r="X38" s="222"/>
      <c r="Y38" s="222"/>
      <c r="Z38" s="222"/>
      <c r="AA38" s="222"/>
      <c r="AB38" s="222"/>
      <c r="AC38" s="222"/>
      <c r="AD38" s="291"/>
      <c r="AE38" s="406"/>
      <c r="AF38" s="291"/>
      <c r="AG38" s="73"/>
      <c r="AH38" s="408"/>
      <c r="AI38" s="222"/>
      <c r="AJ38" s="415"/>
      <c r="AK38" s="222"/>
      <c r="AL38" s="222"/>
      <c r="AM38" s="222"/>
      <c r="AN38" s="222"/>
      <c r="AO38" s="222"/>
      <c r="AP38" s="222"/>
      <c r="AQ38" s="222"/>
      <c r="AR38" s="582"/>
      <c r="AS38" s="222"/>
      <c r="AT38" s="222"/>
      <c r="AU38" s="222"/>
      <c r="AV38" s="222"/>
      <c r="AW38" s="222"/>
      <c r="AX38" s="222"/>
      <c r="AY38" s="222"/>
      <c r="AZ38" s="222"/>
      <c r="BA38" s="222"/>
      <c r="BB38" s="222"/>
      <c r="BC38" s="222"/>
      <c r="BD38" s="222"/>
      <c r="BE38" s="291"/>
      <c r="BF38" s="585"/>
      <c r="BG38" s="586"/>
      <c r="BH38" s="291"/>
      <c r="BI38" s="392"/>
      <c r="BJ38" s="434"/>
      <c r="BK38" s="291"/>
      <c r="BL38" s="408"/>
      <c r="BM38" s="291"/>
      <c r="BN38" s="434"/>
      <c r="BO38" s="291"/>
      <c r="BP38" s="519"/>
      <c r="BQ38" s="222"/>
      <c r="BR38" s="222"/>
      <c r="BS38" s="222"/>
      <c r="BT38" s="222"/>
      <c r="BU38" s="222"/>
      <c r="BV38" s="222"/>
      <c r="BW38" s="222"/>
      <c r="BX38" s="591"/>
      <c r="BY38" s="222"/>
      <c r="BZ38" s="222"/>
      <c r="CA38" s="222"/>
      <c r="CB38" s="222"/>
      <c r="CC38" s="222"/>
      <c r="CD38" s="222"/>
      <c r="CE38" s="222"/>
      <c r="CF38" s="222"/>
      <c r="CG38" s="222"/>
      <c r="CH38" s="222"/>
      <c r="CI38" s="222"/>
      <c r="CJ38" s="222"/>
      <c r="CK38" s="222"/>
      <c r="CL38" s="291"/>
      <c r="CM38" s="406"/>
      <c r="CN38" s="291"/>
      <c r="CO38" s="64"/>
      <c r="CP38" s="59"/>
      <c r="CQ38" s="59"/>
      <c r="CR38" s="59"/>
      <c r="CS38" s="59"/>
      <c r="CT38" s="59"/>
      <c r="CU38" s="59"/>
    </row>
    <row r="39">
      <c r="A39" s="64"/>
      <c r="B39" s="408"/>
      <c r="C39" s="222"/>
      <c r="D39" s="434"/>
      <c r="E39" s="435"/>
      <c r="F39" s="222"/>
      <c r="G39" s="222"/>
      <c r="H39" s="222"/>
      <c r="I39" s="222"/>
      <c r="J39" s="222"/>
      <c r="K39" s="222"/>
      <c r="L39" s="222"/>
      <c r="M39" s="222"/>
      <c r="N39" s="408"/>
      <c r="O39" s="291"/>
      <c r="P39" s="348"/>
      <c r="Q39" s="405"/>
      <c r="R39" s="222"/>
      <c r="S39" s="222"/>
      <c r="T39" s="222"/>
      <c r="U39" s="222"/>
      <c r="V39" s="222"/>
      <c r="W39" s="222"/>
      <c r="X39" s="222"/>
      <c r="Y39" s="222"/>
      <c r="Z39" s="222"/>
      <c r="AA39" s="222"/>
      <c r="AB39" s="222"/>
      <c r="AC39" s="222"/>
      <c r="AD39" s="291"/>
      <c r="AE39" s="406"/>
      <c r="AF39" s="291"/>
      <c r="AG39" s="64"/>
      <c r="AH39" s="408"/>
      <c r="AI39" s="222"/>
      <c r="AJ39" s="415"/>
      <c r="AK39" s="222"/>
      <c r="AL39" s="222"/>
      <c r="AM39" s="222"/>
      <c r="AN39" s="222"/>
      <c r="AO39" s="222"/>
      <c r="AP39" s="222"/>
      <c r="AQ39" s="291"/>
      <c r="AR39" s="416"/>
      <c r="AS39" s="222"/>
      <c r="AT39" s="222"/>
      <c r="AU39" s="222"/>
      <c r="AV39" s="222"/>
      <c r="AW39" s="222"/>
      <c r="AX39" s="222"/>
      <c r="AY39" s="222"/>
      <c r="AZ39" s="222"/>
      <c r="BA39" s="222"/>
      <c r="BB39" s="222"/>
      <c r="BC39" s="222"/>
      <c r="BD39" s="222"/>
      <c r="BE39" s="291"/>
      <c r="BF39" s="572"/>
      <c r="BG39" s="434"/>
      <c r="BH39" s="291"/>
      <c r="BI39" s="392"/>
      <c r="BJ39" s="406"/>
      <c r="BK39" s="291"/>
      <c r="BL39" s="405"/>
      <c r="BM39" s="291"/>
      <c r="BN39" s="406"/>
      <c r="BO39" s="291"/>
      <c r="BP39" s="519"/>
      <c r="BQ39" s="222"/>
      <c r="BR39" s="222"/>
      <c r="BS39" s="222"/>
      <c r="BT39" s="222"/>
      <c r="BU39" s="222"/>
      <c r="BV39" s="222"/>
      <c r="BW39" s="222"/>
      <c r="BX39" s="591"/>
      <c r="BY39" s="222"/>
      <c r="BZ39" s="222"/>
      <c r="CA39" s="222"/>
      <c r="CB39" s="222"/>
      <c r="CC39" s="222"/>
      <c r="CD39" s="222"/>
      <c r="CE39" s="222"/>
      <c r="CF39" s="222"/>
      <c r="CG39" s="222"/>
      <c r="CH39" s="222"/>
      <c r="CI39" s="222"/>
      <c r="CJ39" s="222"/>
      <c r="CK39" s="222"/>
      <c r="CL39" s="291"/>
      <c r="CM39" s="406"/>
      <c r="CN39" s="291"/>
      <c r="CO39" s="64"/>
      <c r="CP39" s="59"/>
      <c r="CQ39" s="59"/>
      <c r="CR39" s="59"/>
      <c r="CS39" s="64"/>
      <c r="CT39" s="64"/>
      <c r="CU39" s="64"/>
    </row>
    <row r="40">
      <c r="A40" s="64"/>
      <c r="B40" s="408"/>
      <c r="C40" s="222"/>
      <c r="D40" s="434"/>
      <c r="E40" s="435"/>
      <c r="F40" s="222"/>
      <c r="G40" s="222"/>
      <c r="H40" s="222"/>
      <c r="I40" s="222"/>
      <c r="J40" s="222"/>
      <c r="K40" s="222"/>
      <c r="L40" s="222"/>
      <c r="M40" s="222"/>
      <c r="N40" s="408"/>
      <c r="O40" s="291"/>
      <c r="P40" s="348"/>
      <c r="Q40" s="405"/>
      <c r="R40" s="222"/>
      <c r="S40" s="222"/>
      <c r="T40" s="222"/>
      <c r="U40" s="222"/>
      <c r="V40" s="222"/>
      <c r="W40" s="222"/>
      <c r="X40" s="222"/>
      <c r="Y40" s="222"/>
      <c r="Z40" s="222"/>
      <c r="AA40" s="222"/>
      <c r="AB40" s="222"/>
      <c r="AC40" s="222"/>
      <c r="AD40" s="291"/>
      <c r="AE40" s="406"/>
      <c r="AF40" s="291"/>
      <c r="AG40" s="64"/>
      <c r="AH40" s="408"/>
      <c r="AI40" s="222"/>
      <c r="AJ40" s="415"/>
      <c r="AK40" s="222"/>
      <c r="AL40" s="222"/>
      <c r="AM40" s="222"/>
      <c r="AN40" s="222"/>
      <c r="AO40" s="222"/>
      <c r="AP40" s="222"/>
      <c r="AQ40" s="291"/>
      <c r="AR40" s="416"/>
      <c r="AS40" s="222"/>
      <c r="AT40" s="222"/>
      <c r="AU40" s="222"/>
      <c r="AV40" s="222"/>
      <c r="AW40" s="222"/>
      <c r="AX40" s="222"/>
      <c r="AY40" s="222"/>
      <c r="AZ40" s="222"/>
      <c r="BA40" s="222"/>
      <c r="BB40" s="222"/>
      <c r="BC40" s="222"/>
      <c r="BD40" s="222"/>
      <c r="BE40" s="291"/>
      <c r="BF40" s="572"/>
      <c r="BG40" s="434"/>
      <c r="BH40" s="291"/>
      <c r="BI40" s="392"/>
      <c r="BJ40" s="434"/>
      <c r="BK40" s="291"/>
      <c r="BL40" s="408"/>
      <c r="BM40" s="291"/>
      <c r="BN40" s="406"/>
      <c r="BO40" s="291"/>
      <c r="BP40" s="519"/>
      <c r="BQ40" s="222"/>
      <c r="BR40" s="222"/>
      <c r="BS40" s="222"/>
      <c r="BT40" s="222"/>
      <c r="BU40" s="222"/>
      <c r="BV40" s="222"/>
      <c r="BW40" s="291"/>
      <c r="BX40" s="591"/>
      <c r="BY40" s="222"/>
      <c r="BZ40" s="222"/>
      <c r="CA40" s="222"/>
      <c r="CB40" s="222"/>
      <c r="CC40" s="222"/>
      <c r="CD40" s="222"/>
      <c r="CE40" s="222"/>
      <c r="CF40" s="222"/>
      <c r="CG40" s="222"/>
      <c r="CH40" s="222"/>
      <c r="CI40" s="222"/>
      <c r="CJ40" s="222"/>
      <c r="CK40" s="222"/>
      <c r="CL40" s="291"/>
      <c r="CM40" s="406"/>
      <c r="CN40" s="291"/>
      <c r="CO40" s="64"/>
      <c r="CP40" s="59"/>
      <c r="CQ40" s="59"/>
      <c r="CR40" s="59"/>
    </row>
    <row r="41">
      <c r="A41" s="64"/>
      <c r="B41" s="408"/>
      <c r="C41" s="222"/>
      <c r="D41" s="434"/>
      <c r="E41" s="435"/>
      <c r="F41" s="222"/>
      <c r="G41" s="222"/>
      <c r="H41" s="222"/>
      <c r="I41" s="222"/>
      <c r="J41" s="222"/>
      <c r="K41" s="222"/>
      <c r="L41" s="222"/>
      <c r="M41" s="222"/>
      <c r="N41" s="408"/>
      <c r="O41" s="291"/>
      <c r="P41" s="348"/>
      <c r="Q41" s="405"/>
      <c r="R41" s="222"/>
      <c r="S41" s="222"/>
      <c r="T41" s="222"/>
      <c r="U41" s="222"/>
      <c r="V41" s="222"/>
      <c r="W41" s="222"/>
      <c r="X41" s="222"/>
      <c r="Y41" s="222"/>
      <c r="Z41" s="222"/>
      <c r="AA41" s="222"/>
      <c r="AB41" s="222"/>
      <c r="AC41" s="222"/>
      <c r="AD41" s="291"/>
      <c r="AE41" s="406"/>
      <c r="AF41" s="291"/>
      <c r="AG41" s="64"/>
      <c r="AH41" s="408"/>
      <c r="AI41" s="222"/>
      <c r="AJ41" s="415"/>
      <c r="AK41" s="222"/>
      <c r="AL41" s="222"/>
      <c r="AM41" s="222"/>
      <c r="AN41" s="222"/>
      <c r="AO41" s="222"/>
      <c r="AP41" s="222"/>
      <c r="AQ41" s="291"/>
      <c r="AR41" s="416"/>
      <c r="AS41" s="222"/>
      <c r="AT41" s="222"/>
      <c r="AU41" s="222"/>
      <c r="AV41" s="222"/>
      <c r="AW41" s="222"/>
      <c r="AX41" s="222"/>
      <c r="AY41" s="222"/>
      <c r="AZ41" s="222"/>
      <c r="BA41" s="222"/>
      <c r="BB41" s="222"/>
      <c r="BC41" s="222"/>
      <c r="BD41" s="222"/>
      <c r="BE41" s="291"/>
      <c r="BF41" s="572"/>
      <c r="BG41" s="434"/>
      <c r="BH41" s="291"/>
      <c r="BI41" s="392"/>
      <c r="BJ41" s="434"/>
      <c r="BK41" s="291"/>
      <c r="BL41" s="408"/>
      <c r="BM41" s="291"/>
      <c r="BN41" s="434"/>
      <c r="BO41" s="291"/>
      <c r="BP41" s="519"/>
      <c r="BQ41" s="222"/>
      <c r="BR41" s="222"/>
      <c r="BS41" s="222"/>
      <c r="BT41" s="222"/>
      <c r="BU41" s="222"/>
      <c r="BV41" s="222"/>
      <c r="BW41" s="291"/>
      <c r="BX41" s="591"/>
      <c r="BY41" s="222"/>
      <c r="BZ41" s="222"/>
      <c r="CA41" s="222"/>
      <c r="CB41" s="222"/>
      <c r="CC41" s="222"/>
      <c r="CD41" s="222"/>
      <c r="CE41" s="222"/>
      <c r="CF41" s="222"/>
      <c r="CG41" s="222"/>
      <c r="CH41" s="222"/>
      <c r="CI41" s="222"/>
      <c r="CJ41" s="222"/>
      <c r="CK41" s="222"/>
      <c r="CL41" s="291"/>
      <c r="CM41" s="406"/>
      <c r="CN41" s="291"/>
      <c r="CO41" s="64"/>
      <c r="CP41" s="59"/>
      <c r="CQ41" s="59"/>
      <c r="CR41" s="59"/>
    </row>
    <row r="42">
      <c r="A42" s="64"/>
      <c r="B42" s="408"/>
      <c r="C42" s="222"/>
      <c r="D42" s="434"/>
      <c r="E42" s="435"/>
      <c r="F42" s="222"/>
      <c r="G42" s="222"/>
      <c r="H42" s="222"/>
      <c r="I42" s="222"/>
      <c r="J42" s="222"/>
      <c r="K42" s="222"/>
      <c r="L42" s="222"/>
      <c r="M42" s="222"/>
      <c r="N42" s="408"/>
      <c r="O42" s="291"/>
      <c r="P42" s="348"/>
      <c r="Q42" s="405"/>
      <c r="R42" s="222"/>
      <c r="S42" s="222"/>
      <c r="T42" s="222"/>
      <c r="U42" s="222"/>
      <c r="V42" s="222"/>
      <c r="W42" s="222"/>
      <c r="X42" s="222"/>
      <c r="Y42" s="222"/>
      <c r="Z42" s="222"/>
      <c r="AA42" s="222"/>
      <c r="AB42" s="222"/>
      <c r="AC42" s="222"/>
      <c r="AD42" s="291"/>
      <c r="AE42" s="406"/>
      <c r="AF42" s="291"/>
      <c r="AG42" s="64"/>
      <c r="AH42" s="408"/>
      <c r="AI42" s="222"/>
      <c r="AJ42" s="415"/>
      <c r="AK42" s="222"/>
      <c r="AL42" s="222"/>
      <c r="AM42" s="222"/>
      <c r="AN42" s="222"/>
      <c r="AO42" s="222"/>
      <c r="AP42" s="222"/>
      <c r="AQ42" s="291"/>
      <c r="AR42" s="416"/>
      <c r="AS42" s="222"/>
      <c r="AT42" s="222"/>
      <c r="AU42" s="222"/>
      <c r="AV42" s="222"/>
      <c r="AW42" s="222"/>
      <c r="AX42" s="222"/>
      <c r="AY42" s="222"/>
      <c r="AZ42" s="222"/>
      <c r="BA42" s="222"/>
      <c r="BB42" s="222"/>
      <c r="BC42" s="222"/>
      <c r="BD42" s="222"/>
      <c r="BE42" s="291"/>
      <c r="BF42" s="572"/>
      <c r="BG42" s="434"/>
      <c r="BH42" s="291"/>
      <c r="BI42" s="392"/>
      <c r="BJ42" s="434"/>
      <c r="BK42" s="291"/>
      <c r="BL42" s="408"/>
      <c r="BM42" s="291"/>
      <c r="BN42" s="434"/>
      <c r="BO42" s="291"/>
      <c r="BP42" s="519"/>
      <c r="BQ42" s="222"/>
      <c r="BR42" s="222"/>
      <c r="BS42" s="222"/>
      <c r="BT42" s="222"/>
      <c r="BU42" s="222"/>
      <c r="BV42" s="222"/>
      <c r="BW42" s="291"/>
      <c r="BX42" s="421"/>
      <c r="BY42" s="222"/>
      <c r="BZ42" s="222"/>
      <c r="CA42" s="222"/>
      <c r="CB42" s="222"/>
      <c r="CC42" s="222"/>
      <c r="CD42" s="222"/>
      <c r="CE42" s="222"/>
      <c r="CF42" s="222"/>
      <c r="CG42" s="222"/>
      <c r="CH42" s="222"/>
      <c r="CI42" s="222"/>
      <c r="CJ42" s="222"/>
      <c r="CK42" s="222"/>
      <c r="CL42" s="291"/>
      <c r="CM42" s="406"/>
      <c r="CN42" s="291"/>
      <c r="CO42" s="64"/>
      <c r="CP42" s="59"/>
      <c r="CQ42" s="59"/>
      <c r="CR42" s="59"/>
    </row>
    <row r="43">
      <c r="A43" s="64"/>
      <c r="B43" s="408"/>
      <c r="C43" s="222"/>
      <c r="D43" s="434"/>
      <c r="E43" s="435"/>
      <c r="F43" s="222"/>
      <c r="G43" s="222"/>
      <c r="H43" s="222"/>
      <c r="I43" s="222"/>
      <c r="J43" s="222"/>
      <c r="K43" s="222"/>
      <c r="L43" s="222"/>
      <c r="M43" s="222"/>
      <c r="N43" s="408"/>
      <c r="O43" s="291"/>
      <c r="P43" s="348"/>
      <c r="Q43" s="405"/>
      <c r="R43" s="222"/>
      <c r="S43" s="222"/>
      <c r="T43" s="222"/>
      <c r="U43" s="222"/>
      <c r="V43" s="222"/>
      <c r="W43" s="222"/>
      <c r="X43" s="222"/>
      <c r="Y43" s="222"/>
      <c r="Z43" s="222"/>
      <c r="AA43" s="222"/>
      <c r="AB43" s="222"/>
      <c r="AC43" s="222"/>
      <c r="AD43" s="291"/>
      <c r="AE43" s="406"/>
      <c r="AF43" s="291"/>
      <c r="AG43" s="64"/>
      <c r="AH43" s="408"/>
      <c r="AI43" s="222"/>
      <c r="AJ43" s="415"/>
      <c r="AK43" s="222"/>
      <c r="AL43" s="222"/>
      <c r="AM43" s="222"/>
      <c r="AN43" s="222"/>
      <c r="AO43" s="222"/>
      <c r="AP43" s="222"/>
      <c r="AQ43" s="291"/>
      <c r="AR43" s="416"/>
      <c r="AS43" s="222"/>
      <c r="AT43" s="222"/>
      <c r="AU43" s="222"/>
      <c r="AV43" s="222"/>
      <c r="AW43" s="222"/>
      <c r="AX43" s="222"/>
      <c r="AY43" s="222"/>
      <c r="AZ43" s="222"/>
      <c r="BA43" s="222"/>
      <c r="BB43" s="222"/>
      <c r="BC43" s="222"/>
      <c r="BD43" s="222"/>
      <c r="BE43" s="291"/>
      <c r="BF43" s="437"/>
      <c r="BG43" s="419"/>
      <c r="BH43" s="291"/>
      <c r="BI43" s="392"/>
      <c r="BJ43" s="434"/>
      <c r="BK43" s="291"/>
      <c r="BL43" s="408"/>
      <c r="BM43" s="291"/>
      <c r="BN43" s="434"/>
      <c r="BO43" s="291"/>
      <c r="BP43" s="519"/>
      <c r="BQ43" s="222"/>
      <c r="BR43" s="222"/>
      <c r="BS43" s="222"/>
      <c r="BT43" s="222"/>
      <c r="BU43" s="222"/>
      <c r="BV43" s="222"/>
      <c r="BW43" s="291"/>
      <c r="BX43" s="591"/>
      <c r="BY43" s="222"/>
      <c r="BZ43" s="222"/>
      <c r="CA43" s="222"/>
      <c r="CB43" s="222"/>
      <c r="CC43" s="222"/>
      <c r="CD43" s="222"/>
      <c r="CE43" s="222"/>
      <c r="CF43" s="222"/>
      <c r="CG43" s="222"/>
      <c r="CH43" s="222"/>
      <c r="CI43" s="222"/>
      <c r="CJ43" s="222"/>
      <c r="CK43" s="222"/>
      <c r="CL43" s="291"/>
      <c r="CM43" s="406"/>
      <c r="CN43" s="291"/>
      <c r="CO43" s="64"/>
      <c r="CP43" s="59"/>
      <c r="CQ43" s="59"/>
      <c r="CR43" s="59"/>
    </row>
    <row r="44">
      <c r="A44" s="64"/>
      <c r="B44" s="408"/>
      <c r="C44" s="222"/>
      <c r="D44" s="434"/>
      <c r="E44" s="435"/>
      <c r="F44" s="222"/>
      <c r="G44" s="222"/>
      <c r="H44" s="222"/>
      <c r="I44" s="222"/>
      <c r="J44" s="222"/>
      <c r="K44" s="222"/>
      <c r="L44" s="222"/>
      <c r="M44" s="222"/>
      <c r="N44" s="408"/>
      <c r="O44" s="291"/>
      <c r="P44" s="348"/>
      <c r="Q44" s="405"/>
      <c r="R44" s="222"/>
      <c r="S44" s="222"/>
      <c r="T44" s="222"/>
      <c r="U44" s="222"/>
      <c r="V44" s="222"/>
      <c r="W44" s="222"/>
      <c r="X44" s="222"/>
      <c r="Y44" s="222"/>
      <c r="Z44" s="222"/>
      <c r="AA44" s="222"/>
      <c r="AB44" s="222"/>
      <c r="AC44" s="222"/>
      <c r="AD44" s="291"/>
      <c r="AE44" s="406"/>
      <c r="AF44" s="291"/>
      <c r="AG44" s="64"/>
      <c r="AH44" s="408"/>
      <c r="AI44" s="222"/>
      <c r="AJ44" s="415"/>
      <c r="AK44" s="222"/>
      <c r="AL44" s="222"/>
      <c r="AM44" s="222"/>
      <c r="AN44" s="222"/>
      <c r="AO44" s="222"/>
      <c r="AP44" s="222"/>
      <c r="AQ44" s="291"/>
      <c r="AR44" s="416"/>
      <c r="AS44" s="222"/>
      <c r="AT44" s="222"/>
      <c r="AU44" s="222"/>
      <c r="AV44" s="222"/>
      <c r="AW44" s="222"/>
      <c r="AX44" s="222"/>
      <c r="AY44" s="222"/>
      <c r="AZ44" s="222"/>
      <c r="BA44" s="222"/>
      <c r="BB44" s="222"/>
      <c r="BC44" s="222"/>
      <c r="BD44" s="222"/>
      <c r="BE44" s="291"/>
      <c r="BF44" s="572"/>
      <c r="BG44" s="419"/>
      <c r="BH44" s="291"/>
      <c r="BI44" s="392"/>
      <c r="BJ44" s="434"/>
      <c r="BK44" s="291"/>
      <c r="BL44" s="408"/>
      <c r="BM44" s="291"/>
      <c r="BN44" s="434"/>
      <c r="BO44" s="291"/>
      <c r="BP44" s="519"/>
      <c r="BQ44" s="222"/>
      <c r="BR44" s="222"/>
      <c r="BS44" s="222"/>
      <c r="BT44" s="222"/>
      <c r="BU44" s="222"/>
      <c r="BV44" s="222"/>
      <c r="BW44" s="222"/>
      <c r="BX44" s="591"/>
      <c r="BY44" s="222"/>
      <c r="BZ44" s="222"/>
      <c r="CA44" s="222"/>
      <c r="CB44" s="222"/>
      <c r="CC44" s="222"/>
      <c r="CD44" s="222"/>
      <c r="CE44" s="222"/>
      <c r="CF44" s="222"/>
      <c r="CG44" s="222"/>
      <c r="CH44" s="222"/>
      <c r="CI44" s="222"/>
      <c r="CJ44" s="222"/>
      <c r="CK44" s="222"/>
      <c r="CL44" s="291"/>
      <c r="CM44" s="406"/>
      <c r="CN44" s="291"/>
      <c r="CO44" s="64"/>
      <c r="CP44" s="59"/>
      <c r="CQ44" s="59"/>
      <c r="CR44" s="59"/>
    </row>
    <row r="45">
      <c r="A45" s="64"/>
      <c r="B45" s="408"/>
      <c r="C45" s="222"/>
      <c r="D45" s="434"/>
      <c r="E45" s="435"/>
      <c r="F45" s="222"/>
      <c r="G45" s="222"/>
      <c r="H45" s="222"/>
      <c r="I45" s="222"/>
      <c r="J45" s="222"/>
      <c r="K45" s="222"/>
      <c r="L45" s="222"/>
      <c r="M45" s="222"/>
      <c r="N45" s="408"/>
      <c r="O45" s="291"/>
      <c r="P45" s="348"/>
      <c r="Q45" s="405"/>
      <c r="R45" s="222"/>
      <c r="S45" s="222"/>
      <c r="T45" s="222"/>
      <c r="U45" s="222"/>
      <c r="V45" s="222"/>
      <c r="W45" s="222"/>
      <c r="X45" s="222"/>
      <c r="Y45" s="222"/>
      <c r="Z45" s="222"/>
      <c r="AA45" s="222"/>
      <c r="AB45" s="222"/>
      <c r="AC45" s="222"/>
      <c r="AD45" s="291"/>
      <c r="AE45" s="406"/>
      <c r="AF45" s="291"/>
      <c r="AG45" s="64"/>
      <c r="AH45" s="408"/>
      <c r="AI45" s="222"/>
      <c r="AJ45" s="415"/>
      <c r="AK45" s="222"/>
      <c r="AL45" s="222"/>
      <c r="AM45" s="222"/>
      <c r="AN45" s="222"/>
      <c r="AO45" s="222"/>
      <c r="AP45" s="222"/>
      <c r="AQ45" s="291"/>
      <c r="AR45" s="416"/>
      <c r="AS45" s="222"/>
      <c r="AT45" s="222"/>
      <c r="AU45" s="222"/>
      <c r="AV45" s="222"/>
      <c r="AW45" s="222"/>
      <c r="AX45" s="222"/>
      <c r="AY45" s="222"/>
      <c r="AZ45" s="222"/>
      <c r="BA45" s="222"/>
      <c r="BB45" s="222"/>
      <c r="BC45" s="222"/>
      <c r="BD45" s="222"/>
      <c r="BE45" s="291"/>
      <c r="BF45" s="572"/>
      <c r="BG45" s="419"/>
      <c r="BH45" s="291"/>
      <c r="BI45" s="392"/>
      <c r="BJ45" s="434"/>
      <c r="BK45" s="291"/>
      <c r="BL45" s="408"/>
      <c r="BM45" s="291"/>
      <c r="BN45" s="434"/>
      <c r="BO45" s="291"/>
      <c r="BP45" s="519"/>
      <c r="BQ45" s="222"/>
      <c r="BR45" s="222"/>
      <c r="BS45" s="222"/>
      <c r="BT45" s="222"/>
      <c r="BU45" s="222"/>
      <c r="BV45" s="222"/>
      <c r="BW45" s="222"/>
      <c r="BX45" s="591"/>
      <c r="BY45" s="222"/>
      <c r="BZ45" s="222"/>
      <c r="CA45" s="222"/>
      <c r="CB45" s="222"/>
      <c r="CC45" s="222"/>
      <c r="CD45" s="222"/>
      <c r="CE45" s="222"/>
      <c r="CF45" s="222"/>
      <c r="CG45" s="222"/>
      <c r="CH45" s="222"/>
      <c r="CI45" s="222"/>
      <c r="CJ45" s="222"/>
      <c r="CK45" s="222"/>
      <c r="CL45" s="291"/>
      <c r="CM45" s="406"/>
      <c r="CN45" s="291"/>
      <c r="CO45" s="64"/>
      <c r="CP45" s="59"/>
      <c r="CQ45" s="59"/>
      <c r="CR45" s="59"/>
    </row>
    <row r="46">
      <c r="A46" s="64"/>
      <c r="B46" s="408"/>
      <c r="C46" s="222"/>
      <c r="D46" s="434"/>
      <c r="E46" s="435"/>
      <c r="F46" s="222"/>
      <c r="G46" s="222"/>
      <c r="H46" s="222"/>
      <c r="I46" s="222"/>
      <c r="J46" s="222"/>
      <c r="K46" s="222"/>
      <c r="L46" s="222"/>
      <c r="M46" s="222"/>
      <c r="N46" s="408"/>
      <c r="O46" s="291"/>
      <c r="P46" s="348"/>
      <c r="Q46" s="405"/>
      <c r="R46" s="222"/>
      <c r="S46" s="222"/>
      <c r="T46" s="222"/>
      <c r="U46" s="222"/>
      <c r="V46" s="222"/>
      <c r="W46" s="222"/>
      <c r="X46" s="222"/>
      <c r="Y46" s="222"/>
      <c r="Z46" s="222"/>
      <c r="AA46" s="222"/>
      <c r="AB46" s="222"/>
      <c r="AC46" s="222"/>
      <c r="AD46" s="291"/>
      <c r="AE46" s="406"/>
      <c r="AF46" s="291"/>
      <c r="AG46" s="64"/>
      <c r="AH46" s="408"/>
      <c r="AI46" s="222"/>
      <c r="AJ46" s="442"/>
      <c r="AK46" s="222"/>
      <c r="AL46" s="222"/>
      <c r="AM46" s="222"/>
      <c r="AN46" s="222"/>
      <c r="AO46" s="222"/>
      <c r="AP46" s="222"/>
      <c r="AQ46" s="222"/>
      <c r="AR46" s="443"/>
      <c r="AS46" s="222"/>
      <c r="AT46" s="222"/>
      <c r="AU46" s="222"/>
      <c r="AV46" s="222"/>
      <c r="AW46" s="222"/>
      <c r="AX46" s="222"/>
      <c r="AY46" s="222"/>
      <c r="AZ46" s="222"/>
      <c r="BA46" s="222"/>
      <c r="BB46" s="222"/>
      <c r="BC46" s="222"/>
      <c r="BD46" s="222"/>
      <c r="BE46" s="222"/>
      <c r="BF46" s="496"/>
      <c r="BG46" s="406"/>
      <c r="BH46" s="291"/>
      <c r="BI46" s="392"/>
      <c r="BJ46" s="434"/>
      <c r="BK46" s="291"/>
      <c r="BL46" s="408"/>
      <c r="BM46" s="291"/>
      <c r="BN46" s="434"/>
      <c r="BO46" s="291"/>
      <c r="BP46" s="519"/>
      <c r="BQ46" s="222"/>
      <c r="BR46" s="222"/>
      <c r="BS46" s="222"/>
      <c r="BT46" s="222"/>
      <c r="BU46" s="222"/>
      <c r="BV46" s="222"/>
      <c r="BW46" s="222"/>
      <c r="BX46" s="591"/>
      <c r="BY46" s="222"/>
      <c r="BZ46" s="222"/>
      <c r="CA46" s="222"/>
      <c r="CB46" s="222"/>
      <c r="CC46" s="222"/>
      <c r="CD46" s="222"/>
      <c r="CE46" s="222"/>
      <c r="CF46" s="222"/>
      <c r="CG46" s="222"/>
      <c r="CH46" s="222"/>
      <c r="CI46" s="222"/>
      <c r="CJ46" s="222"/>
      <c r="CK46" s="222"/>
      <c r="CL46" s="291"/>
      <c r="CM46" s="406"/>
      <c r="CN46" s="291"/>
      <c r="CO46" s="64"/>
      <c r="CP46" s="59"/>
      <c r="CQ46" s="59"/>
      <c r="CR46" s="59"/>
    </row>
    <row r="47">
      <c r="A47" s="64"/>
      <c r="B47" s="408"/>
      <c r="C47" s="222"/>
      <c r="D47" s="434"/>
      <c r="E47" s="435"/>
      <c r="F47" s="222"/>
      <c r="G47" s="222"/>
      <c r="H47" s="222"/>
      <c r="I47" s="222"/>
      <c r="J47" s="222"/>
      <c r="K47" s="222"/>
      <c r="L47" s="222"/>
      <c r="M47" s="222"/>
      <c r="N47" s="408"/>
      <c r="O47" s="291"/>
      <c r="P47" s="448"/>
      <c r="Q47" s="405"/>
      <c r="R47" s="222"/>
      <c r="S47" s="222"/>
      <c r="T47" s="222"/>
      <c r="U47" s="222"/>
      <c r="V47" s="222"/>
      <c r="W47" s="222"/>
      <c r="X47" s="222"/>
      <c r="Y47" s="222"/>
      <c r="Z47" s="222"/>
      <c r="AA47" s="222"/>
      <c r="AB47" s="222"/>
      <c r="AC47" s="222"/>
      <c r="AD47" s="291"/>
      <c r="AE47" s="406"/>
      <c r="AF47" s="291"/>
      <c r="AG47" s="64"/>
      <c r="AH47" s="408"/>
      <c r="AI47" s="222"/>
      <c r="AJ47" s="442"/>
      <c r="AK47" s="222"/>
      <c r="AL47" s="222"/>
      <c r="AM47" s="222"/>
      <c r="AN47" s="222"/>
      <c r="AO47" s="222"/>
      <c r="AP47" s="222"/>
      <c r="AQ47" s="222"/>
      <c r="AR47" s="443"/>
      <c r="AS47" s="222"/>
      <c r="AT47" s="222"/>
      <c r="AU47" s="222"/>
      <c r="AV47" s="222"/>
      <c r="AW47" s="222"/>
      <c r="AX47" s="222"/>
      <c r="AY47" s="222"/>
      <c r="AZ47" s="222"/>
      <c r="BA47" s="222"/>
      <c r="BB47" s="222"/>
      <c r="BC47" s="222"/>
      <c r="BD47" s="222"/>
      <c r="BE47" s="222"/>
      <c r="BF47" s="496"/>
      <c r="BG47" s="406"/>
      <c r="BH47" s="291"/>
      <c r="BI47" s="392"/>
      <c r="BJ47" s="434"/>
      <c r="BK47" s="291"/>
      <c r="BL47" s="408"/>
      <c r="BM47" s="291"/>
      <c r="BN47" s="434"/>
      <c r="BO47" s="291"/>
      <c r="BP47" s="519"/>
      <c r="BQ47" s="222"/>
      <c r="BR47" s="222"/>
      <c r="BS47" s="222"/>
      <c r="BT47" s="222"/>
      <c r="BU47" s="222"/>
      <c r="BV47" s="222"/>
      <c r="BW47" s="222"/>
      <c r="BX47" s="591"/>
      <c r="BY47" s="222"/>
      <c r="BZ47" s="222"/>
      <c r="CA47" s="222"/>
      <c r="CB47" s="222"/>
      <c r="CC47" s="222"/>
      <c r="CD47" s="222"/>
      <c r="CE47" s="222"/>
      <c r="CF47" s="222"/>
      <c r="CG47" s="222"/>
      <c r="CH47" s="222"/>
      <c r="CI47" s="222"/>
      <c r="CJ47" s="222"/>
      <c r="CK47" s="222"/>
      <c r="CL47" s="291"/>
      <c r="CM47" s="406"/>
      <c r="CN47" s="291"/>
      <c r="CO47" s="64"/>
      <c r="CP47" s="59"/>
      <c r="CQ47" s="59"/>
      <c r="CR47" s="59"/>
    </row>
    <row r="48">
      <c r="A48" s="64"/>
      <c r="B48" s="408"/>
      <c r="C48" s="222"/>
      <c r="D48" s="434"/>
      <c r="E48" s="435"/>
      <c r="F48" s="222"/>
      <c r="G48" s="222"/>
      <c r="H48" s="222"/>
      <c r="I48" s="222"/>
      <c r="J48" s="222"/>
      <c r="K48" s="222"/>
      <c r="L48" s="222"/>
      <c r="M48" s="222"/>
      <c r="N48" s="408"/>
      <c r="O48" s="291"/>
      <c r="P48" s="448"/>
      <c r="Q48" s="405"/>
      <c r="R48" s="222"/>
      <c r="S48" s="222"/>
      <c r="T48" s="222"/>
      <c r="U48" s="222"/>
      <c r="V48" s="222"/>
      <c r="W48" s="222"/>
      <c r="X48" s="222"/>
      <c r="Y48" s="222"/>
      <c r="Z48" s="222"/>
      <c r="AA48" s="222"/>
      <c r="AB48" s="222"/>
      <c r="AC48" s="222"/>
      <c r="AD48" s="291"/>
      <c r="AE48" s="406"/>
      <c r="AF48" s="291"/>
      <c r="AG48" s="64"/>
      <c r="AH48" s="627"/>
      <c r="AI48" s="234"/>
      <c r="AJ48" s="522"/>
      <c r="AK48" s="234"/>
      <c r="AL48" s="234"/>
      <c r="AM48" s="234"/>
      <c r="AN48" s="234"/>
      <c r="AO48" s="234"/>
      <c r="AP48" s="234"/>
      <c r="AQ48" s="234"/>
      <c r="AR48" s="525"/>
      <c r="AS48" s="234"/>
      <c r="AT48" s="234"/>
      <c r="AU48" s="234"/>
      <c r="AV48" s="234"/>
      <c r="AW48" s="234"/>
      <c r="AX48" s="234"/>
      <c r="AY48" s="234"/>
      <c r="AZ48" s="234"/>
      <c r="BA48" s="234"/>
      <c r="BB48" s="234"/>
      <c r="BC48" s="234"/>
      <c r="BD48" s="234"/>
      <c r="BE48" s="234"/>
      <c r="BF48" s="628"/>
      <c r="BG48" s="529"/>
      <c r="BH48" s="236"/>
      <c r="BI48" s="392"/>
      <c r="BJ48" s="434"/>
      <c r="BK48" s="291"/>
      <c r="BL48" s="408"/>
      <c r="BM48" s="291"/>
      <c r="BN48" s="434"/>
      <c r="BO48" s="291"/>
      <c r="BP48" s="519"/>
      <c r="BQ48" s="222"/>
      <c r="BR48" s="222"/>
      <c r="BS48" s="222"/>
      <c r="BT48" s="222"/>
      <c r="BU48" s="222"/>
      <c r="BV48" s="222"/>
      <c r="BW48" s="222"/>
      <c r="BX48" s="591"/>
      <c r="BY48" s="222"/>
      <c r="BZ48" s="222"/>
      <c r="CA48" s="222"/>
      <c r="CB48" s="222"/>
      <c r="CC48" s="222"/>
      <c r="CD48" s="222"/>
      <c r="CE48" s="222"/>
      <c r="CF48" s="222"/>
      <c r="CG48" s="222"/>
      <c r="CH48" s="222"/>
      <c r="CI48" s="222"/>
      <c r="CJ48" s="222"/>
      <c r="CK48" s="222"/>
      <c r="CL48" s="291"/>
      <c r="CM48" s="406"/>
      <c r="CN48" s="291"/>
      <c r="CO48" s="64"/>
      <c r="CP48" s="59"/>
      <c r="CQ48" s="59"/>
      <c r="CR48" s="59"/>
      <c r="CS48" s="64"/>
      <c r="CT48" s="64"/>
      <c r="CU48" s="64"/>
    </row>
    <row r="49">
      <c r="A49" s="64"/>
      <c r="B49" s="408"/>
      <c r="C49" s="222"/>
      <c r="D49" s="434"/>
      <c r="E49" s="435"/>
      <c r="F49" s="222"/>
      <c r="G49" s="222"/>
      <c r="H49" s="222"/>
      <c r="I49" s="222"/>
      <c r="J49" s="222"/>
      <c r="K49" s="222"/>
      <c r="L49" s="222"/>
      <c r="M49" s="222"/>
      <c r="N49" s="408"/>
      <c r="O49" s="291"/>
      <c r="P49" s="448"/>
      <c r="Q49" s="405"/>
      <c r="R49" s="222"/>
      <c r="S49" s="222"/>
      <c r="T49" s="222"/>
      <c r="U49" s="222"/>
      <c r="V49" s="222"/>
      <c r="W49" s="222"/>
      <c r="X49" s="222"/>
      <c r="Y49" s="222"/>
      <c r="Z49" s="222"/>
      <c r="AA49" s="222"/>
      <c r="AB49" s="222"/>
      <c r="AC49" s="222"/>
      <c r="AD49" s="291"/>
      <c r="AE49" s="406"/>
      <c r="AF49" s="291"/>
      <c r="AG49" s="64"/>
      <c r="AH49" s="533"/>
      <c r="AI49" s="533"/>
      <c r="AJ49" s="533"/>
      <c r="AK49" s="533"/>
      <c r="AL49" s="533"/>
      <c r="AM49" s="533"/>
      <c r="AN49" s="533"/>
      <c r="AO49" s="533"/>
      <c r="AP49" s="533"/>
      <c r="AQ49" s="533"/>
      <c r="AR49" s="533"/>
      <c r="AS49" s="533"/>
      <c r="AT49" s="533"/>
      <c r="AU49" s="533"/>
      <c r="AV49" s="533"/>
      <c r="AW49" s="533"/>
      <c r="AX49" s="533"/>
      <c r="AY49" s="533"/>
      <c r="AZ49" s="533"/>
      <c r="BA49" s="533"/>
      <c r="BB49" s="533"/>
      <c r="BC49" s="533"/>
      <c r="BD49" s="533"/>
      <c r="BE49" s="533"/>
      <c r="BF49" s="533"/>
      <c r="BG49" s="533"/>
      <c r="BH49" s="533"/>
      <c r="BI49" s="343"/>
      <c r="BJ49" s="434"/>
      <c r="BK49" s="291"/>
      <c r="BL49" s="405"/>
      <c r="BM49" s="291"/>
      <c r="BN49" s="406"/>
      <c r="BO49" s="291"/>
      <c r="BP49" s="519"/>
      <c r="BQ49" s="222"/>
      <c r="BR49" s="222"/>
      <c r="BS49" s="222"/>
      <c r="BT49" s="222"/>
      <c r="BU49" s="222"/>
      <c r="BV49" s="222"/>
      <c r="BW49" s="222"/>
      <c r="BX49" s="591"/>
      <c r="BY49" s="222"/>
      <c r="BZ49" s="222"/>
      <c r="CA49" s="222"/>
      <c r="CB49" s="222"/>
      <c r="CC49" s="222"/>
      <c r="CD49" s="222"/>
      <c r="CE49" s="222"/>
      <c r="CF49" s="222"/>
      <c r="CG49" s="222"/>
      <c r="CH49" s="222"/>
      <c r="CI49" s="222"/>
      <c r="CJ49" s="222"/>
      <c r="CK49" s="222"/>
      <c r="CL49" s="291"/>
      <c r="CM49" s="406"/>
      <c r="CN49" s="291"/>
      <c r="CO49" s="64"/>
      <c r="CP49" s="59"/>
      <c r="CQ49" s="59"/>
      <c r="CR49" s="59"/>
      <c r="CS49" s="64"/>
      <c r="CT49" s="64"/>
      <c r="CU49" s="64"/>
    </row>
    <row r="50">
      <c r="A50" s="64"/>
      <c r="B50" s="408"/>
      <c r="C50" s="222"/>
      <c r="D50" s="434"/>
      <c r="E50" s="435"/>
      <c r="F50" s="222"/>
      <c r="G50" s="222"/>
      <c r="H50" s="222"/>
      <c r="I50" s="222"/>
      <c r="J50" s="222"/>
      <c r="K50" s="222"/>
      <c r="L50" s="222"/>
      <c r="M50" s="222"/>
      <c r="N50" s="408"/>
      <c r="O50" s="291"/>
      <c r="P50" s="537"/>
      <c r="Q50" s="405"/>
      <c r="R50" s="222"/>
      <c r="S50" s="222"/>
      <c r="T50" s="222"/>
      <c r="U50" s="222"/>
      <c r="V50" s="222"/>
      <c r="W50" s="222"/>
      <c r="X50" s="222"/>
      <c r="Y50" s="222"/>
      <c r="Z50" s="222"/>
      <c r="AA50" s="222"/>
      <c r="AB50" s="222"/>
      <c r="AC50" s="222"/>
      <c r="AD50" s="291"/>
      <c r="AE50" s="406"/>
      <c r="AF50" s="291"/>
      <c r="AG50" s="64"/>
      <c r="AH50" s="341" t="str">
        <f>hyperlink("http://www.d20pfsrd.com/equipment/goods-and-services/herbs-oils-other-substances/","Alchemical Tools and Toys")</f>
        <v>Alchemical Tools and Toys</v>
      </c>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4"/>
      <c r="BI50" s="392"/>
      <c r="BJ50" s="434"/>
      <c r="BK50" s="291"/>
      <c r="BL50" s="408"/>
      <c r="BM50" s="291"/>
      <c r="BN50" s="434"/>
      <c r="BO50" s="291"/>
      <c r="BP50" s="519"/>
      <c r="BQ50" s="222"/>
      <c r="BR50" s="222"/>
      <c r="BS50" s="222"/>
      <c r="BT50" s="222"/>
      <c r="BU50" s="222"/>
      <c r="BV50" s="222"/>
      <c r="BW50" s="222"/>
      <c r="BX50" s="591"/>
      <c r="BY50" s="222"/>
      <c r="BZ50" s="222"/>
      <c r="CA50" s="222"/>
      <c r="CB50" s="222"/>
      <c r="CC50" s="222"/>
      <c r="CD50" s="222"/>
      <c r="CE50" s="222"/>
      <c r="CF50" s="222"/>
      <c r="CG50" s="222"/>
      <c r="CH50" s="222"/>
      <c r="CI50" s="222"/>
      <c r="CJ50" s="222"/>
      <c r="CK50" s="222"/>
      <c r="CL50" s="291"/>
      <c r="CM50" s="406"/>
      <c r="CN50" s="291"/>
      <c r="CO50" s="64"/>
      <c r="CP50" s="59"/>
      <c r="CQ50" s="59"/>
      <c r="CR50" s="59"/>
      <c r="CS50" s="64"/>
      <c r="CT50" s="64"/>
      <c r="CU50" s="64"/>
    </row>
    <row r="51">
      <c r="A51" s="64"/>
      <c r="B51" s="408"/>
      <c r="C51" s="222"/>
      <c r="D51" s="434"/>
      <c r="E51" s="435"/>
      <c r="F51" s="222"/>
      <c r="G51" s="222"/>
      <c r="H51" s="222"/>
      <c r="I51" s="222"/>
      <c r="J51" s="222"/>
      <c r="K51" s="222"/>
      <c r="L51" s="222"/>
      <c r="M51" s="222"/>
      <c r="N51" s="408"/>
      <c r="O51" s="291"/>
      <c r="P51" s="348"/>
      <c r="Q51" s="405"/>
      <c r="R51" s="222"/>
      <c r="S51" s="222"/>
      <c r="T51" s="222"/>
      <c r="U51" s="222"/>
      <c r="V51" s="222"/>
      <c r="W51" s="222"/>
      <c r="X51" s="222"/>
      <c r="Y51" s="222"/>
      <c r="Z51" s="222"/>
      <c r="AA51" s="222"/>
      <c r="AB51" s="222"/>
      <c r="AC51" s="222"/>
      <c r="AD51" s="291"/>
      <c r="AE51" s="406"/>
      <c r="AF51" s="291"/>
      <c r="AG51" s="64"/>
      <c r="AH51" s="357" t="s">
        <v>283</v>
      </c>
      <c r="AI51" s="24"/>
      <c r="AJ51" s="358" t="s">
        <v>125</v>
      </c>
      <c r="AK51" s="23"/>
      <c r="AL51" s="23"/>
      <c r="AM51" s="23"/>
      <c r="AN51" s="23"/>
      <c r="AO51" s="23"/>
      <c r="AP51" s="23"/>
      <c r="AQ51" s="24"/>
      <c r="AR51" s="360" t="s">
        <v>298</v>
      </c>
      <c r="AS51" s="23"/>
      <c r="AT51" s="23"/>
      <c r="AU51" s="23"/>
      <c r="AV51" s="23"/>
      <c r="AW51" s="23"/>
      <c r="AX51" s="23"/>
      <c r="AY51" s="23"/>
      <c r="AZ51" s="23"/>
      <c r="BA51" s="23"/>
      <c r="BB51" s="23"/>
      <c r="BC51" s="23"/>
      <c r="BD51" s="23"/>
      <c r="BE51" s="24"/>
      <c r="BF51" s="361" t="s">
        <v>300</v>
      </c>
      <c r="BG51" s="353" t="s">
        <v>287</v>
      </c>
      <c r="BH51" s="24"/>
      <c r="BI51" s="392"/>
      <c r="BJ51" s="434"/>
      <c r="BK51" s="291"/>
      <c r="BL51" s="408"/>
      <c r="BM51" s="291"/>
      <c r="BN51" s="434"/>
      <c r="BO51" s="291"/>
      <c r="BP51" s="519"/>
      <c r="BQ51" s="222"/>
      <c r="BR51" s="222"/>
      <c r="BS51" s="222"/>
      <c r="BT51" s="222"/>
      <c r="BU51" s="222"/>
      <c r="BV51" s="222"/>
      <c r="BW51" s="222"/>
      <c r="BX51" s="591"/>
      <c r="BY51" s="222"/>
      <c r="BZ51" s="222"/>
      <c r="CA51" s="222"/>
      <c r="CB51" s="222"/>
      <c r="CC51" s="222"/>
      <c r="CD51" s="222"/>
      <c r="CE51" s="222"/>
      <c r="CF51" s="222"/>
      <c r="CG51" s="222"/>
      <c r="CH51" s="222"/>
      <c r="CI51" s="222"/>
      <c r="CJ51" s="222"/>
      <c r="CK51" s="222"/>
      <c r="CL51" s="291"/>
      <c r="CM51" s="406"/>
      <c r="CN51" s="291"/>
      <c r="CO51" s="64"/>
      <c r="CP51" s="59"/>
      <c r="CQ51" s="59"/>
      <c r="CR51" s="59"/>
      <c r="CS51" s="64"/>
      <c r="CT51" s="64"/>
      <c r="CU51" s="64"/>
    </row>
    <row r="52">
      <c r="A52" s="64"/>
      <c r="B52" s="408"/>
      <c r="C52" s="222"/>
      <c r="D52" s="434"/>
      <c r="E52" s="435"/>
      <c r="F52" s="222"/>
      <c r="G52" s="222"/>
      <c r="H52" s="222"/>
      <c r="I52" s="222"/>
      <c r="J52" s="222"/>
      <c r="K52" s="222"/>
      <c r="L52" s="222"/>
      <c r="M52" s="222"/>
      <c r="N52" s="408"/>
      <c r="O52" s="291"/>
      <c r="P52" s="348"/>
      <c r="Q52" s="405"/>
      <c r="R52" s="222"/>
      <c r="S52" s="222"/>
      <c r="T52" s="222"/>
      <c r="U52" s="222"/>
      <c r="V52" s="222"/>
      <c r="W52" s="222"/>
      <c r="X52" s="222"/>
      <c r="Y52" s="222"/>
      <c r="Z52" s="222"/>
      <c r="AA52" s="222"/>
      <c r="AB52" s="222"/>
      <c r="AC52" s="222"/>
      <c r="AD52" s="291"/>
      <c r="AE52" s="406"/>
      <c r="AF52" s="291"/>
      <c r="AG52" s="64"/>
      <c r="AH52" s="637"/>
      <c r="AI52" s="175"/>
      <c r="AJ52" s="382"/>
      <c r="AK52" s="175"/>
      <c r="AL52" s="175"/>
      <c r="AM52" s="175"/>
      <c r="AN52" s="175"/>
      <c r="AO52" s="175"/>
      <c r="AP52" s="175"/>
      <c r="AQ52" s="380"/>
      <c r="AR52" s="640"/>
      <c r="AS52" s="175"/>
      <c r="AT52" s="175"/>
      <c r="AU52" s="175"/>
      <c r="AV52" s="175"/>
      <c r="AW52" s="175"/>
      <c r="AX52" s="175"/>
      <c r="AY52" s="175"/>
      <c r="AZ52" s="175"/>
      <c r="BA52" s="175"/>
      <c r="BB52" s="175"/>
      <c r="BC52" s="175"/>
      <c r="BD52" s="175"/>
      <c r="BE52" s="380"/>
      <c r="BF52" s="641"/>
      <c r="BG52" s="388"/>
      <c r="BH52" s="380"/>
      <c r="BI52" s="392"/>
      <c r="BJ52" s="434"/>
      <c r="BK52" s="291"/>
      <c r="BL52" s="405"/>
      <c r="BM52" s="291"/>
      <c r="BN52" s="406"/>
      <c r="BO52" s="291"/>
      <c r="BP52" s="519"/>
      <c r="BQ52" s="222"/>
      <c r="BR52" s="222"/>
      <c r="BS52" s="222"/>
      <c r="BT52" s="222"/>
      <c r="BU52" s="222"/>
      <c r="BV52" s="222"/>
      <c r="BW52" s="222"/>
      <c r="BX52" s="591"/>
      <c r="BY52" s="222"/>
      <c r="BZ52" s="222"/>
      <c r="CA52" s="222"/>
      <c r="CB52" s="222"/>
      <c r="CC52" s="222"/>
      <c r="CD52" s="222"/>
      <c r="CE52" s="222"/>
      <c r="CF52" s="222"/>
      <c r="CG52" s="222"/>
      <c r="CH52" s="222"/>
      <c r="CI52" s="222"/>
      <c r="CJ52" s="222"/>
      <c r="CK52" s="222"/>
      <c r="CL52" s="291"/>
      <c r="CM52" s="406"/>
      <c r="CN52" s="291"/>
      <c r="CO52" s="64"/>
      <c r="CP52" s="59"/>
      <c r="CQ52" s="59"/>
      <c r="CR52" s="59"/>
      <c r="CS52" s="64"/>
      <c r="CT52" s="64"/>
      <c r="CU52" s="64"/>
    </row>
    <row r="53">
      <c r="A53" s="64"/>
      <c r="B53" s="408"/>
      <c r="C53" s="222"/>
      <c r="D53" s="434"/>
      <c r="E53" s="435"/>
      <c r="F53" s="222"/>
      <c r="G53" s="222"/>
      <c r="H53" s="222"/>
      <c r="I53" s="222"/>
      <c r="J53" s="222"/>
      <c r="K53" s="222"/>
      <c r="L53" s="222"/>
      <c r="M53" s="222"/>
      <c r="N53" s="408"/>
      <c r="O53" s="291"/>
      <c r="P53" s="348"/>
      <c r="Q53" s="405"/>
      <c r="R53" s="222"/>
      <c r="S53" s="222"/>
      <c r="T53" s="222"/>
      <c r="U53" s="222"/>
      <c r="V53" s="222"/>
      <c r="W53" s="222"/>
      <c r="X53" s="222"/>
      <c r="Y53" s="222"/>
      <c r="Z53" s="222"/>
      <c r="AA53" s="222"/>
      <c r="AB53" s="222"/>
      <c r="AC53" s="222"/>
      <c r="AD53" s="291"/>
      <c r="AE53" s="406"/>
      <c r="AF53" s="291"/>
      <c r="AG53" s="64"/>
      <c r="AH53" s="408"/>
      <c r="AI53" s="222"/>
      <c r="AJ53" s="415"/>
      <c r="AK53" s="222"/>
      <c r="AL53" s="222"/>
      <c r="AM53" s="222"/>
      <c r="AN53" s="222"/>
      <c r="AO53" s="222"/>
      <c r="AP53" s="222"/>
      <c r="AQ53" s="291"/>
      <c r="AR53" s="582"/>
      <c r="AS53" s="222"/>
      <c r="AT53" s="222"/>
      <c r="AU53" s="222"/>
      <c r="AV53" s="222"/>
      <c r="AW53" s="222"/>
      <c r="AX53" s="222"/>
      <c r="AY53" s="222"/>
      <c r="AZ53" s="222"/>
      <c r="BA53" s="222"/>
      <c r="BB53" s="222"/>
      <c r="BC53" s="222"/>
      <c r="BD53" s="222"/>
      <c r="BE53" s="291"/>
      <c r="BF53" s="585"/>
      <c r="BG53" s="586"/>
      <c r="BH53" s="291"/>
      <c r="BI53" s="392"/>
      <c r="BJ53" s="406"/>
      <c r="BK53" s="291"/>
      <c r="BL53" s="405"/>
      <c r="BM53" s="291"/>
      <c r="BN53" s="406"/>
      <c r="BO53" s="291"/>
      <c r="BP53" s="519"/>
      <c r="BQ53" s="222"/>
      <c r="BR53" s="222"/>
      <c r="BS53" s="222"/>
      <c r="BT53" s="222"/>
      <c r="BU53" s="222"/>
      <c r="BV53" s="222"/>
      <c r="BW53" s="222"/>
      <c r="BX53" s="591"/>
      <c r="BY53" s="222"/>
      <c r="BZ53" s="222"/>
      <c r="CA53" s="222"/>
      <c r="CB53" s="222"/>
      <c r="CC53" s="222"/>
      <c r="CD53" s="222"/>
      <c r="CE53" s="222"/>
      <c r="CF53" s="222"/>
      <c r="CG53" s="222"/>
      <c r="CH53" s="222"/>
      <c r="CI53" s="222"/>
      <c r="CJ53" s="222"/>
      <c r="CK53" s="222"/>
      <c r="CL53" s="291"/>
      <c r="CM53" s="406"/>
      <c r="CN53" s="291"/>
      <c r="CO53" s="64"/>
      <c r="CP53" s="64"/>
      <c r="CQ53" s="64"/>
      <c r="CR53" s="64"/>
      <c r="CS53" s="64"/>
      <c r="CT53" s="64"/>
      <c r="CU53" s="64"/>
    </row>
    <row r="54">
      <c r="A54" s="64"/>
      <c r="B54" s="408"/>
      <c r="C54" s="222"/>
      <c r="D54" s="434"/>
      <c r="E54" s="435"/>
      <c r="F54" s="222"/>
      <c r="G54" s="222"/>
      <c r="H54" s="222"/>
      <c r="I54" s="222"/>
      <c r="J54" s="222"/>
      <c r="K54" s="222"/>
      <c r="L54" s="222"/>
      <c r="M54" s="222"/>
      <c r="N54" s="408"/>
      <c r="O54" s="291"/>
      <c r="P54" s="348"/>
      <c r="Q54" s="405"/>
      <c r="R54" s="222"/>
      <c r="S54" s="222"/>
      <c r="T54" s="222"/>
      <c r="U54" s="222"/>
      <c r="V54" s="222"/>
      <c r="W54" s="222"/>
      <c r="X54" s="222"/>
      <c r="Y54" s="222"/>
      <c r="Z54" s="222"/>
      <c r="AA54" s="222"/>
      <c r="AB54" s="222"/>
      <c r="AC54" s="222"/>
      <c r="AD54" s="291"/>
      <c r="AE54" s="406"/>
      <c r="AF54" s="291"/>
      <c r="AG54" s="64"/>
      <c r="AH54" s="408"/>
      <c r="AI54" s="222"/>
      <c r="AJ54" s="415"/>
      <c r="AK54" s="222"/>
      <c r="AL54" s="222"/>
      <c r="AM54" s="222"/>
      <c r="AN54" s="222"/>
      <c r="AO54" s="222"/>
      <c r="AP54" s="222"/>
      <c r="AQ54" s="291"/>
      <c r="AR54" s="643"/>
      <c r="AS54" s="222"/>
      <c r="AT54" s="222"/>
      <c r="AU54" s="222"/>
      <c r="AV54" s="222"/>
      <c r="AW54" s="222"/>
      <c r="AX54" s="222"/>
      <c r="AY54" s="222"/>
      <c r="AZ54" s="222"/>
      <c r="BA54" s="222"/>
      <c r="BB54" s="222"/>
      <c r="BC54" s="222"/>
      <c r="BD54" s="222"/>
      <c r="BE54" s="291"/>
      <c r="BF54" s="585"/>
      <c r="BG54" s="406"/>
      <c r="BH54" s="291"/>
      <c r="BI54" s="426"/>
      <c r="BJ54" s="434"/>
      <c r="BK54" s="291"/>
      <c r="BL54" s="405"/>
      <c r="BM54" s="291"/>
      <c r="BN54" s="406"/>
      <c r="BO54" s="291"/>
      <c r="BP54" s="519"/>
      <c r="BQ54" s="222"/>
      <c r="BR54" s="222"/>
      <c r="BS54" s="222"/>
      <c r="BT54" s="222"/>
      <c r="BU54" s="222"/>
      <c r="BV54" s="222"/>
      <c r="BW54" s="291"/>
      <c r="BX54" s="421"/>
      <c r="BY54" s="222"/>
      <c r="BZ54" s="222"/>
      <c r="CA54" s="222"/>
      <c r="CB54" s="222"/>
      <c r="CC54" s="222"/>
      <c r="CD54" s="222"/>
      <c r="CE54" s="222"/>
      <c r="CF54" s="222"/>
      <c r="CG54" s="222"/>
      <c r="CH54" s="222"/>
      <c r="CI54" s="222"/>
      <c r="CJ54" s="222"/>
      <c r="CK54" s="222"/>
      <c r="CL54" s="291"/>
      <c r="CM54" s="406"/>
      <c r="CN54" s="291"/>
      <c r="CO54" s="64"/>
      <c r="CP54" s="64"/>
      <c r="CQ54" s="64"/>
      <c r="CR54" s="64"/>
      <c r="CS54" s="64"/>
      <c r="CT54" s="64"/>
      <c r="CU54" s="64"/>
    </row>
    <row r="55">
      <c r="A55" s="64"/>
      <c r="B55" s="408"/>
      <c r="C55" s="222"/>
      <c r="D55" s="434"/>
      <c r="E55" s="435"/>
      <c r="F55" s="222"/>
      <c r="G55" s="222"/>
      <c r="H55" s="222"/>
      <c r="I55" s="222"/>
      <c r="J55" s="222"/>
      <c r="K55" s="222"/>
      <c r="L55" s="222"/>
      <c r="M55" s="222"/>
      <c r="N55" s="408"/>
      <c r="O55" s="291"/>
      <c r="P55" s="348"/>
      <c r="Q55" s="405"/>
      <c r="R55" s="222"/>
      <c r="S55" s="222"/>
      <c r="T55" s="222"/>
      <c r="U55" s="222"/>
      <c r="V55" s="222"/>
      <c r="W55" s="222"/>
      <c r="X55" s="222"/>
      <c r="Y55" s="222"/>
      <c r="Z55" s="222"/>
      <c r="AA55" s="222"/>
      <c r="AB55" s="222"/>
      <c r="AC55" s="222"/>
      <c r="AD55" s="291"/>
      <c r="AE55" s="406"/>
      <c r="AF55" s="291"/>
      <c r="AG55" s="64"/>
      <c r="AH55" s="408"/>
      <c r="AI55" s="222"/>
      <c r="AJ55" s="415"/>
      <c r="AK55" s="222"/>
      <c r="AL55" s="222"/>
      <c r="AM55" s="222"/>
      <c r="AN55" s="222"/>
      <c r="AO55" s="222"/>
      <c r="AP55" s="222"/>
      <c r="AQ55" s="291"/>
      <c r="AR55" s="582"/>
      <c r="AS55" s="222"/>
      <c r="AT55" s="222"/>
      <c r="AU55" s="222"/>
      <c r="AV55" s="222"/>
      <c r="AW55" s="222"/>
      <c r="AX55" s="222"/>
      <c r="AY55" s="222"/>
      <c r="AZ55" s="222"/>
      <c r="BA55" s="222"/>
      <c r="BB55" s="222"/>
      <c r="BC55" s="222"/>
      <c r="BD55" s="222"/>
      <c r="BE55" s="291"/>
      <c r="BF55" s="585"/>
      <c r="BG55" s="586"/>
      <c r="BH55" s="291"/>
      <c r="BI55" s="426"/>
      <c r="BJ55" s="434"/>
      <c r="BK55" s="291"/>
      <c r="BL55" s="405"/>
      <c r="BM55" s="291"/>
      <c r="BN55" s="406"/>
      <c r="BO55" s="291"/>
      <c r="BP55" s="519"/>
      <c r="BQ55" s="222"/>
      <c r="BR55" s="222"/>
      <c r="BS55" s="222"/>
      <c r="BT55" s="222"/>
      <c r="BU55" s="222"/>
      <c r="BV55" s="222"/>
      <c r="BW55" s="291"/>
      <c r="BX55" s="421"/>
      <c r="BY55" s="222"/>
      <c r="BZ55" s="222"/>
      <c r="CA55" s="222"/>
      <c r="CB55" s="222"/>
      <c r="CC55" s="222"/>
      <c r="CD55" s="222"/>
      <c r="CE55" s="222"/>
      <c r="CF55" s="222"/>
      <c r="CG55" s="222"/>
      <c r="CH55" s="222"/>
      <c r="CI55" s="222"/>
      <c r="CJ55" s="222"/>
      <c r="CK55" s="222"/>
      <c r="CL55" s="291"/>
      <c r="CM55" s="406"/>
      <c r="CN55" s="291"/>
      <c r="CO55" s="64"/>
      <c r="CP55" s="64"/>
      <c r="CQ55" s="64"/>
      <c r="CR55" s="64"/>
      <c r="CS55" s="64"/>
      <c r="CT55" s="64"/>
      <c r="CU55" s="64"/>
    </row>
    <row r="56">
      <c r="A56" s="64"/>
      <c r="B56" s="408"/>
      <c r="C56" s="222"/>
      <c r="D56" s="434"/>
      <c r="E56" s="435"/>
      <c r="F56" s="222"/>
      <c r="G56" s="222"/>
      <c r="H56" s="222"/>
      <c r="I56" s="222"/>
      <c r="J56" s="222"/>
      <c r="K56" s="222"/>
      <c r="L56" s="222"/>
      <c r="M56" s="222"/>
      <c r="N56" s="408"/>
      <c r="O56" s="291"/>
      <c r="P56" s="348"/>
      <c r="Q56" s="405"/>
      <c r="R56" s="222"/>
      <c r="S56" s="222"/>
      <c r="T56" s="222"/>
      <c r="U56" s="222"/>
      <c r="V56" s="222"/>
      <c r="W56" s="222"/>
      <c r="X56" s="222"/>
      <c r="Y56" s="222"/>
      <c r="Z56" s="222"/>
      <c r="AA56" s="222"/>
      <c r="AB56" s="222"/>
      <c r="AC56" s="222"/>
      <c r="AD56" s="291"/>
      <c r="AE56" s="406"/>
      <c r="AF56" s="291"/>
      <c r="AG56" s="64"/>
      <c r="AH56" s="408"/>
      <c r="AI56" s="222"/>
      <c r="AJ56" s="415"/>
      <c r="AK56" s="222"/>
      <c r="AL56" s="222"/>
      <c r="AM56" s="222"/>
      <c r="AN56" s="222"/>
      <c r="AO56" s="222"/>
      <c r="AP56" s="222"/>
      <c r="AQ56" s="291"/>
      <c r="AR56" s="643"/>
      <c r="AS56" s="222"/>
      <c r="AT56" s="222"/>
      <c r="AU56" s="222"/>
      <c r="AV56" s="222"/>
      <c r="AW56" s="222"/>
      <c r="AX56" s="222"/>
      <c r="AY56" s="222"/>
      <c r="AZ56" s="222"/>
      <c r="BA56" s="222"/>
      <c r="BB56" s="222"/>
      <c r="BC56" s="222"/>
      <c r="BD56" s="222"/>
      <c r="BE56" s="291"/>
      <c r="BF56" s="585"/>
      <c r="BG56" s="647"/>
      <c r="BH56" s="291"/>
      <c r="BI56" s="73"/>
      <c r="BJ56" s="434"/>
      <c r="BK56" s="291"/>
      <c r="BL56" s="405"/>
      <c r="BM56" s="291"/>
      <c r="BN56" s="406"/>
      <c r="BO56" s="291"/>
      <c r="BP56" s="519"/>
      <c r="BQ56" s="222"/>
      <c r="BR56" s="222"/>
      <c r="BS56" s="222"/>
      <c r="BT56" s="222"/>
      <c r="BU56" s="222"/>
      <c r="BV56" s="222"/>
      <c r="BW56" s="291"/>
      <c r="BX56" s="421"/>
      <c r="BY56" s="222"/>
      <c r="BZ56" s="222"/>
      <c r="CA56" s="222"/>
      <c r="CB56" s="222"/>
      <c r="CC56" s="222"/>
      <c r="CD56" s="222"/>
      <c r="CE56" s="222"/>
      <c r="CF56" s="222"/>
      <c r="CG56" s="222"/>
      <c r="CH56" s="222"/>
      <c r="CI56" s="222"/>
      <c r="CJ56" s="222"/>
      <c r="CK56" s="222"/>
      <c r="CL56" s="291"/>
      <c r="CM56" s="406"/>
      <c r="CN56" s="291"/>
      <c r="CO56" s="64"/>
      <c r="CP56" s="64"/>
      <c r="CQ56" s="64"/>
      <c r="CR56" s="64"/>
      <c r="CS56" s="64"/>
      <c r="CT56" s="64"/>
      <c r="CU56" s="64"/>
    </row>
    <row r="57">
      <c r="A57" s="64"/>
      <c r="B57" s="408"/>
      <c r="C57" s="222"/>
      <c r="D57" s="434"/>
      <c r="E57" s="435"/>
      <c r="F57" s="222"/>
      <c r="G57" s="222"/>
      <c r="H57" s="222"/>
      <c r="I57" s="222"/>
      <c r="J57" s="222"/>
      <c r="K57" s="222"/>
      <c r="L57" s="222"/>
      <c r="M57" s="222"/>
      <c r="N57" s="408"/>
      <c r="O57" s="291"/>
      <c r="P57" s="348"/>
      <c r="Q57" s="405"/>
      <c r="R57" s="222"/>
      <c r="S57" s="222"/>
      <c r="T57" s="222"/>
      <c r="U57" s="222"/>
      <c r="V57" s="222"/>
      <c r="W57" s="222"/>
      <c r="X57" s="222"/>
      <c r="Y57" s="222"/>
      <c r="Z57" s="222"/>
      <c r="AA57" s="222"/>
      <c r="AB57" s="222"/>
      <c r="AC57" s="222"/>
      <c r="AD57" s="291"/>
      <c r="AE57" s="406"/>
      <c r="AF57" s="291"/>
      <c r="AG57" s="64"/>
      <c r="AH57" s="408"/>
      <c r="AI57" s="222"/>
      <c r="AJ57" s="415"/>
      <c r="AK57" s="222"/>
      <c r="AL57" s="222"/>
      <c r="AM57" s="222"/>
      <c r="AN57" s="222"/>
      <c r="AO57" s="222"/>
      <c r="AP57" s="222"/>
      <c r="AQ57" s="291"/>
      <c r="AR57" s="582"/>
      <c r="AS57" s="222"/>
      <c r="AT57" s="222"/>
      <c r="AU57" s="222"/>
      <c r="AV57" s="222"/>
      <c r="AW57" s="222"/>
      <c r="AX57" s="222"/>
      <c r="AY57" s="222"/>
      <c r="AZ57" s="222"/>
      <c r="BA57" s="222"/>
      <c r="BB57" s="222"/>
      <c r="BC57" s="222"/>
      <c r="BD57" s="222"/>
      <c r="BE57" s="291"/>
      <c r="BF57" s="585"/>
      <c r="BG57" s="586"/>
      <c r="BH57" s="291"/>
      <c r="BI57" s="73"/>
      <c r="BJ57" s="434"/>
      <c r="BK57" s="291"/>
      <c r="BL57" s="405"/>
      <c r="BM57" s="291"/>
      <c r="BN57" s="406"/>
      <c r="BO57" s="291"/>
      <c r="BP57" s="519"/>
      <c r="BQ57" s="222"/>
      <c r="BR57" s="222"/>
      <c r="BS57" s="222"/>
      <c r="BT57" s="222"/>
      <c r="BU57" s="222"/>
      <c r="BV57" s="222"/>
      <c r="BW57" s="291"/>
      <c r="BX57" s="421"/>
      <c r="BY57" s="222"/>
      <c r="BZ57" s="222"/>
      <c r="CA57" s="222"/>
      <c r="CB57" s="222"/>
      <c r="CC57" s="222"/>
      <c r="CD57" s="222"/>
      <c r="CE57" s="222"/>
      <c r="CF57" s="222"/>
      <c r="CG57" s="222"/>
      <c r="CH57" s="222"/>
      <c r="CI57" s="222"/>
      <c r="CJ57" s="222"/>
      <c r="CK57" s="222"/>
      <c r="CL57" s="291"/>
      <c r="CM57" s="406"/>
      <c r="CN57" s="291"/>
      <c r="CO57" s="64"/>
      <c r="CP57" s="64"/>
      <c r="CQ57" s="64"/>
      <c r="CR57" s="64"/>
      <c r="CS57" s="64"/>
      <c r="CT57" s="64"/>
      <c r="CU57" s="64"/>
    </row>
    <row r="58">
      <c r="A58" s="64"/>
      <c r="B58" s="408"/>
      <c r="C58" s="222"/>
      <c r="D58" s="434"/>
      <c r="E58" s="435"/>
      <c r="F58" s="222"/>
      <c r="G58" s="222"/>
      <c r="H58" s="222"/>
      <c r="I58" s="222"/>
      <c r="J58" s="222"/>
      <c r="K58" s="222"/>
      <c r="L58" s="222"/>
      <c r="M58" s="222"/>
      <c r="N58" s="408"/>
      <c r="O58" s="291"/>
      <c r="P58" s="348"/>
      <c r="Q58" s="405"/>
      <c r="R58" s="222"/>
      <c r="S58" s="222"/>
      <c r="T58" s="222"/>
      <c r="U58" s="222"/>
      <c r="V58" s="222"/>
      <c r="W58" s="222"/>
      <c r="X58" s="222"/>
      <c r="Y58" s="222"/>
      <c r="Z58" s="222"/>
      <c r="AA58" s="222"/>
      <c r="AB58" s="222"/>
      <c r="AC58" s="222"/>
      <c r="AD58" s="291"/>
      <c r="AE58" s="406"/>
      <c r="AF58" s="291"/>
      <c r="AG58" s="64"/>
      <c r="AH58" s="408"/>
      <c r="AI58" s="222"/>
      <c r="AJ58" s="415"/>
      <c r="AK58" s="222"/>
      <c r="AL58" s="222"/>
      <c r="AM58" s="222"/>
      <c r="AN58" s="222"/>
      <c r="AO58" s="222"/>
      <c r="AP58" s="222"/>
      <c r="AQ58" s="291"/>
      <c r="AR58" s="582"/>
      <c r="AS58" s="222"/>
      <c r="AT58" s="222"/>
      <c r="AU58" s="222"/>
      <c r="AV58" s="222"/>
      <c r="AW58" s="222"/>
      <c r="AX58" s="222"/>
      <c r="AY58" s="222"/>
      <c r="AZ58" s="222"/>
      <c r="BA58" s="222"/>
      <c r="BB58" s="222"/>
      <c r="BC58" s="222"/>
      <c r="BD58" s="222"/>
      <c r="BE58" s="291"/>
      <c r="BF58" s="585"/>
      <c r="BG58" s="647"/>
      <c r="BH58" s="291"/>
      <c r="BI58" s="426"/>
      <c r="BJ58" s="406"/>
      <c r="BK58" s="291"/>
      <c r="BL58" s="405"/>
      <c r="BM58" s="291"/>
      <c r="BN58" s="406"/>
      <c r="BO58" s="291"/>
      <c r="BP58" s="519"/>
      <c r="BQ58" s="222"/>
      <c r="BR58" s="222"/>
      <c r="BS58" s="222"/>
      <c r="BT58" s="222"/>
      <c r="BU58" s="222"/>
      <c r="BV58" s="222"/>
      <c r="BW58" s="291"/>
      <c r="BX58" s="421"/>
      <c r="BY58" s="222"/>
      <c r="BZ58" s="222"/>
      <c r="CA58" s="222"/>
      <c r="CB58" s="222"/>
      <c r="CC58" s="222"/>
      <c r="CD58" s="222"/>
      <c r="CE58" s="222"/>
      <c r="CF58" s="222"/>
      <c r="CG58" s="222"/>
      <c r="CH58" s="222"/>
      <c r="CI58" s="222"/>
      <c r="CJ58" s="222"/>
      <c r="CK58" s="222"/>
      <c r="CL58" s="291"/>
      <c r="CM58" s="406"/>
      <c r="CN58" s="291"/>
      <c r="CO58" s="64"/>
      <c r="CP58" s="64"/>
      <c r="CQ58" s="64"/>
      <c r="CR58" s="64"/>
      <c r="CS58" s="64"/>
      <c r="CT58" s="64"/>
      <c r="CU58" s="64"/>
    </row>
    <row r="59">
      <c r="A59" s="64"/>
      <c r="B59" s="408"/>
      <c r="C59" s="222"/>
      <c r="D59" s="434"/>
      <c r="E59" s="435"/>
      <c r="F59" s="222"/>
      <c r="G59" s="222"/>
      <c r="H59" s="222"/>
      <c r="I59" s="222"/>
      <c r="J59" s="222"/>
      <c r="K59" s="222"/>
      <c r="L59" s="222"/>
      <c r="M59" s="222"/>
      <c r="N59" s="408"/>
      <c r="O59" s="291"/>
      <c r="P59" s="348"/>
      <c r="Q59" s="405"/>
      <c r="R59" s="222"/>
      <c r="S59" s="222"/>
      <c r="T59" s="222"/>
      <c r="U59" s="222"/>
      <c r="V59" s="222"/>
      <c r="W59" s="222"/>
      <c r="X59" s="222"/>
      <c r="Y59" s="222"/>
      <c r="Z59" s="222"/>
      <c r="AA59" s="222"/>
      <c r="AB59" s="222"/>
      <c r="AC59" s="222"/>
      <c r="AD59" s="291"/>
      <c r="AE59" s="406"/>
      <c r="AF59" s="291"/>
      <c r="AG59" s="64"/>
      <c r="AH59" s="408"/>
      <c r="AI59" s="222"/>
      <c r="AJ59" s="415"/>
      <c r="AK59" s="222"/>
      <c r="AL59" s="222"/>
      <c r="AM59" s="222"/>
      <c r="AN59" s="222"/>
      <c r="AO59" s="222"/>
      <c r="AP59" s="222"/>
      <c r="AQ59" s="291"/>
      <c r="AR59" s="582"/>
      <c r="AS59" s="222"/>
      <c r="AT59" s="222"/>
      <c r="AU59" s="222"/>
      <c r="AV59" s="222"/>
      <c r="AW59" s="222"/>
      <c r="AX59" s="222"/>
      <c r="AY59" s="222"/>
      <c r="AZ59" s="222"/>
      <c r="BA59" s="222"/>
      <c r="BB59" s="222"/>
      <c r="BC59" s="222"/>
      <c r="BD59" s="222"/>
      <c r="BE59" s="291"/>
      <c r="BF59" s="585"/>
      <c r="BG59" s="586"/>
      <c r="BH59" s="291"/>
      <c r="BI59" s="426"/>
      <c r="BJ59" s="406"/>
      <c r="BK59" s="291"/>
      <c r="BL59" s="405"/>
      <c r="BM59" s="291"/>
      <c r="BN59" s="406"/>
      <c r="BO59" s="291"/>
      <c r="BP59" s="519"/>
      <c r="BQ59" s="222"/>
      <c r="BR59" s="222"/>
      <c r="BS59" s="222"/>
      <c r="BT59" s="222"/>
      <c r="BU59" s="222"/>
      <c r="BV59" s="222"/>
      <c r="BW59" s="291"/>
      <c r="BX59" s="421"/>
      <c r="BY59" s="222"/>
      <c r="BZ59" s="222"/>
      <c r="CA59" s="222"/>
      <c r="CB59" s="222"/>
      <c r="CC59" s="222"/>
      <c r="CD59" s="222"/>
      <c r="CE59" s="222"/>
      <c r="CF59" s="222"/>
      <c r="CG59" s="222"/>
      <c r="CH59" s="222"/>
      <c r="CI59" s="222"/>
      <c r="CJ59" s="222"/>
      <c r="CK59" s="222"/>
      <c r="CL59" s="291"/>
      <c r="CM59" s="406"/>
      <c r="CN59" s="291"/>
      <c r="CO59" s="64"/>
      <c r="CP59" s="64"/>
      <c r="CQ59" s="64"/>
      <c r="CR59" s="64"/>
      <c r="CS59" s="64"/>
      <c r="CT59" s="64"/>
      <c r="CU59" s="64"/>
    </row>
    <row r="60">
      <c r="A60" s="64"/>
      <c r="B60" s="408"/>
      <c r="C60" s="222"/>
      <c r="D60" s="434"/>
      <c r="E60" s="435"/>
      <c r="F60" s="222"/>
      <c r="G60" s="222"/>
      <c r="H60" s="222"/>
      <c r="I60" s="222"/>
      <c r="J60" s="222"/>
      <c r="K60" s="222"/>
      <c r="L60" s="222"/>
      <c r="M60" s="222"/>
      <c r="N60" s="408"/>
      <c r="O60" s="291"/>
      <c r="P60" s="348"/>
      <c r="Q60" s="405"/>
      <c r="R60" s="222"/>
      <c r="S60" s="222"/>
      <c r="T60" s="222"/>
      <c r="U60" s="222"/>
      <c r="V60" s="222"/>
      <c r="W60" s="222"/>
      <c r="X60" s="222"/>
      <c r="Y60" s="222"/>
      <c r="Z60" s="222"/>
      <c r="AA60" s="222"/>
      <c r="AB60" s="222"/>
      <c r="AC60" s="222"/>
      <c r="AD60" s="291"/>
      <c r="AE60" s="406"/>
      <c r="AF60" s="291"/>
      <c r="AG60" s="64"/>
      <c r="AH60" s="408"/>
      <c r="AI60" s="222"/>
      <c r="AJ60" s="415"/>
      <c r="AK60" s="222"/>
      <c r="AL60" s="222"/>
      <c r="AM60" s="222"/>
      <c r="AN60" s="222"/>
      <c r="AO60" s="222"/>
      <c r="AP60" s="222"/>
      <c r="AQ60" s="291"/>
      <c r="AR60" s="582"/>
      <c r="AS60" s="222"/>
      <c r="AT60" s="222"/>
      <c r="AU60" s="222"/>
      <c r="AV60" s="222"/>
      <c r="AW60" s="222"/>
      <c r="AX60" s="222"/>
      <c r="AY60" s="222"/>
      <c r="AZ60" s="222"/>
      <c r="BA60" s="222"/>
      <c r="BB60" s="222"/>
      <c r="BC60" s="222"/>
      <c r="BD60" s="222"/>
      <c r="BE60" s="291"/>
      <c r="BF60" s="585"/>
      <c r="BG60" s="434"/>
      <c r="BH60" s="291"/>
      <c r="BI60" s="426"/>
      <c r="BJ60" s="686"/>
      <c r="BK60" s="291"/>
      <c r="BL60" s="405"/>
      <c r="BM60" s="291"/>
      <c r="BN60" s="690" t="str">
        <f t="shared" ref="BN60:BN61" si="2">iferror(vlookup(BP60,$CR$4:$CT$9,2,false),"")</f>
        <v/>
      </c>
      <c r="BO60" s="291"/>
      <c r="BP60" s="693" t="str">
        <f t="shared" ref="BP60:BP61" si="3">BN5</f>
        <v/>
      </c>
      <c r="BQ60" s="222"/>
      <c r="BR60" s="222"/>
      <c r="BS60" s="222"/>
      <c r="BT60" s="222"/>
      <c r="BU60" s="222"/>
      <c r="BV60" s="222"/>
      <c r="BW60" s="291"/>
      <c r="BX60" s="421"/>
      <c r="BY60" s="222"/>
      <c r="BZ60" s="222"/>
      <c r="CA60" s="222"/>
      <c r="CB60" s="222"/>
      <c r="CC60" s="222"/>
      <c r="CD60" s="222"/>
      <c r="CE60" s="222"/>
      <c r="CF60" s="222"/>
      <c r="CG60" s="222"/>
      <c r="CH60" s="222"/>
      <c r="CI60" s="222"/>
      <c r="CJ60" s="222"/>
      <c r="CK60" s="222"/>
      <c r="CL60" s="291"/>
      <c r="CM60" s="406"/>
      <c r="CN60" s="291"/>
      <c r="CO60" s="64"/>
      <c r="CP60" s="64"/>
      <c r="CQ60" s="64"/>
      <c r="CR60" s="64"/>
      <c r="CS60" s="64"/>
      <c r="CT60" s="64"/>
      <c r="CU60" s="64"/>
    </row>
    <row r="61">
      <c r="A61" s="64"/>
      <c r="B61" s="408"/>
      <c r="C61" s="222"/>
      <c r="D61" s="434"/>
      <c r="E61" s="435"/>
      <c r="F61" s="222"/>
      <c r="G61" s="222"/>
      <c r="H61" s="222"/>
      <c r="I61" s="222"/>
      <c r="J61" s="222"/>
      <c r="K61" s="222"/>
      <c r="L61" s="222"/>
      <c r="M61" s="222"/>
      <c r="N61" s="408"/>
      <c r="O61" s="291"/>
      <c r="P61" s="348"/>
      <c r="Q61" s="405"/>
      <c r="R61" s="222"/>
      <c r="S61" s="222"/>
      <c r="T61" s="222"/>
      <c r="U61" s="222"/>
      <c r="V61" s="222"/>
      <c r="W61" s="222"/>
      <c r="X61" s="222"/>
      <c r="Y61" s="222"/>
      <c r="Z61" s="222"/>
      <c r="AA61" s="222"/>
      <c r="AB61" s="222"/>
      <c r="AC61" s="222"/>
      <c r="AD61" s="291"/>
      <c r="AE61" s="406"/>
      <c r="AF61" s="291"/>
      <c r="AG61" s="64"/>
      <c r="AH61" s="408"/>
      <c r="AI61" s="222"/>
      <c r="AJ61" s="415"/>
      <c r="AK61" s="222"/>
      <c r="AL61" s="222"/>
      <c r="AM61" s="222"/>
      <c r="AN61" s="222"/>
      <c r="AO61" s="222"/>
      <c r="AP61" s="222"/>
      <c r="AQ61" s="291"/>
      <c r="AR61" s="582"/>
      <c r="AS61" s="222"/>
      <c r="AT61" s="222"/>
      <c r="AU61" s="222"/>
      <c r="AV61" s="222"/>
      <c r="AW61" s="222"/>
      <c r="AX61" s="222"/>
      <c r="AY61" s="222"/>
      <c r="AZ61" s="222"/>
      <c r="BA61" s="222"/>
      <c r="BB61" s="222"/>
      <c r="BC61" s="222"/>
      <c r="BD61" s="222"/>
      <c r="BE61" s="291"/>
      <c r="BF61" s="585"/>
      <c r="BG61" s="434"/>
      <c r="BH61" s="291"/>
      <c r="BI61" s="426"/>
      <c r="BJ61" s="686"/>
      <c r="BK61" s="291"/>
      <c r="BL61" s="405"/>
      <c r="BM61" s="291"/>
      <c r="BN61" s="690" t="str">
        <f t="shared" si="2"/>
        <v/>
      </c>
      <c r="BO61" s="291"/>
      <c r="BP61" s="697" t="str">
        <f t="shared" si="3"/>
        <v/>
      </c>
      <c r="BQ61" s="222"/>
      <c r="BR61" s="222"/>
      <c r="BS61" s="222"/>
      <c r="BT61" s="222"/>
      <c r="BU61" s="222"/>
      <c r="BV61" s="222"/>
      <c r="BW61" s="291"/>
      <c r="BX61" s="421"/>
      <c r="BY61" s="222"/>
      <c r="BZ61" s="222"/>
      <c r="CA61" s="222"/>
      <c r="CB61" s="222"/>
      <c r="CC61" s="222"/>
      <c r="CD61" s="222"/>
      <c r="CE61" s="222"/>
      <c r="CF61" s="222"/>
      <c r="CG61" s="222"/>
      <c r="CH61" s="222"/>
      <c r="CI61" s="222"/>
      <c r="CJ61" s="222"/>
      <c r="CK61" s="222"/>
      <c r="CL61" s="291"/>
      <c r="CM61" s="406"/>
      <c r="CN61" s="291"/>
      <c r="CO61" s="64"/>
      <c r="CP61" s="64"/>
      <c r="CQ61" s="64"/>
      <c r="CR61" s="64"/>
      <c r="CS61" s="64"/>
      <c r="CT61" s="64"/>
      <c r="CU61" s="64"/>
    </row>
    <row r="62">
      <c r="A62" s="64"/>
      <c r="B62" s="408"/>
      <c r="C62" s="222"/>
      <c r="D62" s="434"/>
      <c r="E62" s="435"/>
      <c r="F62" s="222"/>
      <c r="G62" s="222"/>
      <c r="H62" s="222"/>
      <c r="I62" s="222"/>
      <c r="J62" s="222"/>
      <c r="K62" s="222"/>
      <c r="L62" s="222"/>
      <c r="M62" s="222"/>
      <c r="N62" s="408"/>
      <c r="O62" s="291"/>
      <c r="P62" s="448"/>
      <c r="Q62" s="405"/>
      <c r="R62" s="222"/>
      <c r="S62" s="222"/>
      <c r="T62" s="222"/>
      <c r="U62" s="222"/>
      <c r="V62" s="222"/>
      <c r="W62" s="222"/>
      <c r="X62" s="222"/>
      <c r="Y62" s="222"/>
      <c r="Z62" s="222"/>
      <c r="AA62" s="222"/>
      <c r="AB62" s="222"/>
      <c r="AC62" s="222"/>
      <c r="AD62" s="291"/>
      <c r="AE62" s="406"/>
      <c r="AF62" s="291"/>
      <c r="AG62" s="64"/>
      <c r="AH62" s="408"/>
      <c r="AI62" s="291"/>
      <c r="AJ62" s="415"/>
      <c r="AK62" s="222"/>
      <c r="AL62" s="222"/>
      <c r="AM62" s="222"/>
      <c r="AN62" s="222"/>
      <c r="AO62" s="222"/>
      <c r="AP62" s="222"/>
      <c r="AQ62" s="291"/>
      <c r="AR62" s="582"/>
      <c r="AS62" s="222"/>
      <c r="AT62" s="222"/>
      <c r="AU62" s="222"/>
      <c r="AV62" s="222"/>
      <c r="AW62" s="222"/>
      <c r="AX62" s="222"/>
      <c r="AY62" s="222"/>
      <c r="AZ62" s="222"/>
      <c r="BA62" s="222"/>
      <c r="BB62" s="222"/>
      <c r="BC62" s="222"/>
      <c r="BD62" s="222"/>
      <c r="BE62" s="291"/>
      <c r="BF62" s="585"/>
      <c r="BG62" s="434"/>
      <c r="BH62" s="291"/>
      <c r="BI62" s="426"/>
      <c r="BJ62" s="686">
        <f>Sum(B19:C72)</f>
        <v>0</v>
      </c>
      <c r="BK62" s="291"/>
      <c r="BL62" s="709"/>
      <c r="BM62" s="291"/>
      <c r="BN62" s="690">
        <v>0.25</v>
      </c>
      <c r="BO62" s="291"/>
      <c r="BP62" s="693" t="s">
        <v>812</v>
      </c>
      <c r="BQ62" s="222"/>
      <c r="BR62" s="222"/>
      <c r="BS62" s="222"/>
      <c r="BT62" s="222"/>
      <c r="BU62" s="222"/>
      <c r="BV62" s="222"/>
      <c r="BW62" s="222"/>
      <c r="BX62" s="421"/>
      <c r="BY62" s="222"/>
      <c r="BZ62" s="222"/>
      <c r="CA62" s="222"/>
      <c r="CB62" s="222"/>
      <c r="CC62" s="222"/>
      <c r="CD62" s="222"/>
      <c r="CE62" s="222"/>
      <c r="CF62" s="222"/>
      <c r="CG62" s="222"/>
      <c r="CH62" s="222"/>
      <c r="CI62" s="222"/>
      <c r="CJ62" s="222"/>
      <c r="CK62" s="222"/>
      <c r="CL62" s="291"/>
      <c r="CM62" s="406"/>
      <c r="CN62" s="291"/>
      <c r="CO62" s="64"/>
      <c r="CP62" s="64"/>
      <c r="CQ62" s="64"/>
      <c r="CR62" s="64"/>
      <c r="CS62" s="64"/>
      <c r="CT62" s="64"/>
      <c r="CU62" s="64"/>
    </row>
    <row r="63">
      <c r="A63" s="64"/>
      <c r="B63" s="627"/>
      <c r="C63" s="234"/>
      <c r="D63" s="711"/>
      <c r="E63" s="712"/>
      <c r="F63" s="234"/>
      <c r="G63" s="234"/>
      <c r="H63" s="234"/>
      <c r="I63" s="234"/>
      <c r="J63" s="234"/>
      <c r="K63" s="234"/>
      <c r="L63" s="234"/>
      <c r="M63" s="234"/>
      <c r="N63" s="627"/>
      <c r="O63" s="236"/>
      <c r="P63" s="448"/>
      <c r="Q63" s="405"/>
      <c r="R63" s="222"/>
      <c r="S63" s="222"/>
      <c r="T63" s="222"/>
      <c r="U63" s="222"/>
      <c r="V63" s="222"/>
      <c r="W63" s="222"/>
      <c r="X63" s="222"/>
      <c r="Y63" s="222"/>
      <c r="Z63" s="222"/>
      <c r="AA63" s="222"/>
      <c r="AB63" s="222"/>
      <c r="AC63" s="222"/>
      <c r="AD63" s="291"/>
      <c r="AE63" s="713"/>
      <c r="AF63" s="714"/>
      <c r="AG63" s="64"/>
      <c r="AH63" s="627"/>
      <c r="AI63" s="236"/>
      <c r="AJ63" s="522"/>
      <c r="AK63" s="234"/>
      <c r="AL63" s="234"/>
      <c r="AM63" s="234"/>
      <c r="AN63" s="234"/>
      <c r="AO63" s="234"/>
      <c r="AP63" s="234"/>
      <c r="AQ63" s="236"/>
      <c r="AR63" s="715"/>
      <c r="AS63" s="234"/>
      <c r="AT63" s="234"/>
      <c r="AU63" s="234"/>
      <c r="AV63" s="234"/>
      <c r="AW63" s="234"/>
      <c r="AX63" s="234"/>
      <c r="AY63" s="234"/>
      <c r="AZ63" s="234"/>
      <c r="BA63" s="234"/>
      <c r="BB63" s="234"/>
      <c r="BC63" s="234"/>
      <c r="BD63" s="234"/>
      <c r="BE63" s="236"/>
      <c r="BF63" s="716"/>
      <c r="BG63" s="711"/>
      <c r="BH63" s="236"/>
      <c r="BI63" s="426"/>
      <c r="BJ63" s="718">
        <f>SUM(AH61:AI72,AH42:AI57,AH19:AI38)</f>
        <v>0</v>
      </c>
      <c r="BK63" s="236"/>
      <c r="BL63" s="232"/>
      <c r="BM63" s="236"/>
      <c r="BN63" s="720">
        <v>0.5</v>
      </c>
      <c r="BO63" s="236"/>
      <c r="BP63" s="722" t="s">
        <v>814</v>
      </c>
      <c r="BQ63" s="234"/>
      <c r="BR63" s="234"/>
      <c r="BS63" s="234"/>
      <c r="BT63" s="234"/>
      <c r="BU63" s="234"/>
      <c r="BV63" s="234"/>
      <c r="BW63" s="236"/>
      <c r="BX63" s="724"/>
      <c r="BY63" s="234"/>
      <c r="BZ63" s="234"/>
      <c r="CA63" s="234"/>
      <c r="CB63" s="234"/>
      <c r="CC63" s="234"/>
      <c r="CD63" s="234"/>
      <c r="CE63" s="234"/>
      <c r="CF63" s="234"/>
      <c r="CG63" s="234"/>
      <c r="CH63" s="234"/>
      <c r="CI63" s="234"/>
      <c r="CJ63" s="234"/>
      <c r="CK63" s="234"/>
      <c r="CL63" s="236"/>
      <c r="CM63" s="529"/>
      <c r="CN63" s="236"/>
      <c r="CO63" s="64"/>
      <c r="CP63" s="64"/>
      <c r="CQ63" s="64"/>
      <c r="CR63" s="64"/>
      <c r="CS63" s="64"/>
      <c r="CT63" s="64"/>
      <c r="CU63" s="64"/>
    </row>
    <row r="64">
      <c r="A64" s="64"/>
      <c r="B64" s="64"/>
      <c r="C64" s="64"/>
      <c r="D64" s="726"/>
      <c r="E64" s="726"/>
      <c r="F64" s="726"/>
      <c r="G64" s="726"/>
      <c r="H64" s="726"/>
      <c r="I64" s="726"/>
      <c r="J64" s="726"/>
      <c r="K64" s="726"/>
      <c r="L64" s="726"/>
      <c r="M64" s="726"/>
      <c r="N64" s="64"/>
      <c r="O64" s="64"/>
      <c r="P64" s="64"/>
      <c r="Q64" s="726"/>
      <c r="R64" s="726"/>
      <c r="S64" s="726"/>
      <c r="T64" s="726"/>
      <c r="U64" s="726"/>
      <c r="V64" s="726"/>
      <c r="W64" s="726"/>
      <c r="X64" s="726"/>
      <c r="Y64" s="726"/>
      <c r="Z64" s="726"/>
      <c r="AA64" s="726"/>
      <c r="AB64" s="726"/>
      <c r="AC64" s="726"/>
      <c r="AD64" s="325"/>
      <c r="AE64" s="728"/>
      <c r="AF64" s="728"/>
      <c r="AG64" s="64"/>
      <c r="AH64" s="64"/>
      <c r="AI64" s="64"/>
      <c r="AJ64" s="64"/>
      <c r="AK64" s="64"/>
      <c r="AL64" s="64"/>
      <c r="AM64" s="64"/>
      <c r="AN64" s="64"/>
      <c r="AO64" s="64"/>
      <c r="AP64" s="64"/>
      <c r="AQ64" s="64"/>
      <c r="AR64" s="64"/>
      <c r="AS64" s="64"/>
      <c r="AT64" s="64"/>
      <c r="AU64" s="64"/>
      <c r="AV64" s="64"/>
      <c r="AW64" s="64"/>
      <c r="AX64" s="64"/>
      <c r="AY64" s="64"/>
      <c r="AZ64" s="64"/>
      <c r="BA64" s="64"/>
      <c r="BB64" s="64"/>
      <c r="BC64" s="64"/>
      <c r="BD64" s="64"/>
      <c r="BE64" s="64"/>
      <c r="BF64" s="64"/>
      <c r="BG64" s="64"/>
      <c r="BH64" s="64"/>
      <c r="BI64" s="64"/>
      <c r="BJ64" s="489"/>
      <c r="BK64" s="489"/>
      <c r="BL64" s="489"/>
      <c r="BM64" s="489"/>
      <c r="BN64" s="489"/>
      <c r="BO64" s="489"/>
      <c r="BP64" s="489"/>
      <c r="BQ64" s="489"/>
      <c r="BR64" s="489"/>
      <c r="BS64" s="489"/>
      <c r="BT64" s="489"/>
      <c r="BU64" s="489"/>
      <c r="BV64" s="489"/>
      <c r="BW64" s="489"/>
      <c r="BX64" s="489"/>
      <c r="BY64" s="489"/>
      <c r="BZ64" s="489"/>
      <c r="CA64" s="489"/>
      <c r="CB64" s="489"/>
      <c r="CC64" s="489"/>
      <c r="CD64" s="489"/>
      <c r="CE64" s="489"/>
      <c r="CF64" s="489"/>
      <c r="CG64" s="489"/>
      <c r="CH64" s="489"/>
      <c r="CI64" s="726"/>
      <c r="CJ64" s="726"/>
      <c r="CK64" s="726"/>
      <c r="CL64" s="726"/>
      <c r="CM64" s="489"/>
      <c r="CN64" s="489"/>
      <c r="CO64" s="64"/>
      <c r="CP64" s="64"/>
      <c r="CQ64" s="64"/>
      <c r="CR64" s="64"/>
      <c r="CS64" s="64"/>
      <c r="CT64" s="64"/>
      <c r="CU64" s="64"/>
    </row>
    <row r="65">
      <c r="A65" s="64"/>
      <c r="B65" s="730" t="s">
        <v>818</v>
      </c>
      <c r="C65" s="64"/>
      <c r="D65" s="64"/>
      <c r="E65" s="64"/>
      <c r="F65" s="64"/>
      <c r="G65" s="64"/>
      <c r="H65" s="64"/>
      <c r="I65" s="64"/>
      <c r="J65" s="64"/>
      <c r="K65" s="64"/>
      <c r="L65" s="64"/>
      <c r="M65" s="64"/>
      <c r="N65" s="64"/>
      <c r="O65" s="64"/>
      <c r="P65" s="64"/>
      <c r="Q65" s="64"/>
      <c r="R65" s="64"/>
      <c r="S65" s="64"/>
      <c r="T65" s="64"/>
      <c r="U65" s="731"/>
      <c r="V65" s="731"/>
      <c r="W65" s="731"/>
      <c r="X65" s="731"/>
      <c r="Y65" s="731"/>
      <c r="Z65" s="731"/>
      <c r="AA65" s="731"/>
      <c r="AB65" s="731"/>
      <c r="AC65" s="731"/>
      <c r="AD65" s="468"/>
      <c r="AE65" s="731"/>
      <c r="AF65" s="731"/>
      <c r="AG65" s="731"/>
      <c r="AH65" s="731"/>
      <c r="AI65" s="731"/>
      <c r="AJ65" s="731"/>
      <c r="AK65" s="731"/>
      <c r="AL65" s="731"/>
      <c r="AM65" s="731"/>
      <c r="AN65" s="731"/>
      <c r="AO65" s="731"/>
      <c r="AP65" s="731"/>
      <c r="AQ65" s="731"/>
      <c r="AR65" s="731"/>
      <c r="AS65" s="731"/>
      <c r="AT65" s="731"/>
      <c r="AU65" s="731"/>
      <c r="AV65" s="731"/>
      <c r="AW65" s="64"/>
      <c r="AX65" s="64"/>
      <c r="AY65" s="64"/>
      <c r="AZ65" s="64"/>
      <c r="BA65" s="64"/>
      <c r="BB65" s="64"/>
      <c r="BC65" s="64"/>
      <c r="BD65" s="64"/>
      <c r="BE65" s="64"/>
      <c r="BF65" s="64"/>
      <c r="BG65" s="64"/>
      <c r="BH65" s="64"/>
      <c r="BI65" s="64"/>
      <c r="BJ65" s="64"/>
      <c r="BK65" s="64"/>
      <c r="BL65" s="64"/>
      <c r="BM65" s="64"/>
      <c r="BN65" s="64"/>
      <c r="BO65" s="64"/>
      <c r="BP65" s="64"/>
      <c r="BQ65" s="64"/>
      <c r="BR65" s="64"/>
      <c r="BS65" s="64"/>
      <c r="BT65" s="64"/>
      <c r="BU65" s="64"/>
      <c r="BV65" s="64"/>
      <c r="BW65" s="64"/>
      <c r="BX65" s="64"/>
      <c r="BY65" s="64"/>
      <c r="BZ65" s="64"/>
      <c r="CA65" s="64"/>
      <c r="CB65" s="64"/>
      <c r="CC65" s="64"/>
      <c r="CD65" s="64"/>
      <c r="CE65" s="64"/>
      <c r="CF65" s="64"/>
      <c r="CG65" s="64"/>
      <c r="CH65" s="64"/>
      <c r="CI65" s="64"/>
      <c r="CJ65" s="64"/>
      <c r="CK65" s="64"/>
      <c r="CL65" s="64"/>
      <c r="CM65" s="64"/>
      <c r="CN65" s="64"/>
      <c r="CO65" s="64"/>
      <c r="CP65" s="64"/>
      <c r="CQ65" s="64"/>
      <c r="CR65" s="64"/>
      <c r="CS65" s="64"/>
      <c r="CT65" s="64"/>
      <c r="CU65" s="64"/>
    </row>
    <row r="66">
      <c r="A66" s="64"/>
      <c r="B66" s="64"/>
      <c r="C66" s="64"/>
      <c r="D66" s="64"/>
      <c r="E66" s="64"/>
      <c r="F66" s="64"/>
      <c r="G66" s="64"/>
      <c r="H66" s="64"/>
      <c r="I66" s="64"/>
      <c r="J66" s="64"/>
      <c r="K66" s="64"/>
      <c r="L66" s="64"/>
      <c r="M66" s="64"/>
      <c r="N66" s="64"/>
      <c r="O66" s="64"/>
      <c r="P66" s="64"/>
      <c r="Q66" s="64"/>
      <c r="R66" s="64"/>
      <c r="S66" s="64"/>
      <c r="T66" s="64"/>
      <c r="U66" s="731"/>
      <c r="V66" s="731"/>
      <c r="W66" s="731"/>
      <c r="X66" s="731"/>
      <c r="Y66" s="731"/>
      <c r="Z66" s="731"/>
      <c r="AA66" s="731"/>
      <c r="AB66" s="731"/>
      <c r="AC66" s="731"/>
      <c r="AD66" s="468"/>
      <c r="AE66" s="731"/>
      <c r="AF66" s="731"/>
      <c r="AG66" s="731"/>
      <c r="AH66" s="731"/>
      <c r="AI66" s="731"/>
      <c r="AJ66" s="731"/>
      <c r="AK66" s="731"/>
      <c r="AL66" s="731"/>
      <c r="AM66" s="731"/>
      <c r="AN66" s="731"/>
      <c r="AO66" s="731"/>
      <c r="AP66" s="731"/>
      <c r="AQ66" s="731"/>
      <c r="AR66" s="731"/>
      <c r="AS66" s="731"/>
      <c r="AT66" s="731"/>
      <c r="AU66" s="731"/>
      <c r="AV66" s="731"/>
      <c r="AW66" s="64"/>
      <c r="AX66" s="64"/>
      <c r="AY66" s="64"/>
      <c r="AZ66" s="64"/>
      <c r="BA66" s="64"/>
      <c r="BB66" s="64"/>
      <c r="BC66" s="64"/>
      <c r="BD66" s="64"/>
      <c r="BE66" s="64"/>
      <c r="BF66" s="64"/>
      <c r="BG66" s="64"/>
      <c r="BH66" s="64"/>
      <c r="BI66" s="64"/>
      <c r="BJ66" s="64"/>
      <c r="BK66" s="64"/>
      <c r="BL66" s="64"/>
      <c r="BM66" s="64"/>
      <c r="BN66" s="64"/>
      <c r="BO66" s="64"/>
      <c r="BP66" s="64"/>
      <c r="BQ66" s="64"/>
      <c r="BR66" s="64"/>
      <c r="BS66" s="64"/>
      <c r="BT66" s="64"/>
      <c r="BU66" s="64"/>
      <c r="BV66" s="64"/>
      <c r="BW66" s="64"/>
      <c r="BX66" s="64"/>
      <c r="BY66" s="64"/>
      <c r="BZ66" s="64"/>
      <c r="CA66" s="64"/>
      <c r="CB66" s="64"/>
      <c r="CC66" s="64"/>
      <c r="CD66" s="64"/>
      <c r="CE66" s="64"/>
      <c r="CF66" s="726"/>
      <c r="CG66" s="726"/>
      <c r="CH66" s="726"/>
      <c r="CI66" s="64"/>
      <c r="CJ66" s="64"/>
      <c r="CK66" s="64"/>
      <c r="CL66" s="64"/>
      <c r="CM66" s="726"/>
      <c r="CN66" s="726"/>
      <c r="CO66" s="64"/>
      <c r="CP66" s="64"/>
      <c r="CQ66" s="64"/>
      <c r="CR66" s="64"/>
      <c r="CS66" s="64"/>
      <c r="CT66" s="64"/>
      <c r="CU66" s="64"/>
    </row>
    <row r="67">
      <c r="A67" s="64"/>
      <c r="B67" s="64"/>
      <c r="C67" s="64"/>
      <c r="D67" s="64"/>
      <c r="E67" s="64"/>
      <c r="F67" s="64"/>
      <c r="G67" s="64"/>
      <c r="H67" s="64"/>
      <c r="I67" s="64"/>
      <c r="J67" s="64"/>
      <c r="K67" s="64"/>
      <c r="L67" s="64"/>
      <c r="M67" s="64"/>
      <c r="N67" s="64"/>
      <c r="O67" s="64"/>
      <c r="P67" s="64"/>
      <c r="Q67" s="64"/>
      <c r="R67" s="64"/>
      <c r="S67" s="64"/>
      <c r="T67" s="64"/>
      <c r="U67" s="731"/>
      <c r="V67" s="731"/>
      <c r="W67" s="731"/>
      <c r="X67" s="731"/>
      <c r="Y67" s="731"/>
      <c r="Z67" s="731"/>
      <c r="AA67" s="731"/>
      <c r="AB67" s="731"/>
      <c r="AC67" s="731"/>
      <c r="AD67" s="468"/>
      <c r="AE67" s="731"/>
      <c r="AF67" s="731"/>
      <c r="AG67" s="731"/>
      <c r="AH67" s="731"/>
      <c r="AI67" s="731"/>
      <c r="AJ67" s="731"/>
      <c r="AK67" s="731"/>
      <c r="AL67" s="730"/>
      <c r="AM67" s="731"/>
      <c r="AN67" s="731"/>
      <c r="AO67" s="731"/>
      <c r="AP67" s="731"/>
      <c r="AQ67" s="731"/>
      <c r="AR67" s="731"/>
      <c r="AS67" s="731"/>
      <c r="AT67" s="731"/>
      <c r="AU67" s="731"/>
      <c r="AV67" s="731"/>
      <c r="AW67" s="64"/>
      <c r="AX67" s="64"/>
      <c r="AY67" s="64"/>
      <c r="AZ67" s="64"/>
      <c r="BA67" s="64"/>
      <c r="BB67" s="64"/>
      <c r="BC67" s="64"/>
      <c r="BD67" s="64"/>
      <c r="BE67" s="64"/>
      <c r="BF67" s="64"/>
      <c r="BG67" s="64"/>
      <c r="BH67" s="64"/>
      <c r="BI67" s="64"/>
      <c r="BJ67" s="64"/>
      <c r="BK67" s="64"/>
      <c r="BL67" s="64"/>
      <c r="BM67" s="64"/>
      <c r="BN67" s="64"/>
      <c r="BO67" s="64"/>
      <c r="BP67" s="64"/>
      <c r="BQ67" s="64"/>
      <c r="BR67" s="64"/>
      <c r="BS67" s="64"/>
      <c r="BT67" s="64"/>
      <c r="BU67" s="64"/>
      <c r="BV67" s="64"/>
      <c r="BW67" s="64"/>
      <c r="BX67" s="64"/>
      <c r="BY67" s="64"/>
      <c r="BZ67" s="64"/>
      <c r="CA67" s="64"/>
      <c r="CB67" s="64"/>
      <c r="CC67" s="64"/>
      <c r="CD67" s="64"/>
      <c r="CE67" s="64"/>
      <c r="CF67" s="64"/>
      <c r="CG67" s="64"/>
      <c r="CH67" s="64"/>
      <c r="CI67" s="64"/>
      <c r="CJ67" s="64"/>
      <c r="CK67" s="64"/>
      <c r="CL67" s="64"/>
      <c r="CM67" s="64"/>
      <c r="CN67" s="64"/>
      <c r="CO67" s="64"/>
      <c r="CP67" s="64"/>
      <c r="CQ67" s="64"/>
      <c r="CR67" s="64"/>
      <c r="CS67" s="64"/>
      <c r="CT67" s="64"/>
      <c r="CU67" s="64"/>
    </row>
    <row r="68">
      <c r="A68" s="64"/>
      <c r="B68" s="64"/>
      <c r="C68" s="64"/>
      <c r="D68" s="64"/>
      <c r="E68" s="64"/>
      <c r="F68" s="64"/>
      <c r="G68" s="64"/>
      <c r="H68" s="64"/>
      <c r="I68" s="64"/>
      <c r="J68" s="64"/>
      <c r="K68" s="64"/>
      <c r="L68" s="64"/>
      <c r="M68" s="64"/>
      <c r="N68" s="64"/>
      <c r="O68" s="64"/>
      <c r="P68" s="64"/>
      <c r="Q68" s="64"/>
      <c r="R68" s="64"/>
      <c r="S68" s="64"/>
      <c r="T68" s="64"/>
      <c r="U68" s="731"/>
      <c r="V68" s="731"/>
      <c r="W68" s="731"/>
      <c r="X68" s="731"/>
      <c r="Y68" s="731"/>
      <c r="Z68" s="731"/>
      <c r="AA68" s="731"/>
      <c r="AB68" s="731"/>
      <c r="AC68" s="731"/>
      <c r="AD68" s="468"/>
      <c r="AE68" s="731"/>
      <c r="AF68" s="731"/>
      <c r="AG68" s="731"/>
      <c r="AH68" s="731"/>
      <c r="AI68" s="731"/>
      <c r="AJ68" s="731"/>
      <c r="AK68" s="731"/>
      <c r="AL68" s="731"/>
      <c r="AM68" s="731"/>
      <c r="AN68" s="731"/>
      <c r="AO68" s="731"/>
      <c r="AP68" s="731"/>
      <c r="AQ68" s="731"/>
      <c r="AR68" s="731"/>
      <c r="AS68" s="731"/>
      <c r="AT68" s="731"/>
      <c r="AU68" s="731"/>
      <c r="AV68" s="731"/>
      <c r="AW68" s="64"/>
      <c r="AX68" s="64"/>
      <c r="AY68" s="64"/>
      <c r="AZ68" s="64"/>
      <c r="BA68" s="64"/>
      <c r="BB68" s="64"/>
      <c r="BC68" s="64"/>
      <c r="BD68" s="64"/>
      <c r="BE68" s="64"/>
      <c r="BF68" s="64"/>
      <c r="BG68" s="64"/>
      <c r="BH68" s="64"/>
      <c r="BI68" s="64"/>
      <c r="BJ68" s="64"/>
      <c r="BK68" s="64"/>
      <c r="BL68" s="64"/>
      <c r="BM68" s="64"/>
      <c r="BN68" s="64"/>
      <c r="BO68" s="64"/>
      <c r="BP68" s="64"/>
      <c r="BQ68" s="64"/>
      <c r="BR68" s="64"/>
      <c r="BS68" s="64"/>
      <c r="BT68" s="64"/>
      <c r="BU68" s="64"/>
      <c r="BV68" s="64"/>
      <c r="BW68" s="64"/>
      <c r="BX68" s="64"/>
      <c r="BY68" s="64"/>
      <c r="BZ68" s="64"/>
      <c r="CA68" s="64"/>
      <c r="CB68" s="64"/>
      <c r="CC68" s="64"/>
      <c r="CD68" s="64"/>
      <c r="CE68" s="64"/>
      <c r="CF68" s="73"/>
      <c r="CG68" s="64"/>
      <c r="CH68" s="64"/>
      <c r="CI68" s="64"/>
      <c r="CJ68" s="64"/>
      <c r="CK68" s="64"/>
      <c r="CL68" s="64"/>
      <c r="CM68" s="64"/>
      <c r="CN68" s="64"/>
      <c r="CO68" s="64"/>
      <c r="CP68" s="64"/>
      <c r="CQ68" s="64"/>
      <c r="CR68" s="64"/>
      <c r="CS68" s="64"/>
      <c r="CT68" s="64"/>
      <c r="CU68" s="64"/>
    </row>
    <row r="69">
      <c r="A69" s="64"/>
      <c r="B69" s="64"/>
      <c r="C69" s="64"/>
      <c r="D69" s="64"/>
      <c r="E69" s="64"/>
      <c r="F69" s="64"/>
      <c r="G69" s="64"/>
      <c r="H69" s="64"/>
      <c r="I69" s="64"/>
      <c r="J69" s="64"/>
      <c r="K69" s="64"/>
      <c r="L69" s="64"/>
      <c r="M69" s="64"/>
      <c r="N69" s="64"/>
      <c r="O69" s="64"/>
      <c r="P69" s="64"/>
      <c r="Q69" s="64"/>
      <c r="R69" s="64"/>
      <c r="S69" s="64"/>
      <c r="T69" s="64"/>
      <c r="U69" s="731"/>
      <c r="V69" s="731"/>
      <c r="W69" s="731"/>
      <c r="X69" s="731"/>
      <c r="Y69" s="731"/>
      <c r="Z69" s="731"/>
      <c r="AA69" s="731"/>
      <c r="AB69" s="731"/>
      <c r="AC69" s="731"/>
      <c r="AD69" s="468"/>
      <c r="AE69" s="731"/>
      <c r="AF69" s="731"/>
      <c r="AG69" s="731"/>
      <c r="AH69" s="731"/>
      <c r="AI69" s="731"/>
      <c r="AJ69" s="731"/>
      <c r="AK69" s="731"/>
      <c r="AL69" s="731"/>
      <c r="AM69" s="731"/>
      <c r="AN69" s="731"/>
      <c r="AO69" s="731"/>
      <c r="AP69" s="731"/>
      <c r="AQ69" s="731"/>
      <c r="AR69" s="731"/>
      <c r="AS69" s="731"/>
      <c r="AT69" s="731"/>
      <c r="AU69" s="731"/>
      <c r="AV69" s="731"/>
      <c r="AW69" s="64"/>
      <c r="AX69" s="64"/>
      <c r="AY69" s="64"/>
      <c r="AZ69" s="64"/>
      <c r="BA69" s="64"/>
      <c r="BB69" s="64"/>
      <c r="BC69" s="64"/>
      <c r="BD69" s="64"/>
      <c r="BE69" s="64"/>
      <c r="BF69" s="64"/>
      <c r="BG69" s="64"/>
      <c r="BH69" s="64"/>
      <c r="BI69" s="64"/>
      <c r="BJ69" s="64"/>
      <c r="BK69" s="64"/>
      <c r="BL69" s="64"/>
      <c r="BM69" s="64"/>
      <c r="BN69" s="64"/>
      <c r="BO69" s="64"/>
      <c r="BP69" s="64"/>
      <c r="BQ69" s="64"/>
      <c r="BR69" s="64"/>
      <c r="BS69" s="64"/>
      <c r="BT69" s="64"/>
      <c r="BU69" s="64"/>
      <c r="BV69" s="64"/>
      <c r="BW69" s="64"/>
      <c r="BX69" s="64"/>
      <c r="BY69" s="64"/>
      <c r="BZ69" s="64"/>
      <c r="CA69" s="64"/>
      <c r="CB69" s="64"/>
      <c r="CC69" s="64"/>
      <c r="CD69" s="64"/>
      <c r="CE69" s="64"/>
      <c r="CF69" s="64"/>
      <c r="CG69" s="64"/>
      <c r="CH69" s="64"/>
      <c r="CI69" s="64"/>
      <c r="CJ69" s="64"/>
      <c r="CK69" s="64"/>
      <c r="CL69" s="64"/>
      <c r="CM69" s="64"/>
      <c r="CN69" s="64"/>
      <c r="CO69" s="64"/>
      <c r="CP69" s="64"/>
      <c r="CQ69" s="64"/>
      <c r="CR69" s="64"/>
      <c r="CS69" s="64"/>
      <c r="CT69" s="64"/>
      <c r="CU69" s="64"/>
    </row>
    <row r="70">
      <c r="A70" s="64"/>
      <c r="B70" s="64"/>
      <c r="C70" s="64"/>
      <c r="D70" s="64"/>
      <c r="E70" s="64"/>
      <c r="F70" s="64"/>
      <c r="G70" s="64"/>
      <c r="H70" s="64"/>
      <c r="I70" s="64"/>
      <c r="J70" s="64"/>
      <c r="K70" s="64"/>
      <c r="L70" s="64"/>
      <c r="M70" s="64"/>
      <c r="N70" s="64"/>
      <c r="O70" s="64"/>
      <c r="P70" s="64"/>
      <c r="Q70" s="64"/>
      <c r="R70" s="64"/>
      <c r="S70" s="64"/>
      <c r="T70" s="64"/>
      <c r="U70" s="731"/>
      <c r="V70" s="731"/>
      <c r="W70" s="731"/>
      <c r="X70" s="731"/>
      <c r="Y70" s="731"/>
      <c r="Z70" s="731"/>
      <c r="AA70" s="731"/>
      <c r="AB70" s="731"/>
      <c r="AC70" s="731"/>
      <c r="AD70" s="468"/>
      <c r="AE70" s="731"/>
      <c r="AF70" s="731"/>
      <c r="AG70" s="731"/>
      <c r="AH70" s="731"/>
      <c r="AI70" s="731"/>
      <c r="AJ70" s="731"/>
      <c r="AK70" s="731"/>
      <c r="AL70" s="731"/>
      <c r="AM70" s="731"/>
      <c r="AN70" s="731"/>
      <c r="AO70" s="731"/>
      <c r="AP70" s="731"/>
      <c r="AQ70" s="731"/>
      <c r="AR70" s="731"/>
      <c r="AS70" s="731"/>
      <c r="AT70" s="731"/>
      <c r="AU70" s="731"/>
      <c r="AV70" s="731"/>
      <c r="AW70" s="64"/>
      <c r="AX70" s="64"/>
      <c r="AY70" s="64"/>
      <c r="AZ70" s="64"/>
      <c r="BA70" s="64"/>
      <c r="BB70" s="64"/>
      <c r="BC70" s="64"/>
      <c r="BD70" s="64"/>
      <c r="BE70" s="64"/>
      <c r="BF70" s="64"/>
      <c r="BG70" s="64"/>
      <c r="BH70" s="64"/>
      <c r="BI70" s="64"/>
      <c r="BJ70" s="64"/>
      <c r="BK70" s="64"/>
      <c r="BL70" s="64"/>
      <c r="BM70" s="64"/>
      <c r="BN70" s="64"/>
      <c r="BO70" s="64"/>
      <c r="BP70" s="64"/>
      <c r="BQ70" s="64"/>
      <c r="BR70" s="64"/>
      <c r="BS70" s="64"/>
      <c r="BT70" s="64"/>
      <c r="BU70" s="64"/>
      <c r="BV70" s="64"/>
      <c r="BW70" s="64"/>
      <c r="BX70" s="64"/>
      <c r="BY70" s="64"/>
      <c r="BZ70" s="64"/>
      <c r="CA70" s="64"/>
      <c r="CB70" s="64"/>
      <c r="CC70" s="64"/>
      <c r="CD70" s="64"/>
      <c r="CE70" s="64"/>
      <c r="CF70" s="64"/>
      <c r="CG70" s="64"/>
      <c r="CH70" s="64"/>
      <c r="CI70" s="64"/>
      <c r="CJ70" s="64"/>
      <c r="CK70" s="64"/>
      <c r="CL70" s="64"/>
      <c r="CM70" s="64"/>
      <c r="CN70" s="64"/>
      <c r="CO70" s="64"/>
      <c r="CP70" s="64"/>
      <c r="CQ70" s="64"/>
      <c r="CR70" s="64"/>
      <c r="CS70" s="64"/>
      <c r="CT70" s="64"/>
      <c r="CU70" s="64"/>
    </row>
    <row r="71">
      <c r="A71" s="64"/>
      <c r="B71" s="64"/>
      <c r="C71" s="64"/>
      <c r="D71" s="64"/>
      <c r="E71" s="64"/>
      <c r="F71" s="64"/>
      <c r="G71" s="64"/>
      <c r="H71" s="64"/>
      <c r="I71" s="64"/>
      <c r="J71" s="64"/>
      <c r="K71" s="64"/>
      <c r="L71" s="64"/>
      <c r="M71" s="64"/>
      <c r="N71" s="64"/>
      <c r="O71" s="64"/>
      <c r="P71" s="64"/>
      <c r="Q71" s="64"/>
      <c r="R71" s="64"/>
      <c r="S71" s="64"/>
      <c r="T71" s="64"/>
      <c r="U71" s="731"/>
      <c r="V71" s="731"/>
      <c r="W71" s="731"/>
      <c r="X71" s="731"/>
      <c r="Y71" s="731"/>
      <c r="Z71" s="731"/>
      <c r="AA71" s="731"/>
      <c r="AB71" s="731"/>
      <c r="AC71" s="731"/>
      <c r="AD71" s="468"/>
      <c r="AE71" s="731"/>
      <c r="AF71" s="731"/>
      <c r="AG71" s="731"/>
      <c r="AH71" s="731"/>
      <c r="AI71" s="731"/>
      <c r="AJ71" s="731"/>
      <c r="AK71" s="731"/>
      <c r="AL71" s="731"/>
      <c r="AM71" s="731"/>
      <c r="AN71" s="731"/>
      <c r="AO71" s="731"/>
      <c r="AP71" s="731"/>
      <c r="AQ71" s="731"/>
      <c r="AR71" s="731"/>
      <c r="AS71" s="731"/>
      <c r="AT71" s="731"/>
      <c r="AU71" s="731"/>
      <c r="AV71" s="731"/>
      <c r="AW71" s="64"/>
      <c r="AX71" s="64"/>
      <c r="AY71" s="64"/>
      <c r="AZ71" s="64"/>
      <c r="BA71" s="64"/>
      <c r="BB71" s="64"/>
      <c r="BC71" s="64"/>
      <c r="BD71" s="64"/>
      <c r="BE71" s="64"/>
      <c r="BF71" s="64"/>
      <c r="BG71" s="64"/>
      <c r="BH71" s="64"/>
      <c r="BI71" s="64"/>
      <c r="BJ71" s="64"/>
      <c r="BK71" s="64"/>
      <c r="BL71" s="64"/>
      <c r="BM71" s="64"/>
      <c r="BN71" s="64"/>
      <c r="BO71" s="64"/>
      <c r="BP71" s="64"/>
      <c r="BQ71" s="64"/>
      <c r="BR71" s="64"/>
      <c r="BS71" s="64"/>
      <c r="BT71" s="64"/>
      <c r="BU71" s="64"/>
      <c r="BV71" s="64"/>
      <c r="BW71" s="64"/>
      <c r="BX71" s="64"/>
      <c r="BY71" s="64"/>
      <c r="BZ71" s="64"/>
      <c r="CA71" s="64"/>
      <c r="CB71" s="64"/>
      <c r="CC71" s="64"/>
      <c r="CD71" s="64"/>
      <c r="CE71" s="64"/>
      <c r="CF71" s="64"/>
      <c r="CG71" s="64"/>
      <c r="CH71" s="64"/>
      <c r="CI71" s="64"/>
      <c r="CJ71" s="64"/>
      <c r="CK71" s="64"/>
      <c r="CL71" s="64"/>
      <c r="CM71" s="64"/>
      <c r="CN71" s="64"/>
      <c r="CO71" s="64"/>
      <c r="CP71" s="64"/>
      <c r="CQ71" s="64"/>
      <c r="CR71" s="64"/>
      <c r="CS71" s="64"/>
      <c r="CT71" s="64"/>
      <c r="CU71" s="64"/>
    </row>
    <row r="72">
      <c r="A72" s="64"/>
      <c r="B72" s="64"/>
      <c r="C72" s="64"/>
      <c r="D72" s="64"/>
      <c r="E72" s="64"/>
      <c r="F72" s="64"/>
      <c r="G72" s="64"/>
      <c r="H72" s="64"/>
      <c r="I72" s="64"/>
      <c r="J72" s="64"/>
      <c r="K72" s="64"/>
      <c r="L72" s="64"/>
      <c r="M72" s="64"/>
      <c r="N72" s="64"/>
      <c r="O72" s="64"/>
      <c r="P72" s="64"/>
      <c r="Q72" s="64"/>
      <c r="R72" s="64"/>
      <c r="S72" s="64"/>
      <c r="T72" s="64"/>
      <c r="U72" s="731"/>
      <c r="V72" s="731"/>
      <c r="W72" s="731"/>
      <c r="X72" s="731"/>
      <c r="Y72" s="731"/>
      <c r="Z72" s="731"/>
      <c r="AA72" s="731"/>
      <c r="AB72" s="731"/>
      <c r="AC72" s="731"/>
      <c r="AD72" s="468"/>
      <c r="AE72" s="731"/>
      <c r="AF72" s="731"/>
      <c r="AG72" s="731"/>
      <c r="AH72" s="731"/>
      <c r="AI72" s="731"/>
      <c r="AJ72" s="731"/>
      <c r="AK72" s="731"/>
      <c r="AL72" s="731"/>
      <c r="AM72" s="731"/>
      <c r="AN72" s="731"/>
      <c r="AO72" s="731"/>
      <c r="AP72" s="731"/>
      <c r="AQ72" s="731"/>
      <c r="AR72" s="731"/>
      <c r="AS72" s="731"/>
      <c r="AT72" s="731"/>
      <c r="AU72" s="731"/>
      <c r="AV72" s="731"/>
      <c r="AW72" s="64"/>
      <c r="AX72" s="64"/>
      <c r="AY72" s="64"/>
      <c r="AZ72" s="64"/>
      <c r="BA72" s="64"/>
      <c r="BB72" s="64"/>
      <c r="BC72" s="64"/>
      <c r="BD72" s="64"/>
      <c r="BE72" s="64"/>
      <c r="BF72" s="64"/>
      <c r="BG72" s="64"/>
      <c r="BH72" s="64"/>
      <c r="BI72" s="64"/>
      <c r="BJ72" s="64"/>
      <c r="BK72" s="64"/>
      <c r="BL72" s="64"/>
      <c r="BM72" s="64"/>
      <c r="BN72" s="64"/>
      <c r="BO72" s="64"/>
      <c r="BP72" s="64"/>
      <c r="BQ72" s="64"/>
      <c r="BR72" s="64"/>
      <c r="BS72" s="64"/>
      <c r="BT72" s="64"/>
      <c r="BU72" s="64"/>
      <c r="BV72" s="64"/>
      <c r="BW72" s="64"/>
      <c r="BX72" s="64"/>
      <c r="BY72" s="64"/>
      <c r="BZ72" s="64"/>
      <c r="CA72" s="64"/>
      <c r="CB72" s="64"/>
      <c r="CC72" s="64"/>
      <c r="CD72" s="64"/>
      <c r="CE72" s="64"/>
      <c r="CF72" s="64"/>
      <c r="CG72" s="64"/>
      <c r="CH72" s="64"/>
      <c r="CI72" s="64"/>
      <c r="CJ72" s="64"/>
      <c r="CK72" s="64"/>
      <c r="CL72" s="64"/>
      <c r="CM72" s="64"/>
      <c r="CN72" s="64"/>
      <c r="CO72" s="64"/>
      <c r="CP72" s="64"/>
      <c r="CQ72" s="64"/>
      <c r="CR72" s="64"/>
      <c r="CS72" s="64"/>
      <c r="CT72" s="64"/>
      <c r="CU72" s="64"/>
    </row>
    <row r="73">
      <c r="A73" s="64"/>
      <c r="B73" s="64"/>
      <c r="C73" s="64"/>
      <c r="D73" s="64"/>
      <c r="E73" s="64"/>
      <c r="F73" s="64"/>
      <c r="G73" s="64"/>
      <c r="H73" s="64"/>
      <c r="I73" s="64"/>
      <c r="J73" s="64"/>
      <c r="K73" s="64"/>
      <c r="L73" s="64"/>
      <c r="M73" s="64"/>
      <c r="N73" s="64"/>
      <c r="O73" s="64"/>
      <c r="P73" s="64"/>
      <c r="Q73" s="64"/>
      <c r="R73" s="64"/>
      <c r="S73" s="64"/>
      <c r="T73" s="64"/>
      <c r="U73" s="731"/>
      <c r="V73" s="731"/>
      <c r="W73" s="731"/>
      <c r="X73" s="731"/>
      <c r="Y73" s="731"/>
      <c r="Z73" s="731"/>
      <c r="AA73" s="731"/>
      <c r="AB73" s="731"/>
      <c r="AC73" s="731"/>
      <c r="AD73" s="468"/>
      <c r="AE73" s="731"/>
      <c r="AF73" s="731"/>
      <c r="AG73" s="731"/>
      <c r="AH73" s="731"/>
      <c r="AI73" s="731"/>
      <c r="AJ73" s="731"/>
      <c r="AK73" s="731"/>
      <c r="AL73" s="731"/>
      <c r="AM73" s="731"/>
      <c r="AN73" s="731"/>
      <c r="AO73" s="731"/>
      <c r="AP73" s="731"/>
      <c r="AQ73" s="731"/>
      <c r="AR73" s="731"/>
      <c r="AS73" s="731"/>
      <c r="AT73" s="731"/>
      <c r="AU73" s="731"/>
      <c r="AV73" s="731"/>
      <c r="AW73" s="64"/>
      <c r="AX73" s="64"/>
      <c r="AY73" s="64"/>
      <c r="AZ73" s="64"/>
      <c r="BA73" s="64"/>
      <c r="BB73" s="64"/>
      <c r="BC73" s="64"/>
      <c r="BD73" s="64"/>
      <c r="BE73" s="64"/>
      <c r="BF73" s="64"/>
      <c r="BG73" s="64"/>
      <c r="BH73" s="64"/>
      <c r="BI73" s="64"/>
      <c r="BJ73" s="64"/>
      <c r="BK73" s="64"/>
      <c r="BL73" s="64"/>
      <c r="BM73" s="64"/>
      <c r="BN73" s="64"/>
      <c r="BO73" s="64"/>
      <c r="BP73" s="64"/>
      <c r="BQ73" s="64"/>
      <c r="BR73" s="64"/>
      <c r="BS73" s="64"/>
      <c r="BT73" s="64"/>
      <c r="BU73" s="64"/>
      <c r="BV73" s="64"/>
      <c r="BW73" s="64"/>
      <c r="BX73" s="64"/>
      <c r="BY73" s="64"/>
      <c r="BZ73" s="64"/>
      <c r="CA73" s="64"/>
      <c r="CB73" s="64"/>
      <c r="CC73" s="64"/>
      <c r="CD73" s="64"/>
      <c r="CE73" s="64"/>
      <c r="CF73" s="64"/>
      <c r="CG73" s="64"/>
      <c r="CH73" s="64"/>
      <c r="CI73" s="64"/>
      <c r="CJ73" s="64"/>
      <c r="CK73" s="64"/>
      <c r="CL73" s="64"/>
      <c r="CM73" s="64"/>
      <c r="CN73" s="64"/>
      <c r="CO73" s="64"/>
      <c r="CP73" s="64"/>
      <c r="CQ73" s="64"/>
      <c r="CR73" s="64"/>
      <c r="CS73" s="64"/>
      <c r="CT73" s="64"/>
      <c r="CU73" s="64"/>
    </row>
    <row r="74">
      <c r="A74" s="64"/>
      <c r="B74" s="64"/>
      <c r="C74" s="64"/>
      <c r="D74" s="64"/>
      <c r="E74" s="64"/>
      <c r="F74" s="64"/>
      <c r="G74" s="64"/>
      <c r="H74" s="64"/>
      <c r="I74" s="64"/>
      <c r="J74" s="64"/>
      <c r="K74" s="64"/>
      <c r="L74" s="64"/>
      <c r="M74" s="64"/>
      <c r="N74" s="64"/>
      <c r="O74" s="64"/>
      <c r="P74" s="64"/>
      <c r="Q74" s="64"/>
      <c r="R74" s="64"/>
      <c r="S74" s="64"/>
      <c r="T74" s="64"/>
      <c r="U74" s="64"/>
      <c r="V74" s="64"/>
      <c r="W74" s="64"/>
      <c r="X74" s="64"/>
      <c r="Y74" s="64"/>
      <c r="Z74" s="64"/>
      <c r="AA74" s="64"/>
      <c r="AB74" s="64"/>
      <c r="AC74" s="64"/>
      <c r="AD74" s="468"/>
      <c r="AE74" s="64"/>
      <c r="AF74" s="64"/>
      <c r="AG74" s="64"/>
      <c r="AH74" s="64"/>
      <c r="AI74" s="64"/>
      <c r="AJ74" s="64"/>
      <c r="AK74" s="64"/>
      <c r="AL74" s="64"/>
      <c r="AM74" s="64"/>
      <c r="AN74" s="64"/>
      <c r="AO74" s="64"/>
      <c r="AP74" s="64"/>
      <c r="AQ74" s="64"/>
      <c r="AR74" s="64"/>
      <c r="AS74" s="64"/>
      <c r="AT74" s="64"/>
      <c r="AU74" s="64"/>
      <c r="AV74" s="64"/>
      <c r="AW74" s="64"/>
      <c r="AX74" s="64"/>
      <c r="AY74" s="64"/>
      <c r="AZ74" s="64"/>
      <c r="BA74" s="64"/>
      <c r="BB74" s="64"/>
      <c r="BC74" s="64"/>
      <c r="BD74" s="64"/>
      <c r="BE74" s="64"/>
      <c r="BF74" s="64"/>
      <c r="BG74" s="64"/>
      <c r="BH74" s="64"/>
      <c r="BI74" s="64"/>
      <c r="BJ74" s="64"/>
      <c r="BK74" s="64"/>
      <c r="BL74" s="64"/>
      <c r="BM74" s="64"/>
      <c r="BN74" s="64"/>
      <c r="BO74" s="64"/>
      <c r="BP74" s="64"/>
      <c r="BQ74" s="64"/>
      <c r="BR74" s="64"/>
      <c r="BS74" s="64"/>
      <c r="BT74" s="64"/>
      <c r="BU74" s="64"/>
      <c r="BV74" s="64"/>
      <c r="BW74" s="64"/>
      <c r="BX74" s="64"/>
      <c r="BY74" s="64"/>
      <c r="BZ74" s="64"/>
      <c r="CA74" s="64"/>
      <c r="CB74" s="64"/>
      <c r="CC74" s="64"/>
      <c r="CD74" s="64"/>
      <c r="CE74" s="64"/>
      <c r="CF74" s="64"/>
      <c r="CG74" s="64"/>
      <c r="CH74" s="64"/>
      <c r="CI74" s="64"/>
      <c r="CJ74" s="64"/>
      <c r="CK74" s="64"/>
      <c r="CL74" s="64"/>
      <c r="CM74" s="64"/>
      <c r="CN74" s="64"/>
      <c r="CO74" s="64"/>
      <c r="CP74" s="64"/>
      <c r="CQ74" s="64"/>
      <c r="CR74" s="64"/>
      <c r="CS74" s="64"/>
      <c r="CT74" s="64"/>
      <c r="CU74" s="64"/>
    </row>
  </sheetData>
  <mergeCells count="913">
    <mergeCell ref="AR13:BE13"/>
    <mergeCell ref="AR14:BE14"/>
    <mergeCell ref="AR15:BE15"/>
    <mergeCell ref="BJ15:BK15"/>
    <mergeCell ref="BL15:BM15"/>
    <mergeCell ref="BN15:BO15"/>
    <mergeCell ref="BN16:BO16"/>
    <mergeCell ref="AR16:BE16"/>
    <mergeCell ref="AR17:BE17"/>
    <mergeCell ref="AR18:BE18"/>
    <mergeCell ref="BJ18:BK18"/>
    <mergeCell ref="BL18:BM18"/>
    <mergeCell ref="BN18:BO18"/>
    <mergeCell ref="AR19:BE19"/>
    <mergeCell ref="BN19:BO19"/>
    <mergeCell ref="BG12:BH12"/>
    <mergeCell ref="BG13:BH13"/>
    <mergeCell ref="BG14:BH14"/>
    <mergeCell ref="BJ14:BK14"/>
    <mergeCell ref="BL14:BM14"/>
    <mergeCell ref="BN14:BO14"/>
    <mergeCell ref="BJ13:BK13"/>
    <mergeCell ref="BL13:BM13"/>
    <mergeCell ref="BP13:BW13"/>
    <mergeCell ref="BP14:BW14"/>
    <mergeCell ref="BP15:BW15"/>
    <mergeCell ref="BL11:BM11"/>
    <mergeCell ref="BN11:BO11"/>
    <mergeCell ref="AR12:BE12"/>
    <mergeCell ref="BJ12:BK12"/>
    <mergeCell ref="BL12:BM12"/>
    <mergeCell ref="BN12:BO12"/>
    <mergeCell ref="BN13:BO13"/>
    <mergeCell ref="BG15:BH15"/>
    <mergeCell ref="BG16:BH16"/>
    <mergeCell ref="BG17:BH17"/>
    <mergeCell ref="BJ17:BK17"/>
    <mergeCell ref="BL17:BM17"/>
    <mergeCell ref="BN17:BO17"/>
    <mergeCell ref="BJ16:BK16"/>
    <mergeCell ref="BL16:BM16"/>
    <mergeCell ref="BP16:BW16"/>
    <mergeCell ref="BP17:BW17"/>
    <mergeCell ref="BP18:BW18"/>
    <mergeCell ref="BG18:BH18"/>
    <mergeCell ref="BG19:BH19"/>
    <mergeCell ref="BJ19:BK19"/>
    <mergeCell ref="BL19:BM19"/>
    <mergeCell ref="BP19:BW19"/>
    <mergeCell ref="BL27:BM27"/>
    <mergeCell ref="BN27:BO27"/>
    <mergeCell ref="Q27:AD27"/>
    <mergeCell ref="AE27:AF27"/>
    <mergeCell ref="AH27:AI27"/>
    <mergeCell ref="AJ27:AQ27"/>
    <mergeCell ref="AR27:BE27"/>
    <mergeCell ref="BG27:BH27"/>
    <mergeCell ref="BJ27:BK27"/>
    <mergeCell ref="BL28:BM28"/>
    <mergeCell ref="BN28:BO28"/>
    <mergeCell ref="BP28:BW28"/>
    <mergeCell ref="Q28:AD28"/>
    <mergeCell ref="AE28:AF28"/>
    <mergeCell ref="AH28:AI28"/>
    <mergeCell ref="AJ28:AQ28"/>
    <mergeCell ref="AR28:BE28"/>
    <mergeCell ref="BG28:BH28"/>
    <mergeCell ref="BJ28:BK28"/>
    <mergeCell ref="BL29:BM29"/>
    <mergeCell ref="BN29:BO29"/>
    <mergeCell ref="BP29:BW29"/>
    <mergeCell ref="BJ30:BK30"/>
    <mergeCell ref="BL30:BM30"/>
    <mergeCell ref="BN30:BO30"/>
    <mergeCell ref="BP30:BW30"/>
    <mergeCell ref="BP31:BW31"/>
    <mergeCell ref="Q29:AD29"/>
    <mergeCell ref="AE29:AF29"/>
    <mergeCell ref="AH29:AI29"/>
    <mergeCell ref="AJ29:AQ29"/>
    <mergeCell ref="AR29:BE29"/>
    <mergeCell ref="BG29:BH29"/>
    <mergeCell ref="BJ29:BK29"/>
    <mergeCell ref="BJ32:BK32"/>
    <mergeCell ref="BL32:BM32"/>
    <mergeCell ref="BP32:BW32"/>
    <mergeCell ref="Q30:AD30"/>
    <mergeCell ref="AE30:AF30"/>
    <mergeCell ref="AE31:AF31"/>
    <mergeCell ref="AH31:BH31"/>
    <mergeCell ref="BJ31:BK31"/>
    <mergeCell ref="BL31:BM31"/>
    <mergeCell ref="BN31:BO31"/>
    <mergeCell ref="Q31:AD31"/>
    <mergeCell ref="AE32:AF32"/>
    <mergeCell ref="AH32:AI32"/>
    <mergeCell ref="AJ32:AQ32"/>
    <mergeCell ref="AR32:BE32"/>
    <mergeCell ref="BG32:BH32"/>
    <mergeCell ref="BN32:BO32"/>
    <mergeCell ref="BJ33:BK33"/>
    <mergeCell ref="BL33:BM33"/>
    <mergeCell ref="BN33:BO33"/>
    <mergeCell ref="BP33:BW33"/>
    <mergeCell ref="Q32:AD32"/>
    <mergeCell ref="Q33:AD33"/>
    <mergeCell ref="AE33:AF33"/>
    <mergeCell ref="AH33:AI33"/>
    <mergeCell ref="AJ33:AQ33"/>
    <mergeCell ref="AR33:BE33"/>
    <mergeCell ref="BG33:BH33"/>
    <mergeCell ref="BL34:BM34"/>
    <mergeCell ref="BN34:BO34"/>
    <mergeCell ref="BP34:BW34"/>
    <mergeCell ref="Q34:AD34"/>
    <mergeCell ref="AE34:AF34"/>
    <mergeCell ref="AH34:AI34"/>
    <mergeCell ref="AJ34:AQ34"/>
    <mergeCell ref="AR34:BE34"/>
    <mergeCell ref="BG34:BH34"/>
    <mergeCell ref="BJ34:BK34"/>
    <mergeCell ref="BL39:BM39"/>
    <mergeCell ref="BN39:BO39"/>
    <mergeCell ref="BP39:BW39"/>
    <mergeCell ref="Q39:AD39"/>
    <mergeCell ref="AE39:AF39"/>
    <mergeCell ref="AH39:AI39"/>
    <mergeCell ref="AJ39:AQ39"/>
    <mergeCell ref="AR39:BE39"/>
    <mergeCell ref="BG39:BH39"/>
    <mergeCell ref="BJ39:BK39"/>
    <mergeCell ref="B36:C36"/>
    <mergeCell ref="B37:C37"/>
    <mergeCell ref="B38:C38"/>
    <mergeCell ref="B39:C39"/>
    <mergeCell ref="B40:C40"/>
    <mergeCell ref="B41:C41"/>
    <mergeCell ref="B42:C42"/>
    <mergeCell ref="B43:C43"/>
    <mergeCell ref="B44:C44"/>
    <mergeCell ref="B45:C45"/>
    <mergeCell ref="B46:C46"/>
    <mergeCell ref="B47:C47"/>
    <mergeCell ref="B48:C48"/>
    <mergeCell ref="B49:C49"/>
    <mergeCell ref="B57:C57"/>
    <mergeCell ref="B58:C58"/>
    <mergeCell ref="B59:C59"/>
    <mergeCell ref="B60:C60"/>
    <mergeCell ref="B61:C61"/>
    <mergeCell ref="B62:C62"/>
    <mergeCell ref="B63:C63"/>
    <mergeCell ref="B50:C50"/>
    <mergeCell ref="B51:C51"/>
    <mergeCell ref="B52:C52"/>
    <mergeCell ref="B53:C53"/>
    <mergeCell ref="B54:C54"/>
    <mergeCell ref="B55:C55"/>
    <mergeCell ref="B56:C56"/>
    <mergeCell ref="E44:M44"/>
    <mergeCell ref="N44:O44"/>
    <mergeCell ref="E45:M45"/>
    <mergeCell ref="N45:O45"/>
    <mergeCell ref="E46:M46"/>
    <mergeCell ref="N46:O46"/>
    <mergeCell ref="N47:O47"/>
    <mergeCell ref="E47:M47"/>
    <mergeCell ref="E48:M48"/>
    <mergeCell ref="N48:O48"/>
    <mergeCell ref="E49:M49"/>
    <mergeCell ref="N49:O49"/>
    <mergeCell ref="E50:M50"/>
    <mergeCell ref="N50:O50"/>
    <mergeCell ref="E51:M51"/>
    <mergeCell ref="N51:O51"/>
    <mergeCell ref="E52:M52"/>
    <mergeCell ref="N52:O52"/>
    <mergeCell ref="E53:M53"/>
    <mergeCell ref="N53:O53"/>
    <mergeCell ref="N54:O54"/>
    <mergeCell ref="E54:M54"/>
    <mergeCell ref="E55:M55"/>
    <mergeCell ref="N55:O55"/>
    <mergeCell ref="E56:M56"/>
    <mergeCell ref="N56:O56"/>
    <mergeCell ref="E57:M57"/>
    <mergeCell ref="N57:O57"/>
    <mergeCell ref="E61:M61"/>
    <mergeCell ref="E62:M62"/>
    <mergeCell ref="N62:O62"/>
    <mergeCell ref="E63:M63"/>
    <mergeCell ref="N63:O63"/>
    <mergeCell ref="E58:M58"/>
    <mergeCell ref="N58:O58"/>
    <mergeCell ref="E59:M59"/>
    <mergeCell ref="N59:O59"/>
    <mergeCell ref="E60:M60"/>
    <mergeCell ref="N60:O60"/>
    <mergeCell ref="N61:O61"/>
    <mergeCell ref="E23:M23"/>
    <mergeCell ref="E24:M24"/>
    <mergeCell ref="B25:C25"/>
    <mergeCell ref="E25:M25"/>
    <mergeCell ref="N25:O25"/>
    <mergeCell ref="E26:M26"/>
    <mergeCell ref="N26:O26"/>
    <mergeCell ref="E27:M27"/>
    <mergeCell ref="N27:O27"/>
    <mergeCell ref="B28:C28"/>
    <mergeCell ref="E28:M28"/>
    <mergeCell ref="N28:O28"/>
    <mergeCell ref="E29:M29"/>
    <mergeCell ref="N29:O29"/>
    <mergeCell ref="E30:M30"/>
    <mergeCell ref="N30:O30"/>
    <mergeCell ref="E31:M31"/>
    <mergeCell ref="N31:O31"/>
    <mergeCell ref="E32:M32"/>
    <mergeCell ref="N32:O32"/>
    <mergeCell ref="N33:O33"/>
    <mergeCell ref="B29:C29"/>
    <mergeCell ref="B30:C30"/>
    <mergeCell ref="B31:C31"/>
    <mergeCell ref="B32:C32"/>
    <mergeCell ref="B33:C33"/>
    <mergeCell ref="B34:C34"/>
    <mergeCell ref="B35:C35"/>
    <mergeCell ref="E33:M33"/>
    <mergeCell ref="E34:M34"/>
    <mergeCell ref="N34:O34"/>
    <mergeCell ref="E35:M35"/>
    <mergeCell ref="N35:O35"/>
    <mergeCell ref="E36:M36"/>
    <mergeCell ref="N36:O36"/>
    <mergeCell ref="E37:M37"/>
    <mergeCell ref="N37:O37"/>
    <mergeCell ref="E38:M38"/>
    <mergeCell ref="N38:O38"/>
    <mergeCell ref="E39:M39"/>
    <mergeCell ref="N39:O39"/>
    <mergeCell ref="N40:O40"/>
    <mergeCell ref="E40:M40"/>
    <mergeCell ref="E41:M41"/>
    <mergeCell ref="N41:O41"/>
    <mergeCell ref="E42:M42"/>
    <mergeCell ref="N42:O42"/>
    <mergeCell ref="E43:M43"/>
    <mergeCell ref="N43:O43"/>
    <mergeCell ref="B16:C16"/>
    <mergeCell ref="B17:C17"/>
    <mergeCell ref="B18:C18"/>
    <mergeCell ref="N18:O18"/>
    <mergeCell ref="T18:AD18"/>
    <mergeCell ref="B19:C19"/>
    <mergeCell ref="N19:O19"/>
    <mergeCell ref="BJ20:BK20"/>
    <mergeCell ref="BL20:BM20"/>
    <mergeCell ref="BN20:BO20"/>
    <mergeCell ref="T19:AD19"/>
    <mergeCell ref="T20:AD20"/>
    <mergeCell ref="AE20:AF20"/>
    <mergeCell ref="AH20:AI20"/>
    <mergeCell ref="AJ20:AQ20"/>
    <mergeCell ref="AR20:BE20"/>
    <mergeCell ref="BG20:BH20"/>
    <mergeCell ref="BG21:BH21"/>
    <mergeCell ref="BJ21:BK21"/>
    <mergeCell ref="BL21:BM21"/>
    <mergeCell ref="BN21:BO21"/>
    <mergeCell ref="BJ22:BK22"/>
    <mergeCell ref="BL22:BM22"/>
    <mergeCell ref="BN22:BO22"/>
    <mergeCell ref="E21:M21"/>
    <mergeCell ref="N21:O21"/>
    <mergeCell ref="T21:AD21"/>
    <mergeCell ref="AE21:AF21"/>
    <mergeCell ref="AH21:AI21"/>
    <mergeCell ref="AJ21:AQ21"/>
    <mergeCell ref="AR21:BE21"/>
    <mergeCell ref="E18:M18"/>
    <mergeCell ref="E19:M19"/>
    <mergeCell ref="B20:C20"/>
    <mergeCell ref="E20:M20"/>
    <mergeCell ref="N20:O20"/>
    <mergeCell ref="Q20:S20"/>
    <mergeCell ref="Q21:S21"/>
    <mergeCell ref="AR23:BE23"/>
    <mergeCell ref="BG23:BH23"/>
    <mergeCell ref="BJ23:BK23"/>
    <mergeCell ref="BL23:BM23"/>
    <mergeCell ref="BN23:BO23"/>
    <mergeCell ref="AH24:AI24"/>
    <mergeCell ref="AJ24:AQ24"/>
    <mergeCell ref="AR24:BE24"/>
    <mergeCell ref="BG24:BH24"/>
    <mergeCell ref="BJ24:BK24"/>
    <mergeCell ref="BL24:BM24"/>
    <mergeCell ref="BN24:BO24"/>
    <mergeCell ref="BP24:BW24"/>
    <mergeCell ref="B21:C21"/>
    <mergeCell ref="B22:C22"/>
    <mergeCell ref="B23:C23"/>
    <mergeCell ref="N23:O23"/>
    <mergeCell ref="AH23:AI23"/>
    <mergeCell ref="AJ23:AQ23"/>
    <mergeCell ref="B24:C24"/>
    <mergeCell ref="BG25:BH25"/>
    <mergeCell ref="BJ25:BK25"/>
    <mergeCell ref="BL25:BM25"/>
    <mergeCell ref="BN25:BO25"/>
    <mergeCell ref="BP25:BW25"/>
    <mergeCell ref="N24:O24"/>
    <mergeCell ref="Q24:AF24"/>
    <mergeCell ref="Q25:AD25"/>
    <mergeCell ref="AE25:AF25"/>
    <mergeCell ref="AH25:AI25"/>
    <mergeCell ref="AJ25:AQ25"/>
    <mergeCell ref="AR25:BE25"/>
    <mergeCell ref="BL26:BM26"/>
    <mergeCell ref="BN26:BO26"/>
    <mergeCell ref="BP26:BW26"/>
    <mergeCell ref="BP27:BW27"/>
    <mergeCell ref="B26:C26"/>
    <mergeCell ref="B27:C27"/>
    <mergeCell ref="Q26:AD26"/>
    <mergeCell ref="AE26:AF26"/>
    <mergeCell ref="AH26:AI26"/>
    <mergeCell ref="AJ26:AQ26"/>
    <mergeCell ref="AR26:BE26"/>
    <mergeCell ref="BG26:BH26"/>
    <mergeCell ref="BJ26:BK26"/>
    <mergeCell ref="BL35:BM35"/>
    <mergeCell ref="BN35:BO35"/>
    <mergeCell ref="BP35:BW35"/>
    <mergeCell ref="Q35:AD35"/>
    <mergeCell ref="AE35:AF35"/>
    <mergeCell ref="AH35:AI35"/>
    <mergeCell ref="AJ35:AQ35"/>
    <mergeCell ref="AR35:BE35"/>
    <mergeCell ref="BG35:BH35"/>
    <mergeCell ref="BJ35:BK35"/>
    <mergeCell ref="BL36:BM36"/>
    <mergeCell ref="BN36:BO36"/>
    <mergeCell ref="BP36:BW36"/>
    <mergeCell ref="Q36:AD36"/>
    <mergeCell ref="AE36:AF36"/>
    <mergeCell ref="AH36:AI36"/>
    <mergeCell ref="AJ36:AQ36"/>
    <mergeCell ref="AR36:BE36"/>
    <mergeCell ref="BG36:BH36"/>
    <mergeCell ref="BJ36:BK36"/>
    <mergeCell ref="BL37:BM37"/>
    <mergeCell ref="BN37:BO37"/>
    <mergeCell ref="BP37:BW37"/>
    <mergeCell ref="Q37:AD37"/>
    <mergeCell ref="AE37:AF37"/>
    <mergeCell ref="AH37:AI37"/>
    <mergeCell ref="AJ37:AQ37"/>
    <mergeCell ref="AR37:BE37"/>
    <mergeCell ref="BG37:BH37"/>
    <mergeCell ref="BJ37:BK37"/>
    <mergeCell ref="BL42:BM42"/>
    <mergeCell ref="BN42:BO42"/>
    <mergeCell ref="BP42:BW42"/>
    <mergeCell ref="Q42:AD42"/>
    <mergeCell ref="AE42:AF42"/>
    <mergeCell ref="AH42:AI42"/>
    <mergeCell ref="AJ42:AQ42"/>
    <mergeCell ref="AR42:BE42"/>
    <mergeCell ref="BG42:BH42"/>
    <mergeCell ref="BJ42:BK42"/>
    <mergeCell ref="BL43:BM43"/>
    <mergeCell ref="BN43:BO43"/>
    <mergeCell ref="BP43:BW43"/>
    <mergeCell ref="Q43:AD43"/>
    <mergeCell ref="AE43:AF43"/>
    <mergeCell ref="AH43:AI43"/>
    <mergeCell ref="AJ43:AQ43"/>
    <mergeCell ref="AR43:BE43"/>
    <mergeCell ref="BG43:BH43"/>
    <mergeCell ref="BJ43:BK43"/>
    <mergeCell ref="BX42:CL42"/>
    <mergeCell ref="CM42:CN42"/>
    <mergeCell ref="BX43:CL43"/>
    <mergeCell ref="CM43:CN43"/>
    <mergeCell ref="BX44:CL44"/>
    <mergeCell ref="CM44:CN44"/>
    <mergeCell ref="CM45:CN45"/>
    <mergeCell ref="BX45:CL45"/>
    <mergeCell ref="BX46:CL46"/>
    <mergeCell ref="CM46:CN46"/>
    <mergeCell ref="BX47:CL47"/>
    <mergeCell ref="CM47:CN47"/>
    <mergeCell ref="BX48:CL48"/>
    <mergeCell ref="CM48:CN48"/>
    <mergeCell ref="BX49:CL49"/>
    <mergeCell ref="CM49:CN49"/>
    <mergeCell ref="BX50:CL50"/>
    <mergeCell ref="CM50:CN50"/>
    <mergeCell ref="BX51:CL51"/>
    <mergeCell ref="CM51:CN51"/>
    <mergeCell ref="CM52:CN52"/>
    <mergeCell ref="BX52:CL52"/>
    <mergeCell ref="BX53:CL53"/>
    <mergeCell ref="CM53:CN53"/>
    <mergeCell ref="BX54:CL54"/>
    <mergeCell ref="CM54:CN54"/>
    <mergeCell ref="BX55:CL55"/>
    <mergeCell ref="CM55:CN55"/>
    <mergeCell ref="BX56:CL56"/>
    <mergeCell ref="CM56:CN56"/>
    <mergeCell ref="BX57:CL57"/>
    <mergeCell ref="CM57:CN57"/>
    <mergeCell ref="BX58:CL58"/>
    <mergeCell ref="CM58:CN58"/>
    <mergeCell ref="CM59:CN59"/>
    <mergeCell ref="BX59:CL59"/>
    <mergeCell ref="BX60:CL60"/>
    <mergeCell ref="CM60:CN60"/>
    <mergeCell ref="BX61:CL61"/>
    <mergeCell ref="CM61:CN61"/>
    <mergeCell ref="BX62:CL62"/>
    <mergeCell ref="CM62:CN62"/>
    <mergeCell ref="BP21:BW21"/>
    <mergeCell ref="BX21:CL21"/>
    <mergeCell ref="CM21:CN21"/>
    <mergeCell ref="BP23:BW23"/>
    <mergeCell ref="BX23:CL23"/>
    <mergeCell ref="CM23:CN23"/>
    <mergeCell ref="CM24:CN24"/>
    <mergeCell ref="BX24:CL24"/>
    <mergeCell ref="BX25:CL25"/>
    <mergeCell ref="CM25:CN25"/>
    <mergeCell ref="BX26:CL26"/>
    <mergeCell ref="CM26:CN26"/>
    <mergeCell ref="BX27:CL27"/>
    <mergeCell ref="CM27:CN27"/>
    <mergeCell ref="BX28:CL28"/>
    <mergeCell ref="CM28:CN28"/>
    <mergeCell ref="BX29:CL29"/>
    <mergeCell ref="CM29:CN29"/>
    <mergeCell ref="BX30:CL30"/>
    <mergeCell ref="CM30:CN30"/>
    <mergeCell ref="CM31:CN31"/>
    <mergeCell ref="BX31:CL31"/>
    <mergeCell ref="BX32:CL32"/>
    <mergeCell ref="CM32:CN32"/>
    <mergeCell ref="BX33:CL33"/>
    <mergeCell ref="CM33:CN33"/>
    <mergeCell ref="BX34:CL34"/>
    <mergeCell ref="CM34:CN34"/>
    <mergeCell ref="BX35:CL35"/>
    <mergeCell ref="CM35:CN35"/>
    <mergeCell ref="BX36:CL36"/>
    <mergeCell ref="CM36:CN36"/>
    <mergeCell ref="BX37:CL37"/>
    <mergeCell ref="CM37:CN37"/>
    <mergeCell ref="CM38:CN38"/>
    <mergeCell ref="BX38:CL38"/>
    <mergeCell ref="BX39:CL39"/>
    <mergeCell ref="CM39:CN39"/>
    <mergeCell ref="BX40:CL40"/>
    <mergeCell ref="CM40:CN40"/>
    <mergeCell ref="BX41:CL41"/>
    <mergeCell ref="CM41:CN41"/>
    <mergeCell ref="BX63:CL63"/>
    <mergeCell ref="CM63:CN63"/>
    <mergeCell ref="AJ3:AL3"/>
    <mergeCell ref="AM3:AP3"/>
    <mergeCell ref="AQ3:AR3"/>
    <mergeCell ref="AS3:AT3"/>
    <mergeCell ref="AU3:AV3"/>
    <mergeCell ref="AX3:AY3"/>
    <mergeCell ref="AZ3:BB3"/>
    <mergeCell ref="BC3:BF3"/>
    <mergeCell ref="BG3:BH3"/>
    <mergeCell ref="BI3:BJ3"/>
    <mergeCell ref="BK3:BL3"/>
    <mergeCell ref="BN3:BS3"/>
    <mergeCell ref="BT3:BX3"/>
    <mergeCell ref="BY3:CB3"/>
    <mergeCell ref="B2:O3"/>
    <mergeCell ref="BN2:BR2"/>
    <mergeCell ref="BT2:BX2"/>
    <mergeCell ref="BY2:CB2"/>
    <mergeCell ref="CC2:CI2"/>
    <mergeCell ref="CR2:CT2"/>
    <mergeCell ref="Q3:S3"/>
    <mergeCell ref="CC3:CI3"/>
    <mergeCell ref="BN4:BS4"/>
    <mergeCell ref="BT4:BX4"/>
    <mergeCell ref="BY4:CB4"/>
    <mergeCell ref="CC4:CI4"/>
    <mergeCell ref="AS4:AT4"/>
    <mergeCell ref="AU4:AV4"/>
    <mergeCell ref="AX4:BB4"/>
    <mergeCell ref="BC4:BF4"/>
    <mergeCell ref="BG4:BH4"/>
    <mergeCell ref="BI4:BJ4"/>
    <mergeCell ref="BK4:BL4"/>
    <mergeCell ref="T3:AF3"/>
    <mergeCell ref="AH3:AI3"/>
    <mergeCell ref="B4:K4"/>
    <mergeCell ref="X4:Y4"/>
    <mergeCell ref="AH4:AL4"/>
    <mergeCell ref="AM4:AP4"/>
    <mergeCell ref="AQ4:AR4"/>
    <mergeCell ref="AQ5:AR5"/>
    <mergeCell ref="AS5:AT5"/>
    <mergeCell ref="AU5:AV5"/>
    <mergeCell ref="AX5:BB5"/>
    <mergeCell ref="BC5:BF5"/>
    <mergeCell ref="BG5:BH5"/>
    <mergeCell ref="BI5:BJ5"/>
    <mergeCell ref="BG6:BH6"/>
    <mergeCell ref="BI6:BJ6"/>
    <mergeCell ref="R6:W6"/>
    <mergeCell ref="X6:Y6"/>
    <mergeCell ref="AQ6:AR6"/>
    <mergeCell ref="AS6:AT6"/>
    <mergeCell ref="AU6:AV6"/>
    <mergeCell ref="AX6:BB6"/>
    <mergeCell ref="BC6:BF6"/>
    <mergeCell ref="AH6:AL6"/>
    <mergeCell ref="AM6:AP6"/>
    <mergeCell ref="AH8:BH8"/>
    <mergeCell ref="B5:F5"/>
    <mergeCell ref="G5:J5"/>
    <mergeCell ref="M5:P6"/>
    <mergeCell ref="R5:W5"/>
    <mergeCell ref="X5:Y5"/>
    <mergeCell ref="AH5:AL5"/>
    <mergeCell ref="AM5:AP5"/>
    <mergeCell ref="BL9:BM9"/>
    <mergeCell ref="BN9:BO9"/>
    <mergeCell ref="Q9:S9"/>
    <mergeCell ref="T9:AD9"/>
    <mergeCell ref="AH9:AI9"/>
    <mergeCell ref="AJ9:AQ9"/>
    <mergeCell ref="AR9:BE9"/>
    <mergeCell ref="BG9:BH9"/>
    <mergeCell ref="BJ9:BK9"/>
    <mergeCell ref="AH10:AI10"/>
    <mergeCell ref="AJ10:AQ10"/>
    <mergeCell ref="AR10:BE10"/>
    <mergeCell ref="BG10:BH10"/>
    <mergeCell ref="BJ10:BK10"/>
    <mergeCell ref="BL10:BM10"/>
    <mergeCell ref="BN10:BO10"/>
    <mergeCell ref="E10:M10"/>
    <mergeCell ref="E11:M11"/>
    <mergeCell ref="Q10:S10"/>
    <mergeCell ref="Q11:S11"/>
    <mergeCell ref="AH11:AI11"/>
    <mergeCell ref="AJ11:AQ11"/>
    <mergeCell ref="AR11:BE11"/>
    <mergeCell ref="BG11:BH11"/>
    <mergeCell ref="BJ11:BK11"/>
    <mergeCell ref="B6:F6"/>
    <mergeCell ref="G6:J6"/>
    <mergeCell ref="B8:O8"/>
    <mergeCell ref="Q8:AF8"/>
    <mergeCell ref="D9:M9"/>
    <mergeCell ref="N9:O9"/>
    <mergeCell ref="AE9:AF9"/>
    <mergeCell ref="T11:AD11"/>
    <mergeCell ref="AE11:AF11"/>
    <mergeCell ref="B9:C9"/>
    <mergeCell ref="B10:C10"/>
    <mergeCell ref="N10:O10"/>
    <mergeCell ref="T10:AD10"/>
    <mergeCell ref="AE10:AF10"/>
    <mergeCell ref="B11:C11"/>
    <mergeCell ref="N11:O11"/>
    <mergeCell ref="E12:M12"/>
    <mergeCell ref="N12:O12"/>
    <mergeCell ref="Q12:S12"/>
    <mergeCell ref="T12:AD12"/>
    <mergeCell ref="AE12:AF12"/>
    <mergeCell ref="AH12:AI12"/>
    <mergeCell ref="AJ12:AQ12"/>
    <mergeCell ref="AH13:AI13"/>
    <mergeCell ref="AJ13:AQ13"/>
    <mergeCell ref="Q13:S13"/>
    <mergeCell ref="Q14:S14"/>
    <mergeCell ref="T14:AD14"/>
    <mergeCell ref="AE14:AF14"/>
    <mergeCell ref="AH14:AI14"/>
    <mergeCell ref="AJ14:AQ14"/>
    <mergeCell ref="T15:AD15"/>
    <mergeCell ref="AE15:AF15"/>
    <mergeCell ref="AH15:AI15"/>
    <mergeCell ref="AJ15:AQ15"/>
    <mergeCell ref="B12:C12"/>
    <mergeCell ref="B13:C13"/>
    <mergeCell ref="N13:O13"/>
    <mergeCell ref="T13:AD13"/>
    <mergeCell ref="AE13:AF13"/>
    <mergeCell ref="B14:C14"/>
    <mergeCell ref="N14:O14"/>
    <mergeCell ref="E16:M16"/>
    <mergeCell ref="N16:O16"/>
    <mergeCell ref="T16:AD16"/>
    <mergeCell ref="AE16:AF16"/>
    <mergeCell ref="AH16:AI16"/>
    <mergeCell ref="AJ16:AQ16"/>
    <mergeCell ref="E17:M17"/>
    <mergeCell ref="N17:O17"/>
    <mergeCell ref="Q17:S17"/>
    <mergeCell ref="T17:AD17"/>
    <mergeCell ref="AE17:AF17"/>
    <mergeCell ref="AH17:AI17"/>
    <mergeCell ref="AJ17:AQ17"/>
    <mergeCell ref="E13:M13"/>
    <mergeCell ref="E14:M14"/>
    <mergeCell ref="B15:C15"/>
    <mergeCell ref="E15:M15"/>
    <mergeCell ref="N15:O15"/>
    <mergeCell ref="Q15:S15"/>
    <mergeCell ref="Q16:S16"/>
    <mergeCell ref="AE18:AF18"/>
    <mergeCell ref="AH18:AI18"/>
    <mergeCell ref="AJ18:AQ18"/>
    <mergeCell ref="AE19:AF19"/>
    <mergeCell ref="AH19:AI19"/>
    <mergeCell ref="AJ19:AQ19"/>
    <mergeCell ref="Q18:S18"/>
    <mergeCell ref="Q19:S19"/>
    <mergeCell ref="AR22:BE22"/>
    <mergeCell ref="BG22:BH22"/>
    <mergeCell ref="BP22:BW22"/>
    <mergeCell ref="BX22:CL22"/>
    <mergeCell ref="CM22:CN22"/>
    <mergeCell ref="E22:M22"/>
    <mergeCell ref="N22:O22"/>
    <mergeCell ref="Q22:S22"/>
    <mergeCell ref="T22:AD22"/>
    <mergeCell ref="AE22:AF22"/>
    <mergeCell ref="AH22:AI22"/>
    <mergeCell ref="AJ22:AQ22"/>
    <mergeCell ref="BT6:BX6"/>
    <mergeCell ref="BY6:CB6"/>
    <mergeCell ref="BK5:BL5"/>
    <mergeCell ref="BN5:BS5"/>
    <mergeCell ref="BT5:BX5"/>
    <mergeCell ref="BY5:CB5"/>
    <mergeCell ref="CC5:CN6"/>
    <mergeCell ref="BK6:BL6"/>
    <mergeCell ref="BN6:BS6"/>
    <mergeCell ref="BJ8:CL8"/>
    <mergeCell ref="BP9:BW9"/>
    <mergeCell ref="BX9:CL9"/>
    <mergeCell ref="CM9:CN9"/>
    <mergeCell ref="BP10:BW10"/>
    <mergeCell ref="BX10:CL10"/>
    <mergeCell ref="CM10:CN10"/>
    <mergeCell ref="BP11:BW11"/>
    <mergeCell ref="BX11:CL11"/>
    <mergeCell ref="CM11:CN11"/>
    <mergeCell ref="BP12:BW12"/>
    <mergeCell ref="BX12:CL12"/>
    <mergeCell ref="CM12:CN12"/>
    <mergeCell ref="CM13:CN13"/>
    <mergeCell ref="BX13:CL13"/>
    <mergeCell ref="BX14:CL14"/>
    <mergeCell ref="CM14:CN14"/>
    <mergeCell ref="BX15:CL15"/>
    <mergeCell ref="CM15:CN15"/>
    <mergeCell ref="BX16:CL16"/>
    <mergeCell ref="CM16:CN16"/>
    <mergeCell ref="BX20:CL20"/>
    <mergeCell ref="CM20:CN20"/>
    <mergeCell ref="BX17:CL17"/>
    <mergeCell ref="CM17:CN17"/>
    <mergeCell ref="BX18:CL18"/>
    <mergeCell ref="CM18:CN18"/>
    <mergeCell ref="BX19:CL19"/>
    <mergeCell ref="CM19:CN19"/>
    <mergeCell ref="BP20:BW20"/>
    <mergeCell ref="BL38:BM38"/>
    <mergeCell ref="BN38:BO38"/>
    <mergeCell ref="BP38:BW38"/>
    <mergeCell ref="Q38:AD38"/>
    <mergeCell ref="AE38:AF38"/>
    <mergeCell ref="AH38:AI38"/>
    <mergeCell ref="AJ38:AQ38"/>
    <mergeCell ref="AR38:BE38"/>
    <mergeCell ref="BG38:BH38"/>
    <mergeCell ref="BJ38:BK38"/>
    <mergeCell ref="BL40:BM40"/>
    <mergeCell ref="BN40:BO40"/>
    <mergeCell ref="BP40:BW40"/>
    <mergeCell ref="Q40:AD40"/>
    <mergeCell ref="AE40:AF40"/>
    <mergeCell ref="AH40:AI40"/>
    <mergeCell ref="AJ40:AQ40"/>
    <mergeCell ref="AR40:BE40"/>
    <mergeCell ref="BG40:BH40"/>
    <mergeCell ref="BJ40:BK40"/>
    <mergeCell ref="BL41:BM41"/>
    <mergeCell ref="BN41:BO41"/>
    <mergeCell ref="BP41:BW41"/>
    <mergeCell ref="Q41:AD41"/>
    <mergeCell ref="AE41:AF41"/>
    <mergeCell ref="AH41:AI41"/>
    <mergeCell ref="AJ41:AQ41"/>
    <mergeCell ref="AR41:BE41"/>
    <mergeCell ref="BG41:BH41"/>
    <mergeCell ref="BJ41:BK41"/>
    <mergeCell ref="BL51:BM51"/>
    <mergeCell ref="BN51:BO51"/>
    <mergeCell ref="BP51:BW51"/>
    <mergeCell ref="BN55:BO55"/>
    <mergeCell ref="BP55:BW55"/>
    <mergeCell ref="Q55:AD55"/>
    <mergeCell ref="AE55:AF55"/>
    <mergeCell ref="AH55:AI55"/>
    <mergeCell ref="AJ55:AQ55"/>
    <mergeCell ref="AR55:BE55"/>
    <mergeCell ref="BG55:BH55"/>
    <mergeCell ref="BL55:BM55"/>
    <mergeCell ref="BN56:BO56"/>
    <mergeCell ref="BP56:BW56"/>
    <mergeCell ref="Q56:AD56"/>
    <mergeCell ref="AE56:AF56"/>
    <mergeCell ref="AH56:AI56"/>
    <mergeCell ref="AJ56:AQ56"/>
    <mergeCell ref="AR56:BE56"/>
    <mergeCell ref="BG56:BH56"/>
    <mergeCell ref="BL56:BM56"/>
    <mergeCell ref="BN57:BO57"/>
    <mergeCell ref="BP57:BW57"/>
    <mergeCell ref="Q57:AD57"/>
    <mergeCell ref="AE57:AF57"/>
    <mergeCell ref="AH57:AI57"/>
    <mergeCell ref="AJ57:AQ57"/>
    <mergeCell ref="AR57:BE57"/>
    <mergeCell ref="BG57:BH57"/>
    <mergeCell ref="BL57:BM57"/>
    <mergeCell ref="BL50:BM50"/>
    <mergeCell ref="Q51:AD51"/>
    <mergeCell ref="AE51:AF51"/>
    <mergeCell ref="AH51:AI51"/>
    <mergeCell ref="AJ51:AQ51"/>
    <mergeCell ref="AR51:BE51"/>
    <mergeCell ref="BG51:BH51"/>
    <mergeCell ref="BN52:BO52"/>
    <mergeCell ref="BP52:BW52"/>
    <mergeCell ref="Q52:AD52"/>
    <mergeCell ref="AE52:AF52"/>
    <mergeCell ref="AH52:AI52"/>
    <mergeCell ref="AJ52:AQ52"/>
    <mergeCell ref="AR52:BE52"/>
    <mergeCell ref="BG52:BH52"/>
    <mergeCell ref="BL52:BM52"/>
    <mergeCell ref="BN53:BO53"/>
    <mergeCell ref="BP53:BW53"/>
    <mergeCell ref="Q53:AD53"/>
    <mergeCell ref="AE53:AF53"/>
    <mergeCell ref="AH53:AI53"/>
    <mergeCell ref="AJ53:AQ53"/>
    <mergeCell ref="AR53:BE53"/>
    <mergeCell ref="BG53:BH53"/>
    <mergeCell ref="BL53:BM53"/>
    <mergeCell ref="BJ57:BK57"/>
    <mergeCell ref="BJ58:BK58"/>
    <mergeCell ref="BL58:BM58"/>
    <mergeCell ref="BN58:BO58"/>
    <mergeCell ref="BJ50:BK50"/>
    <mergeCell ref="BJ51:BK51"/>
    <mergeCell ref="BJ52:BK52"/>
    <mergeCell ref="BJ53:BK53"/>
    <mergeCell ref="BJ54:BK54"/>
    <mergeCell ref="BJ55:BK55"/>
    <mergeCell ref="BJ56:BK56"/>
    <mergeCell ref="BL62:BM62"/>
    <mergeCell ref="BN62:BO62"/>
    <mergeCell ref="BP62:BW62"/>
    <mergeCell ref="Q62:AD62"/>
    <mergeCell ref="AE62:AF62"/>
    <mergeCell ref="AH62:AI62"/>
    <mergeCell ref="AJ62:AQ62"/>
    <mergeCell ref="AR62:BE62"/>
    <mergeCell ref="BG62:BH62"/>
    <mergeCell ref="BJ62:BK62"/>
    <mergeCell ref="BL63:BM63"/>
    <mergeCell ref="BN63:BO63"/>
    <mergeCell ref="BP63:BW63"/>
    <mergeCell ref="Q63:AD63"/>
    <mergeCell ref="AE63:AF63"/>
    <mergeCell ref="AH63:AI63"/>
    <mergeCell ref="AJ63:AQ63"/>
    <mergeCell ref="AR63:BE63"/>
    <mergeCell ref="BG63:BH63"/>
    <mergeCell ref="BJ63:BK63"/>
    <mergeCell ref="AC71:AD71"/>
    <mergeCell ref="AC72:AD72"/>
    <mergeCell ref="AC73:AD73"/>
    <mergeCell ref="AC74:AD74"/>
    <mergeCell ref="AC64:AD64"/>
    <mergeCell ref="AC65:AD65"/>
    <mergeCell ref="AC66:AD66"/>
    <mergeCell ref="AC67:AD67"/>
    <mergeCell ref="AC68:AD68"/>
    <mergeCell ref="AC69:AD69"/>
    <mergeCell ref="AC70:AD70"/>
    <mergeCell ref="Q58:AD58"/>
    <mergeCell ref="AE58:AF58"/>
    <mergeCell ref="AH58:AI58"/>
    <mergeCell ref="AJ58:AQ58"/>
    <mergeCell ref="AR58:BE58"/>
    <mergeCell ref="BG58:BH58"/>
    <mergeCell ref="BP58:BW58"/>
    <mergeCell ref="BL59:BM59"/>
    <mergeCell ref="BN59:BO59"/>
    <mergeCell ref="BP59:BW59"/>
    <mergeCell ref="Q59:AD59"/>
    <mergeCell ref="AE59:AF59"/>
    <mergeCell ref="AH59:AI59"/>
    <mergeCell ref="AJ59:AQ59"/>
    <mergeCell ref="AR59:BE59"/>
    <mergeCell ref="BG59:BH59"/>
    <mergeCell ref="BJ59:BK59"/>
    <mergeCell ref="BL60:BM60"/>
    <mergeCell ref="BN60:BO60"/>
    <mergeCell ref="BP60:BW60"/>
    <mergeCell ref="Q60:AD60"/>
    <mergeCell ref="AE60:AF60"/>
    <mergeCell ref="AH60:AI60"/>
    <mergeCell ref="AJ60:AQ60"/>
    <mergeCell ref="AR60:BE60"/>
    <mergeCell ref="BG60:BH60"/>
    <mergeCell ref="BJ60:BK60"/>
    <mergeCell ref="BL61:BM61"/>
    <mergeCell ref="BN61:BO61"/>
    <mergeCell ref="BP61:BW61"/>
    <mergeCell ref="Q61:AD61"/>
    <mergeCell ref="AE61:AF61"/>
    <mergeCell ref="AH61:AI61"/>
    <mergeCell ref="AJ61:AQ61"/>
    <mergeCell ref="AR61:BE61"/>
    <mergeCell ref="BG61:BH61"/>
    <mergeCell ref="BJ61:BK61"/>
    <mergeCell ref="BL44:BM44"/>
    <mergeCell ref="BN44:BO44"/>
    <mergeCell ref="BP44:BW44"/>
    <mergeCell ref="Q44:AD44"/>
    <mergeCell ref="AE44:AF44"/>
    <mergeCell ref="AH44:AI44"/>
    <mergeCell ref="AJ44:AQ44"/>
    <mergeCell ref="AR44:BE44"/>
    <mergeCell ref="BG44:BH44"/>
    <mergeCell ref="BJ44:BK44"/>
    <mergeCell ref="BL45:BM45"/>
    <mergeCell ref="BN45:BO45"/>
    <mergeCell ref="BP45:BW45"/>
    <mergeCell ref="Q45:AD45"/>
    <mergeCell ref="AE45:AF45"/>
    <mergeCell ref="AH45:AI45"/>
    <mergeCell ref="AJ45:AQ45"/>
    <mergeCell ref="AR45:BE45"/>
    <mergeCell ref="BG45:BH45"/>
    <mergeCell ref="BJ45:BK45"/>
    <mergeCell ref="BL46:BM46"/>
    <mergeCell ref="BN46:BO46"/>
    <mergeCell ref="BP46:BW46"/>
    <mergeCell ref="Q46:AD46"/>
    <mergeCell ref="AE46:AF46"/>
    <mergeCell ref="AH46:AI46"/>
    <mergeCell ref="AJ46:AQ46"/>
    <mergeCell ref="AR46:BE46"/>
    <mergeCell ref="BG46:BH46"/>
    <mergeCell ref="BJ46:BK46"/>
    <mergeCell ref="BL47:BM47"/>
    <mergeCell ref="BN47:BO47"/>
    <mergeCell ref="BP47:BW47"/>
    <mergeCell ref="Q47:AD47"/>
    <mergeCell ref="AE47:AF47"/>
    <mergeCell ref="AH47:AI47"/>
    <mergeCell ref="AJ47:AQ47"/>
    <mergeCell ref="AR47:BE47"/>
    <mergeCell ref="BG47:BH47"/>
    <mergeCell ref="BJ47:BK47"/>
    <mergeCell ref="BL48:BM48"/>
    <mergeCell ref="BN48:BO48"/>
    <mergeCell ref="BP48:BW48"/>
    <mergeCell ref="Q48:AD48"/>
    <mergeCell ref="AE48:AF48"/>
    <mergeCell ref="AH48:AI48"/>
    <mergeCell ref="AJ48:AQ48"/>
    <mergeCell ref="AR48:BE48"/>
    <mergeCell ref="BG48:BH48"/>
    <mergeCell ref="BJ48:BK48"/>
    <mergeCell ref="AE50:AF50"/>
    <mergeCell ref="AH50:BH50"/>
    <mergeCell ref="BN50:BO50"/>
    <mergeCell ref="BP50:BW50"/>
    <mergeCell ref="Q49:AD49"/>
    <mergeCell ref="AE49:AF49"/>
    <mergeCell ref="BJ49:BK49"/>
    <mergeCell ref="BL49:BM49"/>
    <mergeCell ref="BN49:BO49"/>
    <mergeCell ref="BP49:BW49"/>
    <mergeCell ref="Q50:AD50"/>
    <mergeCell ref="BN54:BO54"/>
    <mergeCell ref="BP54:BW54"/>
    <mergeCell ref="Q54:AD54"/>
    <mergeCell ref="AE54:AF54"/>
    <mergeCell ref="AH54:AI54"/>
    <mergeCell ref="AJ54:AQ54"/>
    <mergeCell ref="AR54:BE54"/>
    <mergeCell ref="BG54:BH54"/>
    <mergeCell ref="BL54:BM54"/>
  </mergeCells>
  <conditionalFormatting sqref="AV2">
    <cfRule type="expression" dxfId="5" priority="1">
      <formula>if(CC3 = "Medium Encumbrance",TRUE,)</formula>
    </cfRule>
  </conditionalFormatting>
  <conditionalFormatting sqref="AV2">
    <cfRule type="expression" dxfId="6" priority="2">
      <formula>if(CC3 = "Heavy Encumbrance",TRUE,)</formula>
    </cfRule>
  </conditionalFormatting>
  <conditionalFormatting sqref="AV2">
    <cfRule type="expression" dxfId="7" priority="3">
      <formula>if(CC3="Overencumbered",TRUE,)</formula>
    </cfRule>
  </conditionalFormatting>
  <conditionalFormatting sqref="BL2">
    <cfRule type="expression" dxfId="7" priority="4">
      <formula>if(CC4 = "Overencumbered",TRUE,)</formula>
    </cfRule>
  </conditionalFormatting>
  <conditionalFormatting sqref="BL2">
    <cfRule type="expression" dxfId="6" priority="5">
      <formula>if(CC4 = "Heavy Encumbrance",TRUE,)</formula>
    </cfRule>
  </conditionalFormatting>
  <conditionalFormatting sqref="BL2">
    <cfRule type="expression" dxfId="5" priority="6">
      <formula>if(CC4 = "Medium Encumbrance",TRUE,)</formula>
    </cfRule>
  </conditionalFormatting>
  <dataValidations>
    <dataValidation type="list" allowBlank="1" sqref="BN5">
      <formula1>Equipment!$CR$4:$CR$18</formula1>
    </dataValidation>
    <dataValidation type="list" allowBlank="1" sqref="BN6">
      <formula1>Equipment!$CR$4:$CR$9</formula1>
    </dataValidation>
  </dataValidation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
    <col customWidth="1" min="2" max="67" width="3.25"/>
  </cols>
  <sheetData>
    <row r="1">
      <c r="A1" s="52"/>
      <c r="B1" s="56" t="s">
        <v>34</v>
      </c>
      <c r="C1" s="60"/>
      <c r="D1" s="60"/>
      <c r="E1" s="60"/>
      <c r="F1" s="60"/>
      <c r="G1" s="63"/>
      <c r="H1" s="70" t="s">
        <v>44</v>
      </c>
      <c r="I1" s="72"/>
      <c r="J1" s="72"/>
      <c r="K1" s="72"/>
      <c r="L1" s="72"/>
      <c r="M1" s="72"/>
      <c r="N1" s="72"/>
      <c r="O1" s="72"/>
      <c r="P1" s="72"/>
      <c r="Q1" s="72"/>
      <c r="R1" s="72"/>
      <c r="S1" s="72"/>
      <c r="T1" s="72"/>
      <c r="U1" s="72"/>
      <c r="V1" s="72"/>
      <c r="W1" s="72"/>
      <c r="X1" s="72"/>
      <c r="Y1" s="72"/>
      <c r="Z1" s="72"/>
      <c r="AA1" s="72"/>
      <c r="AB1" s="72"/>
      <c r="AC1" s="76" t="s">
        <v>48</v>
      </c>
      <c r="AD1" s="72"/>
      <c r="AE1" s="72"/>
      <c r="AF1" s="72"/>
      <c r="AG1" s="72"/>
      <c r="AH1" s="72"/>
      <c r="AI1" s="72"/>
      <c r="AJ1" s="72"/>
      <c r="AK1" s="72"/>
      <c r="AL1" s="72"/>
      <c r="AM1" s="72"/>
      <c r="AN1" s="72"/>
      <c r="AO1" s="72"/>
      <c r="AP1" s="72"/>
      <c r="AQ1" s="72"/>
      <c r="AR1" s="72"/>
      <c r="AS1" s="72"/>
      <c r="AT1" s="76"/>
      <c r="AU1" s="72"/>
      <c r="AV1" s="72"/>
      <c r="AW1" s="72"/>
      <c r="AX1" s="72"/>
      <c r="AY1" s="72"/>
      <c r="AZ1" s="72"/>
      <c r="BA1" s="72"/>
      <c r="BB1" s="72"/>
      <c r="BC1" s="72"/>
      <c r="BD1" s="72"/>
      <c r="BE1" s="72"/>
      <c r="BF1" s="72"/>
      <c r="BG1" s="72"/>
      <c r="BH1" s="72"/>
      <c r="BI1" s="72"/>
      <c r="BJ1" s="72"/>
      <c r="BK1" s="72"/>
      <c r="BL1" s="72"/>
      <c r="BM1" s="72"/>
      <c r="BN1" s="72"/>
      <c r="BO1" s="83"/>
    </row>
    <row r="2">
      <c r="A2" s="52"/>
      <c r="B2" s="86"/>
      <c r="C2" s="86"/>
      <c r="D2" s="86"/>
      <c r="E2" s="86"/>
      <c r="F2" s="86"/>
      <c r="G2" s="86"/>
      <c r="H2" s="52"/>
      <c r="I2" s="95" t="s">
        <v>52</v>
      </c>
      <c r="J2" s="96"/>
      <c r="K2" s="96"/>
      <c r="L2" s="96"/>
      <c r="M2" s="96"/>
      <c r="N2" s="103" t="str">
        <f>"DC "&amp;10+$G5+B8</f>
        <v>DC 18</v>
      </c>
      <c r="O2" s="105"/>
      <c r="P2" s="95" t="s">
        <v>66</v>
      </c>
      <c r="Q2" s="96"/>
      <c r="R2" s="96"/>
      <c r="S2" s="96" t="str">
        <f>IF(ISBLANK(D9),,D9&amp;"/day")</f>
        <v/>
      </c>
      <c r="T2" s="96"/>
      <c r="U2" s="113" t="str">
        <f>"DC "&amp;10+$G5+B9</f>
        <v>DC 19</v>
      </c>
      <c r="V2" s="105"/>
      <c r="W2" s="95" t="s">
        <v>70</v>
      </c>
      <c r="X2" s="96"/>
      <c r="Y2" s="96"/>
      <c r="Z2" s="96" t="str">
        <f>IF(ISBLANK(D10),,D10&amp;"/day")</f>
        <v/>
      </c>
      <c r="AA2" s="96"/>
      <c r="AB2" s="113" t="str">
        <f>"DC "&amp;10+$G5+B10</f>
        <v>DC 20</v>
      </c>
      <c r="AC2" s="105"/>
      <c r="AD2" s="95" t="s">
        <v>74</v>
      </c>
      <c r="AE2" s="96"/>
      <c r="AF2" s="96"/>
      <c r="AG2" s="96" t="str">
        <f>IF(ISBLANK(D11),,D11&amp;"/day")</f>
        <v/>
      </c>
      <c r="AH2" s="96"/>
      <c r="AI2" s="113" t="str">
        <f>"DC "&amp;10+$G5+B11</f>
        <v>DC 21</v>
      </c>
      <c r="AJ2" s="105"/>
      <c r="AK2" s="95" t="s">
        <v>77</v>
      </c>
      <c r="AL2" s="96"/>
      <c r="AM2" s="96"/>
      <c r="AN2" s="96" t="str">
        <f>IF(ISBLANK(D12),,D12&amp;"/day")</f>
        <v/>
      </c>
      <c r="AO2" s="96"/>
      <c r="AP2" s="113" t="str">
        <f>"DC "&amp;10+$G5+B12</f>
        <v>DC 22</v>
      </c>
      <c r="AQ2" s="105"/>
      <c r="AR2" s="126" t="s">
        <v>82</v>
      </c>
      <c r="AS2" s="128"/>
      <c r="AT2" s="128"/>
      <c r="AU2" s="128"/>
      <c r="AV2" s="128"/>
      <c r="AW2" s="128"/>
      <c r="AX2" s="105"/>
      <c r="AY2" s="130"/>
      <c r="AZ2" s="131"/>
      <c r="BA2" s="131"/>
      <c r="BB2" s="131"/>
      <c r="BC2" s="131"/>
      <c r="BD2" s="131"/>
      <c r="BE2" s="131"/>
      <c r="BF2" s="130"/>
      <c r="BG2" s="130" t="s">
        <v>86</v>
      </c>
      <c r="BH2" s="131"/>
      <c r="BI2" s="131"/>
      <c r="BJ2" s="131"/>
      <c r="BK2" s="131"/>
      <c r="BL2" s="131"/>
      <c r="BM2" s="131"/>
      <c r="BN2" s="131"/>
      <c r="BO2" s="135"/>
    </row>
    <row r="3">
      <c r="A3" s="52"/>
      <c r="B3" s="138"/>
      <c r="C3" s="67"/>
      <c r="D3" s="67"/>
      <c r="E3" s="67"/>
      <c r="F3" s="67"/>
      <c r="G3" s="69"/>
      <c r="H3" s="142"/>
      <c r="I3" s="143"/>
      <c r="J3" s="148"/>
      <c r="K3" s="28"/>
      <c r="L3" s="28"/>
      <c r="M3" s="28"/>
      <c r="N3" s="29"/>
      <c r="O3" s="142"/>
      <c r="P3" s="143"/>
      <c r="Q3" s="148" t="s">
        <v>97</v>
      </c>
      <c r="R3" s="28"/>
      <c r="S3" s="28"/>
      <c r="T3" s="28"/>
      <c r="U3" s="29"/>
      <c r="V3" s="142"/>
      <c r="W3" s="143"/>
      <c r="X3" s="148" t="s">
        <v>98</v>
      </c>
      <c r="Y3" s="28"/>
      <c r="Z3" s="28"/>
      <c r="AA3" s="28"/>
      <c r="AB3" s="29"/>
      <c r="AC3" s="142"/>
      <c r="AD3" s="143"/>
      <c r="AE3" s="148"/>
      <c r="AF3" s="28"/>
      <c r="AG3" s="28"/>
      <c r="AH3" s="28"/>
      <c r="AI3" s="29"/>
      <c r="AJ3" s="142"/>
      <c r="AK3" s="143"/>
      <c r="AL3" s="148"/>
      <c r="AM3" s="28"/>
      <c r="AN3" s="28"/>
      <c r="AO3" s="28"/>
      <c r="AP3" s="29"/>
      <c r="AQ3" s="142"/>
      <c r="AR3" s="157" t="s">
        <v>106</v>
      </c>
      <c r="AS3" s="28"/>
      <c r="AT3" s="28"/>
      <c r="AU3" s="28"/>
      <c r="AV3" s="28"/>
      <c r="AW3" s="29"/>
      <c r="AX3" s="142"/>
      <c r="AY3" s="158" t="s">
        <v>107</v>
      </c>
      <c r="AZ3" s="159"/>
      <c r="BA3" s="159"/>
      <c r="BB3" s="159"/>
      <c r="BC3" s="159"/>
      <c r="BD3" s="159"/>
      <c r="BE3" s="159"/>
      <c r="BF3" s="159"/>
      <c r="BG3" s="159"/>
      <c r="BH3" s="159"/>
      <c r="BI3" s="159"/>
      <c r="BJ3" s="159"/>
      <c r="BK3" s="159"/>
      <c r="BL3" s="159"/>
      <c r="BM3" s="159"/>
      <c r="BN3" s="159"/>
      <c r="BO3" s="161"/>
    </row>
    <row r="4">
      <c r="A4" s="52"/>
      <c r="B4" s="111"/>
      <c r="C4" s="114"/>
      <c r="D4" s="114"/>
      <c r="E4" s="114"/>
      <c r="F4" s="114"/>
      <c r="G4" s="68"/>
      <c r="H4" s="142"/>
      <c r="I4" s="143"/>
      <c r="J4" s="148"/>
      <c r="K4" s="28"/>
      <c r="L4" s="28"/>
      <c r="M4" s="28"/>
      <c r="N4" s="29"/>
      <c r="O4" s="142"/>
      <c r="P4" s="143"/>
      <c r="Q4" s="148"/>
      <c r="R4" s="28"/>
      <c r="S4" s="28"/>
      <c r="T4" s="28"/>
      <c r="U4" s="29"/>
      <c r="V4" s="142"/>
      <c r="W4" s="143"/>
      <c r="X4" s="148"/>
      <c r="Y4" s="28"/>
      <c r="Z4" s="28"/>
      <c r="AA4" s="28"/>
      <c r="AB4" s="29"/>
      <c r="AC4" s="142"/>
      <c r="AD4" s="143"/>
      <c r="AE4" s="148"/>
      <c r="AF4" s="28"/>
      <c r="AG4" s="28"/>
      <c r="AH4" s="28"/>
      <c r="AI4" s="29"/>
      <c r="AJ4" s="142"/>
      <c r="AK4" s="143"/>
      <c r="AL4" s="148"/>
      <c r="AM4" s="28"/>
      <c r="AN4" s="28"/>
      <c r="AO4" s="28"/>
      <c r="AP4" s="29"/>
      <c r="AQ4" s="142"/>
      <c r="AR4" s="162"/>
      <c r="AS4" s="148"/>
      <c r="AT4" s="28"/>
      <c r="AU4" s="28"/>
      <c r="AV4" s="28"/>
      <c r="AW4" s="29"/>
      <c r="AX4" s="142"/>
      <c r="AY4" s="169"/>
      <c r="AZ4" s="170"/>
      <c r="BA4" s="170"/>
      <c r="BB4" s="170"/>
      <c r="BC4" s="170"/>
      <c r="BD4" s="170"/>
      <c r="BE4" s="170"/>
      <c r="BF4" s="170"/>
      <c r="BG4" s="170"/>
      <c r="BH4" s="170"/>
      <c r="BI4" s="170"/>
      <c r="BJ4" s="170"/>
      <c r="BK4" s="170"/>
      <c r="BL4" s="170"/>
      <c r="BM4" s="170"/>
      <c r="BN4" s="170"/>
      <c r="BO4" s="172"/>
    </row>
    <row r="5">
      <c r="A5" s="52"/>
      <c r="B5" s="173" t="s">
        <v>113</v>
      </c>
      <c r="C5" s="23"/>
      <c r="D5" s="173" t="s">
        <v>114</v>
      </c>
      <c r="E5" s="23"/>
      <c r="F5" s="24"/>
      <c r="G5" s="178">
        <f>VLOOKUP(D5,'Main Sheet'!$E$9:$G$14,3,false)</f>
        <v>8</v>
      </c>
      <c r="H5" s="142"/>
      <c r="I5" s="143"/>
      <c r="J5" s="148"/>
      <c r="K5" s="28"/>
      <c r="L5" s="28"/>
      <c r="M5" s="28"/>
      <c r="N5" s="29"/>
      <c r="O5" s="142"/>
      <c r="P5" s="143"/>
      <c r="Q5" s="148"/>
      <c r="R5" s="28"/>
      <c r="S5" s="28"/>
      <c r="T5" s="28"/>
      <c r="U5" s="29"/>
      <c r="V5" s="142"/>
      <c r="W5" s="143"/>
      <c r="X5" s="148"/>
      <c r="Y5" s="28"/>
      <c r="Z5" s="28"/>
      <c r="AA5" s="28"/>
      <c r="AB5" s="29"/>
      <c r="AC5" s="142"/>
      <c r="AD5" s="143"/>
      <c r="AE5" s="148"/>
      <c r="AF5" s="28"/>
      <c r="AG5" s="28"/>
      <c r="AH5" s="28"/>
      <c r="AI5" s="29"/>
      <c r="AJ5" s="142"/>
      <c r="AK5" s="143"/>
      <c r="AL5" s="148"/>
      <c r="AM5" s="28"/>
      <c r="AN5" s="28"/>
      <c r="AO5" s="28"/>
      <c r="AP5" s="29"/>
      <c r="AQ5" s="142"/>
      <c r="AR5" s="162"/>
      <c r="AS5" s="148"/>
      <c r="AT5" s="28"/>
      <c r="AU5" s="28"/>
      <c r="AV5" s="28"/>
      <c r="AW5" s="29"/>
      <c r="AX5" s="142"/>
      <c r="AY5" s="186" t="s">
        <v>126</v>
      </c>
      <c r="AZ5" s="170"/>
      <c r="BA5" s="170"/>
      <c r="BB5" s="170"/>
      <c r="BC5" s="170"/>
      <c r="BD5" s="170"/>
      <c r="BE5" s="170"/>
      <c r="BF5" s="170"/>
      <c r="BG5" s="170"/>
      <c r="BH5" s="170"/>
      <c r="BI5" s="170"/>
      <c r="BJ5" s="170"/>
      <c r="BK5" s="170"/>
      <c r="BL5" s="170"/>
      <c r="BM5" s="170"/>
      <c r="BN5" s="170"/>
      <c r="BO5" s="172"/>
    </row>
    <row r="6">
      <c r="A6" s="52"/>
      <c r="B6" s="52"/>
      <c r="C6" s="52"/>
      <c r="D6" s="52"/>
      <c r="E6" s="52"/>
      <c r="F6" s="52"/>
      <c r="G6" s="52"/>
      <c r="H6" s="52"/>
      <c r="I6" s="143"/>
      <c r="J6" s="148"/>
      <c r="K6" s="28"/>
      <c r="L6" s="28"/>
      <c r="M6" s="28"/>
      <c r="N6" s="29"/>
      <c r="O6" s="142"/>
      <c r="P6" s="143"/>
      <c r="Q6" s="148"/>
      <c r="R6" s="28"/>
      <c r="S6" s="28"/>
      <c r="T6" s="28"/>
      <c r="U6" s="29"/>
      <c r="V6" s="142"/>
      <c r="W6" s="143"/>
      <c r="X6" s="148"/>
      <c r="Y6" s="28"/>
      <c r="Z6" s="28"/>
      <c r="AA6" s="28"/>
      <c r="AB6" s="29"/>
      <c r="AC6" s="142"/>
      <c r="AD6" s="143"/>
      <c r="AE6" s="148"/>
      <c r="AF6" s="28"/>
      <c r="AG6" s="28"/>
      <c r="AH6" s="28"/>
      <c r="AI6" s="29"/>
      <c r="AJ6" s="142"/>
      <c r="AK6" s="143"/>
      <c r="AL6" s="148"/>
      <c r="AM6" s="28"/>
      <c r="AN6" s="28"/>
      <c r="AO6" s="28"/>
      <c r="AP6" s="29"/>
      <c r="AQ6" s="142"/>
      <c r="AR6" s="162"/>
      <c r="AS6" s="148"/>
      <c r="AT6" s="28"/>
      <c r="AU6" s="28"/>
      <c r="AV6" s="28"/>
      <c r="AW6" s="29"/>
      <c r="AX6" s="142"/>
      <c r="AY6" s="186" t="s">
        <v>133</v>
      </c>
      <c r="AZ6" s="170"/>
      <c r="BA6" s="170"/>
      <c r="BB6" s="170"/>
      <c r="BC6" s="170"/>
      <c r="BD6" s="170"/>
      <c r="BE6" s="170"/>
      <c r="BF6" s="170"/>
      <c r="BG6" s="170"/>
      <c r="BH6" s="170"/>
      <c r="BI6" s="170"/>
      <c r="BJ6" s="170"/>
      <c r="BK6" s="170"/>
      <c r="BL6" s="170"/>
      <c r="BM6" s="170"/>
      <c r="BN6" s="170"/>
      <c r="BO6" s="172"/>
    </row>
    <row r="7">
      <c r="A7" s="52"/>
      <c r="B7" s="193" t="s">
        <v>17</v>
      </c>
      <c r="C7" s="24"/>
      <c r="D7" s="193" t="s">
        <v>134</v>
      </c>
      <c r="E7" s="24"/>
      <c r="F7" s="193" t="s">
        <v>135</v>
      </c>
      <c r="G7" s="24"/>
      <c r="H7" s="142"/>
      <c r="I7" s="143"/>
      <c r="J7" s="148"/>
      <c r="K7" s="28"/>
      <c r="L7" s="28"/>
      <c r="M7" s="28"/>
      <c r="N7" s="29"/>
      <c r="O7" s="142"/>
      <c r="P7" s="143"/>
      <c r="Q7" s="148"/>
      <c r="R7" s="28"/>
      <c r="S7" s="28"/>
      <c r="T7" s="28"/>
      <c r="U7" s="29"/>
      <c r="V7" s="142"/>
      <c r="W7" s="143"/>
      <c r="X7" s="148"/>
      <c r="Y7" s="28"/>
      <c r="Z7" s="28"/>
      <c r="AA7" s="28"/>
      <c r="AB7" s="29"/>
      <c r="AC7" s="142"/>
      <c r="AD7" s="143"/>
      <c r="AE7" s="148"/>
      <c r="AF7" s="28"/>
      <c r="AG7" s="28"/>
      <c r="AH7" s="28"/>
      <c r="AI7" s="29"/>
      <c r="AJ7" s="142"/>
      <c r="AK7" s="143"/>
      <c r="AL7" s="148"/>
      <c r="AM7" s="28"/>
      <c r="AN7" s="28"/>
      <c r="AO7" s="28"/>
      <c r="AP7" s="29"/>
      <c r="AQ7" s="142"/>
      <c r="AR7" s="162"/>
      <c r="AS7" s="148"/>
      <c r="AT7" s="28"/>
      <c r="AU7" s="28"/>
      <c r="AV7" s="28"/>
      <c r="AW7" s="29"/>
      <c r="AX7" s="142"/>
      <c r="AY7" s="186" t="s">
        <v>140</v>
      </c>
      <c r="AZ7" s="170"/>
      <c r="BA7" s="170"/>
      <c r="BB7" s="170"/>
      <c r="BC7" s="170"/>
      <c r="BD7" s="170"/>
      <c r="BE7" s="170"/>
      <c r="BF7" s="170"/>
      <c r="BG7" s="170"/>
      <c r="BH7" s="170"/>
      <c r="BI7" s="170"/>
      <c r="BJ7" s="170"/>
      <c r="BK7" s="170"/>
      <c r="BL7" s="170"/>
      <c r="BM7" s="170"/>
      <c r="BN7" s="170"/>
      <c r="BO7" s="172"/>
    </row>
    <row r="8">
      <c r="A8" s="52"/>
      <c r="B8" s="193">
        <v>0.0</v>
      </c>
      <c r="C8" s="24"/>
      <c r="D8" s="193" t="str">
        <f t="array" ref="D8">iferror(OFFSET(INDIRECT("'Class Charts'!" &amp; VLOOKUP($B3,'Class Charts'!$B:$N,9,False)),$D19,$B8+1),)</f>
        <v/>
      </c>
      <c r="E8" s="24"/>
      <c r="F8" s="193" t="str">
        <f t="array" ref="F8">iferror(OFFSET(INDIRECT("'Class Charts'!" &amp; VLOOKUP($B3,'Class Charts'!$B:$N,10,False)),$D19,$B8),)</f>
        <v/>
      </c>
      <c r="G8" s="24"/>
      <c r="H8" s="216"/>
      <c r="I8" s="143"/>
      <c r="J8" s="148"/>
      <c r="K8" s="28"/>
      <c r="L8" s="28"/>
      <c r="M8" s="28"/>
      <c r="N8" s="29"/>
      <c r="O8" s="142"/>
      <c r="P8" s="143"/>
      <c r="Q8" s="148"/>
      <c r="R8" s="28"/>
      <c r="S8" s="28"/>
      <c r="T8" s="28"/>
      <c r="U8" s="29"/>
      <c r="V8" s="142"/>
      <c r="W8" s="143"/>
      <c r="X8" s="148"/>
      <c r="Y8" s="28"/>
      <c r="Z8" s="28"/>
      <c r="AA8" s="28"/>
      <c r="AB8" s="29"/>
      <c r="AC8" s="142"/>
      <c r="AD8" s="143"/>
      <c r="AE8" s="148"/>
      <c r="AF8" s="28"/>
      <c r="AG8" s="28"/>
      <c r="AH8" s="28"/>
      <c r="AI8" s="29"/>
      <c r="AJ8" s="142"/>
      <c r="AK8" s="143"/>
      <c r="AL8" s="148"/>
      <c r="AM8" s="28"/>
      <c r="AN8" s="28"/>
      <c r="AO8" s="28"/>
      <c r="AP8" s="29"/>
      <c r="AQ8" s="142"/>
      <c r="AR8" s="157" t="s">
        <v>148</v>
      </c>
      <c r="AS8" s="28"/>
      <c r="AT8" s="28"/>
      <c r="AU8" s="28"/>
      <c r="AV8" s="28"/>
      <c r="AW8" s="29"/>
      <c r="AX8" s="142"/>
      <c r="AY8" s="186" t="s">
        <v>149</v>
      </c>
      <c r="AZ8" s="170"/>
      <c r="BA8" s="170"/>
      <c r="BB8" s="170"/>
      <c r="BC8" s="170"/>
      <c r="BD8" s="170"/>
      <c r="BE8" s="170"/>
      <c r="BF8" s="170"/>
      <c r="BG8" s="170"/>
      <c r="BH8" s="170"/>
      <c r="BI8" s="170"/>
      <c r="BJ8" s="170"/>
      <c r="BK8" s="170"/>
      <c r="BL8" s="170"/>
      <c r="BM8" s="170"/>
      <c r="BN8" s="170"/>
      <c r="BO8" s="172"/>
    </row>
    <row r="9">
      <c r="A9" s="52"/>
      <c r="B9" s="193">
        <v>1.0</v>
      </c>
      <c r="C9" s="24"/>
      <c r="D9" s="229" t="str">
        <f t="array" ref="D9">iferror(OFFSET(INDIRECT("'Class Charts'!" &amp; VLOOKUP($B3,'Class Charts'!$B:$N,9,False)),$D19,$B9+1)
+max(0,roundup(($G$5-B9+1)/4,0)),)</f>
        <v/>
      </c>
      <c r="E9" s="68"/>
      <c r="F9" s="193" t="str">
        <f t="array" ref="F9">iferror(OFFSET(INDIRECT("'Class Charts'!" &amp; VLOOKUP($B3,'Class Charts'!$B:$N,10,False)),$D19,$B9),)</f>
        <v/>
      </c>
      <c r="G9" s="24"/>
      <c r="H9" s="142"/>
      <c r="I9" s="143"/>
      <c r="J9" s="148"/>
      <c r="K9" s="28"/>
      <c r="L9" s="28"/>
      <c r="M9" s="28"/>
      <c r="N9" s="29"/>
      <c r="O9" s="142"/>
      <c r="P9" s="143"/>
      <c r="Q9" s="148"/>
      <c r="R9" s="28"/>
      <c r="S9" s="28"/>
      <c r="T9" s="28"/>
      <c r="U9" s="29"/>
      <c r="V9" s="142"/>
      <c r="W9" s="143"/>
      <c r="X9" s="148"/>
      <c r="Y9" s="28"/>
      <c r="Z9" s="28"/>
      <c r="AA9" s="28"/>
      <c r="AB9" s="29"/>
      <c r="AC9" s="142"/>
      <c r="AD9" s="143"/>
      <c r="AE9" s="148"/>
      <c r="AF9" s="28"/>
      <c r="AG9" s="28"/>
      <c r="AH9" s="28"/>
      <c r="AI9" s="29"/>
      <c r="AJ9" s="142"/>
      <c r="AK9" s="143"/>
      <c r="AL9" s="148"/>
      <c r="AM9" s="28"/>
      <c r="AN9" s="28"/>
      <c r="AO9" s="28"/>
      <c r="AP9" s="29"/>
      <c r="AQ9" s="142"/>
      <c r="AR9" s="162"/>
      <c r="AS9" s="148"/>
      <c r="AT9" s="28"/>
      <c r="AU9" s="28"/>
      <c r="AV9" s="28"/>
      <c r="AW9" s="29"/>
      <c r="AX9" s="142"/>
      <c r="AY9" s="186" t="s">
        <v>155</v>
      </c>
      <c r="AZ9" s="170"/>
      <c r="BA9" s="170"/>
      <c r="BB9" s="170"/>
      <c r="BC9" s="170"/>
      <c r="BD9" s="170"/>
      <c r="BE9" s="170"/>
      <c r="BF9" s="170"/>
      <c r="BG9" s="170"/>
      <c r="BH9" s="170"/>
      <c r="BI9" s="170"/>
      <c r="BJ9" s="170"/>
      <c r="BK9" s="170"/>
      <c r="BL9" s="170"/>
      <c r="BM9" s="170"/>
      <c r="BN9" s="170"/>
      <c r="BO9" s="172"/>
    </row>
    <row r="10">
      <c r="A10" s="52"/>
      <c r="B10" s="193">
        <v>2.0</v>
      </c>
      <c r="C10" s="24"/>
      <c r="D10" s="229" t="str">
        <f t="array" ref="D10">iferror(OFFSET(INDIRECT("'Class Charts'!" &amp; VLOOKUP($B3,'Class Charts'!$B:$N,9,False)),$D19,$B10+1)
+max(0,roundup(($G$5-B10+1)/4,0)),)</f>
        <v/>
      </c>
      <c r="E10" s="68"/>
      <c r="F10" s="193" t="str">
        <f t="array" ref="F10">iferror(OFFSET(INDIRECT("'Class Charts'!" &amp; VLOOKUP($B3,'Class Charts'!$B:$N,10,False)),$D19,$B10),)</f>
        <v/>
      </c>
      <c r="G10" s="24"/>
      <c r="H10" s="142"/>
      <c r="I10" s="143"/>
      <c r="J10" s="148"/>
      <c r="K10" s="28"/>
      <c r="L10" s="28"/>
      <c r="M10" s="28"/>
      <c r="N10" s="29"/>
      <c r="O10" s="142"/>
      <c r="P10" s="143"/>
      <c r="Q10" s="148"/>
      <c r="R10" s="28"/>
      <c r="S10" s="28"/>
      <c r="T10" s="28"/>
      <c r="U10" s="29"/>
      <c r="V10" s="142"/>
      <c r="W10" s="143"/>
      <c r="X10" s="148"/>
      <c r="Y10" s="28"/>
      <c r="Z10" s="28"/>
      <c r="AA10" s="28"/>
      <c r="AB10" s="29"/>
      <c r="AC10" s="142"/>
      <c r="AD10" s="143"/>
      <c r="AE10" s="148"/>
      <c r="AF10" s="28"/>
      <c r="AG10" s="28"/>
      <c r="AH10" s="28"/>
      <c r="AI10" s="29"/>
      <c r="AJ10" s="142"/>
      <c r="AK10" s="143"/>
      <c r="AL10" s="148"/>
      <c r="AM10" s="28"/>
      <c r="AN10" s="28"/>
      <c r="AO10" s="28"/>
      <c r="AP10" s="29"/>
      <c r="AQ10" s="142"/>
      <c r="AR10" s="162"/>
      <c r="AS10" s="148"/>
      <c r="AT10" s="28"/>
      <c r="AU10" s="28"/>
      <c r="AV10" s="28"/>
      <c r="AW10" s="29"/>
      <c r="AX10" s="142"/>
      <c r="AY10" s="186" t="s">
        <v>161</v>
      </c>
      <c r="AZ10" s="170"/>
      <c r="BA10" s="170"/>
      <c r="BB10" s="170"/>
      <c r="BC10" s="170"/>
      <c r="BD10" s="170"/>
      <c r="BE10" s="170"/>
      <c r="BF10" s="170"/>
      <c r="BG10" s="170"/>
      <c r="BH10" s="170"/>
      <c r="BI10" s="170"/>
      <c r="BJ10" s="170"/>
      <c r="BK10" s="170"/>
      <c r="BL10" s="170"/>
      <c r="BM10" s="170"/>
      <c r="BN10" s="170"/>
      <c r="BO10" s="172"/>
    </row>
    <row r="11">
      <c r="A11" s="52"/>
      <c r="B11" s="193">
        <v>3.0</v>
      </c>
      <c r="C11" s="24"/>
      <c r="D11" s="229" t="str">
        <f t="array" ref="D11">iferror(OFFSET(INDIRECT("'Class Charts'!" &amp; VLOOKUP($B3,'Class Charts'!$B:$N,9,False)),$D19,$B11+1)
+max(0,roundup(($G$5-B11+1)/4,0)),)</f>
        <v/>
      </c>
      <c r="E11" s="68"/>
      <c r="F11" s="193" t="str">
        <f t="array" ref="F11">iferror(OFFSET(INDIRECT("'Class Charts'!" &amp; VLOOKUP($B$3,'Class Charts'!$B:$N,10,False)),$D19,$B11),)</f>
        <v/>
      </c>
      <c r="G11" s="24"/>
      <c r="H11" s="142"/>
      <c r="I11" s="143"/>
      <c r="J11" s="148"/>
      <c r="K11" s="28"/>
      <c r="L11" s="28"/>
      <c r="M11" s="28"/>
      <c r="N11" s="29"/>
      <c r="O11" s="142"/>
      <c r="P11" s="143"/>
      <c r="Q11" s="148"/>
      <c r="R11" s="28"/>
      <c r="S11" s="28"/>
      <c r="T11" s="28"/>
      <c r="U11" s="29"/>
      <c r="V11" s="142"/>
      <c r="W11" s="143"/>
      <c r="X11" s="148"/>
      <c r="Y11" s="28"/>
      <c r="Z11" s="28"/>
      <c r="AA11" s="28"/>
      <c r="AB11" s="29"/>
      <c r="AC11" s="142"/>
      <c r="AD11" s="143"/>
      <c r="AE11" s="148"/>
      <c r="AF11" s="28"/>
      <c r="AG11" s="28"/>
      <c r="AH11" s="28"/>
      <c r="AI11" s="29"/>
      <c r="AJ11" s="142"/>
      <c r="AK11" s="143"/>
      <c r="AL11" s="148"/>
      <c r="AM11" s="28"/>
      <c r="AN11" s="28"/>
      <c r="AO11" s="28"/>
      <c r="AP11" s="29"/>
      <c r="AQ11" s="142"/>
      <c r="AR11" s="162"/>
      <c r="AS11" s="148"/>
      <c r="AT11" s="28"/>
      <c r="AU11" s="28"/>
      <c r="AV11" s="28"/>
      <c r="AW11" s="29"/>
      <c r="AX11" s="142"/>
      <c r="AY11" s="169"/>
      <c r="AZ11" s="170"/>
      <c r="BA11" s="170"/>
      <c r="BB11" s="170"/>
      <c r="BC11" s="170"/>
      <c r="BD11" s="170"/>
      <c r="BE11" s="170"/>
      <c r="BF11" s="170"/>
      <c r="BG11" s="170"/>
      <c r="BH11" s="170"/>
      <c r="BI11" s="170"/>
      <c r="BJ11" s="170"/>
      <c r="BK11" s="170"/>
      <c r="BL11" s="170"/>
      <c r="BM11" s="170"/>
      <c r="BN11" s="170"/>
      <c r="BO11" s="172"/>
    </row>
    <row r="12">
      <c r="A12" s="52"/>
      <c r="B12" s="193">
        <v>4.0</v>
      </c>
      <c r="C12" s="24"/>
      <c r="D12" s="229" t="str">
        <f t="array" ref="D12">iferror(OFFSET(INDIRECT("'Class Charts'!" &amp; VLOOKUP($B3,'Class Charts'!$B:$N,9,False)),$D19,$B12+1)
+max(0,roundup(($G$5-B12+1)/4,0)),)</f>
        <v/>
      </c>
      <c r="E12" s="68"/>
      <c r="F12" s="193" t="str">
        <f t="array" ref="F12">iferror(OFFSET(INDIRECT("'Class Charts'!" &amp; VLOOKUP($B$3,'Class Charts'!$B:$N,10,False)),$D19,$B12),)</f>
        <v/>
      </c>
      <c r="G12" s="24"/>
      <c r="H12" s="272"/>
      <c r="I12" s="274"/>
      <c r="J12" s="274"/>
      <c r="K12" s="274"/>
      <c r="L12" s="274"/>
      <c r="M12" s="274"/>
      <c r="N12" s="274"/>
      <c r="O12" s="52"/>
      <c r="P12" s="274"/>
      <c r="Q12" s="274"/>
      <c r="R12" s="274"/>
      <c r="S12" s="274"/>
      <c r="T12" s="274"/>
      <c r="U12" s="274"/>
      <c r="V12" s="52"/>
      <c r="W12" s="274"/>
      <c r="X12" s="274"/>
      <c r="Y12" s="274"/>
      <c r="Z12" s="274"/>
      <c r="AA12" s="274"/>
      <c r="AB12" s="274"/>
      <c r="AC12" s="52"/>
      <c r="AD12" s="274"/>
      <c r="AE12" s="274"/>
      <c r="AF12" s="274"/>
      <c r="AG12" s="274"/>
      <c r="AH12" s="274"/>
      <c r="AI12" s="274"/>
      <c r="AJ12" s="52"/>
      <c r="AK12" s="274"/>
      <c r="AL12" s="274"/>
      <c r="AM12" s="274"/>
      <c r="AN12" s="274"/>
      <c r="AO12" s="274"/>
      <c r="AP12" s="274"/>
      <c r="AQ12" s="52"/>
      <c r="AR12" s="162"/>
      <c r="AS12" s="148"/>
      <c r="AT12" s="28"/>
      <c r="AU12" s="28"/>
      <c r="AV12" s="28"/>
      <c r="AW12" s="29"/>
      <c r="AX12" s="52"/>
      <c r="AY12" s="169"/>
      <c r="AZ12" s="170"/>
      <c r="BA12" s="170"/>
      <c r="BB12" s="170"/>
      <c r="BC12" s="170"/>
      <c r="BD12" s="170"/>
      <c r="BE12" s="170"/>
      <c r="BF12" s="170"/>
      <c r="BG12" s="170"/>
      <c r="BH12" s="170"/>
      <c r="BI12" s="170"/>
      <c r="BJ12" s="170"/>
      <c r="BK12" s="170"/>
      <c r="BL12" s="170"/>
      <c r="BM12" s="170"/>
      <c r="BN12" s="170"/>
      <c r="BO12" s="172"/>
    </row>
    <row r="13">
      <c r="A13" s="52"/>
      <c r="B13" s="193">
        <v>5.0</v>
      </c>
      <c r="C13" s="24"/>
      <c r="D13" s="229" t="str">
        <f t="array" ref="D13">iferror(OFFSET(INDIRECT("'Class Charts'!" &amp; VLOOKUP($B3,'Class Charts'!$B:$N,9,False)),$D19,$B13+1)
+max(0,roundup(($G$5-B13+1)/4,0)),)</f>
        <v/>
      </c>
      <c r="E13" s="68"/>
      <c r="F13" s="193" t="str">
        <f t="array" ref="F13">iferror(OFFSET(INDIRECT("'Class Charts'!" &amp; VLOOKUP($B$3,'Class Charts'!$B:$N,10,False)),$D19,$B13),)</f>
        <v/>
      </c>
      <c r="G13" s="24"/>
      <c r="H13" s="272"/>
      <c r="I13" s="126" t="s">
        <v>200</v>
      </c>
      <c r="J13" s="292"/>
      <c r="K13" s="292"/>
      <c r="L13" s="131" t="str">
        <f>IF(ISBLANK(D13),,D13&amp;"/day")</f>
        <v/>
      </c>
      <c r="M13" s="292"/>
      <c r="N13" s="113" t="str">
        <f>"DC "&amp;10+$G5+B13</f>
        <v>DC 23</v>
      </c>
      <c r="O13" s="105"/>
      <c r="P13" s="95" t="s">
        <v>208</v>
      </c>
      <c r="Q13" s="96"/>
      <c r="R13" s="96"/>
      <c r="S13" s="96" t="str">
        <f>IF(ISBLANK(D14),,D14&amp;"/day")</f>
        <v/>
      </c>
      <c r="T13" s="96"/>
      <c r="U13" s="113" t="str">
        <f>"DC "&amp;10+$G5+B14</f>
        <v>DC 24</v>
      </c>
      <c r="V13" s="105"/>
      <c r="W13" s="95" t="s">
        <v>210</v>
      </c>
      <c r="X13" s="96"/>
      <c r="Y13" s="96"/>
      <c r="Z13" s="96" t="str">
        <f>IF(ISBLANK(D15),,D15&amp;"/day")</f>
        <v/>
      </c>
      <c r="AA13" s="96"/>
      <c r="AB13" s="113" t="str">
        <f>"DC "&amp;10+$G5+B15</f>
        <v>DC 25</v>
      </c>
      <c r="AC13" s="105"/>
      <c r="AD13" s="95" t="s">
        <v>212</v>
      </c>
      <c r="AE13" s="96"/>
      <c r="AF13" s="96"/>
      <c r="AG13" s="96" t="str">
        <f>IF(ISBLANK(D16),,D16&amp;"/day")</f>
        <v/>
      </c>
      <c r="AH13" s="96"/>
      <c r="AI13" s="113" t="str">
        <f>"DC "&amp;10+$G5+B16</f>
        <v>DC 26</v>
      </c>
      <c r="AJ13" s="105"/>
      <c r="AK13" s="95" t="s">
        <v>217</v>
      </c>
      <c r="AL13" s="96"/>
      <c r="AM13" s="96"/>
      <c r="AN13" s="96" t="str">
        <f>IF(ISBLANK(D17),,D17&amp;"/day")</f>
        <v/>
      </c>
      <c r="AO13" s="96"/>
      <c r="AP13" s="113" t="str">
        <f>"DC "&amp;10+$G5+B17</f>
        <v>DC 27</v>
      </c>
      <c r="AQ13" s="105"/>
      <c r="AR13" s="157" t="s">
        <v>223</v>
      </c>
      <c r="AS13" s="28"/>
      <c r="AT13" s="28"/>
      <c r="AU13" s="28"/>
      <c r="AV13" s="28"/>
      <c r="AW13" s="29"/>
      <c r="AX13" s="105"/>
      <c r="AY13" s="169"/>
      <c r="AZ13" s="170"/>
      <c r="BA13" s="170"/>
      <c r="BB13" s="170"/>
      <c r="BC13" s="170"/>
      <c r="BD13" s="170"/>
      <c r="BE13" s="170"/>
      <c r="BF13" s="170"/>
      <c r="BG13" s="170"/>
      <c r="BH13" s="170"/>
      <c r="BI13" s="170"/>
      <c r="BJ13" s="170"/>
      <c r="BK13" s="170"/>
      <c r="BL13" s="170"/>
      <c r="BM13" s="170"/>
      <c r="BN13" s="170"/>
      <c r="BO13" s="172"/>
    </row>
    <row r="14">
      <c r="A14" s="52"/>
      <c r="B14" s="193">
        <v>6.0</v>
      </c>
      <c r="C14" s="24"/>
      <c r="D14" s="229" t="str">
        <f t="array" ref="D14">iferror(OFFSET(INDIRECT("'Class Charts'!" &amp; VLOOKUP($B3,'Class Charts'!$B:$N,9,False)),$D19,$B14+1)
+max(0,roundup(($G$5-B14+1)/4,0)),)</f>
        <v/>
      </c>
      <c r="E14" s="68"/>
      <c r="F14" s="193" t="str">
        <f t="array" ref="F14">iferror(OFFSET(INDIRECT("'Class Charts'!" &amp; VLOOKUP($B$3,'Class Charts'!$B:$N,10,False)),$D19,$B14),)</f>
        <v/>
      </c>
      <c r="G14" s="24"/>
      <c r="H14" s="142"/>
      <c r="I14" s="143"/>
      <c r="J14" s="148"/>
      <c r="K14" s="28"/>
      <c r="L14" s="28"/>
      <c r="M14" s="28"/>
      <c r="N14" s="29"/>
      <c r="O14" s="142"/>
      <c r="P14" s="143"/>
      <c r="Q14" s="148"/>
      <c r="R14" s="28"/>
      <c r="S14" s="28"/>
      <c r="T14" s="28"/>
      <c r="U14" s="29"/>
      <c r="V14" s="142"/>
      <c r="W14" s="143"/>
      <c r="X14" s="148"/>
      <c r="Y14" s="28"/>
      <c r="Z14" s="28"/>
      <c r="AA14" s="28"/>
      <c r="AB14" s="29"/>
      <c r="AC14" s="142"/>
      <c r="AD14" s="143"/>
      <c r="AE14" s="148"/>
      <c r="AF14" s="28"/>
      <c r="AG14" s="28"/>
      <c r="AH14" s="28"/>
      <c r="AI14" s="29"/>
      <c r="AJ14" s="142"/>
      <c r="AK14" s="143"/>
      <c r="AL14" s="148"/>
      <c r="AM14" s="28"/>
      <c r="AN14" s="28"/>
      <c r="AO14" s="28"/>
      <c r="AP14" s="29"/>
      <c r="AQ14" s="142"/>
      <c r="AR14" s="162"/>
      <c r="AS14" s="148"/>
      <c r="AT14" s="28"/>
      <c r="AU14" s="28"/>
      <c r="AV14" s="28"/>
      <c r="AW14" s="29"/>
      <c r="AX14" s="142"/>
      <c r="AY14" s="169"/>
      <c r="AZ14" s="170"/>
      <c r="BA14" s="170"/>
      <c r="BB14" s="170"/>
      <c r="BC14" s="170"/>
      <c r="BD14" s="170"/>
      <c r="BE14" s="170"/>
      <c r="BF14" s="170"/>
      <c r="BG14" s="170"/>
      <c r="BH14" s="170"/>
      <c r="BI14" s="170"/>
      <c r="BJ14" s="170"/>
      <c r="BK14" s="170"/>
      <c r="BL14" s="170"/>
      <c r="BM14" s="170"/>
      <c r="BN14" s="170"/>
      <c r="BO14" s="172"/>
    </row>
    <row r="15">
      <c r="A15" s="52"/>
      <c r="B15" s="193">
        <v>7.0</v>
      </c>
      <c r="C15" s="24"/>
      <c r="D15" s="229" t="str">
        <f t="array" ref="D15">iferror(OFFSET(INDIRECT("'Class Charts'!" &amp; VLOOKUP($B3,'Class Charts'!$B:$N,9,False)),$D19,$B15+1)
+max(0,roundup(($G$5-B15+1)/4,0)),)</f>
        <v/>
      </c>
      <c r="E15" s="68"/>
      <c r="F15" s="193" t="str">
        <f t="array" ref="F15">iferror(OFFSET(INDIRECT("'Class Charts'!" &amp; VLOOKUP($B$3,'Class Charts'!$B:$N,10,False)),$D19,$B15),)</f>
        <v/>
      </c>
      <c r="G15" s="24"/>
      <c r="H15" s="142"/>
      <c r="I15" s="143"/>
      <c r="J15" s="148"/>
      <c r="K15" s="28"/>
      <c r="L15" s="28"/>
      <c r="M15" s="28"/>
      <c r="N15" s="29"/>
      <c r="O15" s="142"/>
      <c r="P15" s="143"/>
      <c r="Q15" s="148"/>
      <c r="R15" s="28"/>
      <c r="S15" s="28"/>
      <c r="T15" s="28"/>
      <c r="U15" s="29"/>
      <c r="V15" s="142"/>
      <c r="W15" s="143"/>
      <c r="X15" s="148"/>
      <c r="Y15" s="28"/>
      <c r="Z15" s="28"/>
      <c r="AA15" s="28"/>
      <c r="AB15" s="29"/>
      <c r="AC15" s="142"/>
      <c r="AD15" s="143"/>
      <c r="AE15" s="148"/>
      <c r="AF15" s="28"/>
      <c r="AG15" s="28"/>
      <c r="AH15" s="28"/>
      <c r="AI15" s="29"/>
      <c r="AJ15" s="142"/>
      <c r="AK15" s="143"/>
      <c r="AL15" s="148"/>
      <c r="AM15" s="28"/>
      <c r="AN15" s="28"/>
      <c r="AO15" s="28"/>
      <c r="AP15" s="29"/>
      <c r="AQ15" s="142"/>
      <c r="AR15" s="162"/>
      <c r="AS15" s="148" t="s">
        <v>259</v>
      </c>
      <c r="AT15" s="28"/>
      <c r="AU15" s="28"/>
      <c r="AV15" s="28"/>
      <c r="AW15" s="29"/>
      <c r="AX15" s="142"/>
      <c r="AY15" s="169"/>
      <c r="AZ15" s="170"/>
      <c r="BA15" s="170"/>
      <c r="BB15" s="170"/>
      <c r="BC15" s="170"/>
      <c r="BD15" s="170"/>
      <c r="BE15" s="170"/>
      <c r="BF15" s="170"/>
      <c r="BG15" s="170"/>
      <c r="BH15" s="170"/>
      <c r="BI15" s="170"/>
      <c r="BJ15" s="170"/>
      <c r="BK15" s="170"/>
      <c r="BL15" s="170"/>
      <c r="BM15" s="170"/>
      <c r="BN15" s="170"/>
      <c r="BO15" s="172"/>
    </row>
    <row r="16">
      <c r="A16" s="52"/>
      <c r="B16" s="193">
        <v>8.0</v>
      </c>
      <c r="C16" s="24"/>
      <c r="D16" s="229" t="str">
        <f t="array" ref="D16">iferror(OFFSET(INDIRECT("'Class Charts'!" &amp; VLOOKUP($B3,'Class Charts'!$B:$N,9,False)),$D19,$B16+1)
+max(0,roundup(($G$5-B16+1)/4,0)),)</f>
        <v/>
      </c>
      <c r="E16" s="68"/>
      <c r="F16" s="193" t="str">
        <f t="array" ref="F16">iferror(OFFSET(INDIRECT("'Class Charts'!" &amp; VLOOKUP($B$3,'Class Charts'!$B:$N,10,False)),$D19,$B16),)</f>
        <v/>
      </c>
      <c r="G16" s="24"/>
      <c r="H16" s="142"/>
      <c r="I16" s="143"/>
      <c r="J16" s="148"/>
      <c r="K16" s="28"/>
      <c r="L16" s="28"/>
      <c r="M16" s="28"/>
      <c r="N16" s="29"/>
      <c r="O16" s="142"/>
      <c r="P16" s="143"/>
      <c r="Q16" s="148"/>
      <c r="R16" s="28"/>
      <c r="S16" s="28"/>
      <c r="T16" s="28"/>
      <c r="U16" s="29"/>
      <c r="V16" s="142"/>
      <c r="W16" s="143"/>
      <c r="X16" s="148"/>
      <c r="Y16" s="28"/>
      <c r="Z16" s="28"/>
      <c r="AA16" s="28"/>
      <c r="AB16" s="29"/>
      <c r="AC16" s="142"/>
      <c r="AD16" s="143"/>
      <c r="AE16" s="148"/>
      <c r="AF16" s="28"/>
      <c r="AG16" s="28"/>
      <c r="AH16" s="28"/>
      <c r="AI16" s="29"/>
      <c r="AJ16" s="142"/>
      <c r="AK16" s="143"/>
      <c r="AL16" s="148"/>
      <c r="AM16" s="28"/>
      <c r="AN16" s="28"/>
      <c r="AO16" s="28"/>
      <c r="AP16" s="29"/>
      <c r="AQ16" s="142"/>
      <c r="AR16" s="162"/>
      <c r="AS16" s="148" t="s">
        <v>272</v>
      </c>
      <c r="AT16" s="28"/>
      <c r="AU16" s="28"/>
      <c r="AV16" s="28"/>
      <c r="AW16" s="29"/>
      <c r="AX16" s="142"/>
      <c r="AY16" s="169"/>
      <c r="AZ16" s="170"/>
      <c r="BA16" s="170"/>
      <c r="BB16" s="170"/>
      <c r="BC16" s="170"/>
      <c r="BD16" s="170"/>
      <c r="BE16" s="170"/>
      <c r="BF16" s="170"/>
      <c r="BG16" s="170"/>
      <c r="BH16" s="170"/>
      <c r="BI16" s="170"/>
      <c r="BJ16" s="170"/>
      <c r="BK16" s="170"/>
      <c r="BL16" s="170"/>
      <c r="BM16" s="170"/>
      <c r="BN16" s="170"/>
      <c r="BO16" s="172"/>
    </row>
    <row r="17">
      <c r="A17" s="52"/>
      <c r="B17" s="193">
        <v>9.0</v>
      </c>
      <c r="C17" s="24"/>
      <c r="D17" s="229" t="str">
        <f t="array" ref="D17">iferror(OFFSET(INDIRECT("'Class Charts'!" &amp; VLOOKUP($B3,'Class Charts'!$B:$N,9,False)),$D19,$B17+1)
+max(0,roundup(($G$5-B17+1)/4,0)),)</f>
        <v/>
      </c>
      <c r="E17" s="68"/>
      <c r="F17" s="193" t="str">
        <f t="array" ref="F17">iferror(OFFSET(INDIRECT("'Class Charts'!" &amp; VLOOKUP($B$3,'Class Charts'!$B:$N,10,False)),$D19,$B17),)</f>
        <v/>
      </c>
      <c r="G17" s="24"/>
      <c r="H17" s="142"/>
      <c r="I17" s="143"/>
      <c r="J17" s="148"/>
      <c r="K17" s="28"/>
      <c r="L17" s="28"/>
      <c r="M17" s="28"/>
      <c r="N17" s="29"/>
      <c r="O17" s="142"/>
      <c r="P17" s="143"/>
      <c r="Q17" s="148"/>
      <c r="R17" s="28"/>
      <c r="S17" s="28"/>
      <c r="T17" s="28"/>
      <c r="U17" s="29"/>
      <c r="V17" s="142"/>
      <c r="W17" s="143"/>
      <c r="X17" s="148"/>
      <c r="Y17" s="28"/>
      <c r="Z17" s="28"/>
      <c r="AA17" s="28"/>
      <c r="AB17" s="29"/>
      <c r="AC17" s="142"/>
      <c r="AD17" s="143"/>
      <c r="AE17" s="148"/>
      <c r="AF17" s="28"/>
      <c r="AG17" s="28"/>
      <c r="AH17" s="28"/>
      <c r="AI17" s="29"/>
      <c r="AJ17" s="142"/>
      <c r="AK17" s="143"/>
      <c r="AL17" s="148"/>
      <c r="AM17" s="28"/>
      <c r="AN17" s="28"/>
      <c r="AO17" s="28"/>
      <c r="AP17" s="29"/>
      <c r="AQ17" s="142"/>
      <c r="AR17" s="162"/>
      <c r="AS17" s="148" t="s">
        <v>285</v>
      </c>
      <c r="AT17" s="28"/>
      <c r="AU17" s="28"/>
      <c r="AV17" s="28"/>
      <c r="AW17" s="29"/>
      <c r="AX17" s="142"/>
      <c r="AY17" s="169"/>
      <c r="AZ17" s="170"/>
      <c r="BA17" s="170"/>
      <c r="BB17" s="170"/>
      <c r="BC17" s="170"/>
      <c r="BD17" s="170"/>
      <c r="BE17" s="170"/>
      <c r="BF17" s="170"/>
      <c r="BG17" s="170"/>
      <c r="BH17" s="170"/>
      <c r="BI17" s="170"/>
      <c r="BJ17" s="170"/>
      <c r="BK17" s="170"/>
      <c r="BL17" s="170"/>
      <c r="BM17" s="170"/>
      <c r="BN17" s="170"/>
      <c r="BO17" s="172"/>
    </row>
    <row r="18">
      <c r="A18" s="52"/>
      <c r="B18" s="349" t="s">
        <v>288</v>
      </c>
      <c r="D18" s="351" t="s">
        <v>141</v>
      </c>
      <c r="E18" s="352"/>
      <c r="F18" s="351" t="s">
        <v>17</v>
      </c>
      <c r="G18" s="355" t="s">
        <v>293</v>
      </c>
      <c r="H18" s="142"/>
      <c r="I18" s="143"/>
      <c r="J18" s="148"/>
      <c r="K18" s="28"/>
      <c r="L18" s="28"/>
      <c r="M18" s="28"/>
      <c r="N18" s="29"/>
      <c r="O18" s="142"/>
      <c r="P18" s="143"/>
      <c r="Q18" s="148"/>
      <c r="R18" s="28"/>
      <c r="S18" s="28"/>
      <c r="T18" s="28"/>
      <c r="U18" s="29"/>
      <c r="V18" s="142"/>
      <c r="W18" s="143"/>
      <c r="X18" s="148"/>
      <c r="Y18" s="28"/>
      <c r="Z18" s="28"/>
      <c r="AA18" s="28"/>
      <c r="AB18" s="29"/>
      <c r="AC18" s="142"/>
      <c r="AD18" s="143"/>
      <c r="AE18" s="148"/>
      <c r="AF18" s="28"/>
      <c r="AG18" s="28"/>
      <c r="AH18" s="28"/>
      <c r="AI18" s="29"/>
      <c r="AJ18" s="142"/>
      <c r="AK18" s="143"/>
      <c r="AL18" s="148"/>
      <c r="AM18" s="28"/>
      <c r="AN18" s="28"/>
      <c r="AO18" s="28"/>
      <c r="AP18" s="29"/>
      <c r="AQ18" s="142"/>
      <c r="AR18" s="157" t="s">
        <v>301</v>
      </c>
      <c r="AS18" s="28"/>
      <c r="AT18" s="28"/>
      <c r="AU18" s="28"/>
      <c r="AV18" s="28"/>
      <c r="AW18" s="29"/>
      <c r="AX18" s="142"/>
      <c r="AY18" s="169"/>
      <c r="AZ18" s="170"/>
      <c r="BA18" s="170"/>
      <c r="BB18" s="170"/>
      <c r="BC18" s="170"/>
      <c r="BD18" s="170"/>
      <c r="BE18" s="170"/>
      <c r="BF18" s="170"/>
      <c r="BG18" s="170"/>
      <c r="BH18" s="170"/>
      <c r="BI18" s="170"/>
      <c r="BJ18" s="170"/>
      <c r="BK18" s="170"/>
      <c r="BL18" s="170"/>
      <c r="BM18" s="170"/>
      <c r="BN18" s="170"/>
      <c r="BO18" s="172"/>
    </row>
    <row r="19">
      <c r="A19" s="52"/>
      <c r="D19" s="366">
        <f>MIN(20,SUM(F19:G19))</f>
        <v>0</v>
      </c>
      <c r="E19" s="369" t="s">
        <v>145</v>
      </c>
      <c r="F19" s="372" t="str">
        <f>iferror(VLOOKUP(B3,'Main Sheet'!$AE$2:$AQ$4,13,false),"")</f>
        <v/>
      </c>
      <c r="G19" s="374"/>
      <c r="H19" s="142"/>
      <c r="I19" s="143"/>
      <c r="J19" s="148"/>
      <c r="K19" s="28"/>
      <c r="L19" s="28"/>
      <c r="M19" s="28"/>
      <c r="N19" s="29"/>
      <c r="O19" s="142"/>
      <c r="P19" s="143"/>
      <c r="Q19" s="148"/>
      <c r="R19" s="28"/>
      <c r="S19" s="28"/>
      <c r="T19" s="28"/>
      <c r="U19" s="29"/>
      <c r="V19" s="142"/>
      <c r="W19" s="143"/>
      <c r="X19" s="148"/>
      <c r="Y19" s="28"/>
      <c r="Z19" s="28"/>
      <c r="AA19" s="28"/>
      <c r="AB19" s="29"/>
      <c r="AC19" s="142"/>
      <c r="AD19" s="143"/>
      <c r="AE19" s="148"/>
      <c r="AF19" s="28"/>
      <c r="AG19" s="28"/>
      <c r="AH19" s="28"/>
      <c r="AI19" s="29"/>
      <c r="AJ19" s="142"/>
      <c r="AK19" s="143"/>
      <c r="AL19" s="148"/>
      <c r="AM19" s="28"/>
      <c r="AN19" s="28"/>
      <c r="AO19" s="28"/>
      <c r="AP19" s="29"/>
      <c r="AQ19" s="142"/>
      <c r="AR19" s="162"/>
      <c r="AS19" s="148"/>
      <c r="AT19" s="28"/>
      <c r="AU19" s="28"/>
      <c r="AV19" s="28"/>
      <c r="AW19" s="29"/>
      <c r="AX19" s="142"/>
      <c r="AY19" s="169"/>
      <c r="AZ19" s="170"/>
      <c r="BA19" s="170"/>
      <c r="BB19" s="170"/>
      <c r="BC19" s="170"/>
      <c r="BD19" s="170"/>
      <c r="BE19" s="170"/>
      <c r="BF19" s="170"/>
      <c r="BG19" s="170"/>
      <c r="BH19" s="170"/>
      <c r="BI19" s="170"/>
      <c r="BJ19" s="170"/>
      <c r="BK19" s="170"/>
      <c r="BL19" s="170"/>
      <c r="BM19" s="170"/>
      <c r="BN19" s="170"/>
      <c r="BO19" s="172"/>
    </row>
    <row r="20">
      <c r="A20" s="52"/>
      <c r="B20" s="381" t="s">
        <v>318</v>
      </c>
      <c r="C20" s="195"/>
      <c r="D20" s="351" t="s">
        <v>141</v>
      </c>
      <c r="E20" s="383"/>
      <c r="F20" s="351" t="s">
        <v>17</v>
      </c>
      <c r="G20" s="351" t="s">
        <v>293</v>
      </c>
      <c r="H20" s="142"/>
      <c r="I20" s="143"/>
      <c r="J20" s="148"/>
      <c r="K20" s="28"/>
      <c r="L20" s="28"/>
      <c r="M20" s="28"/>
      <c r="N20" s="29"/>
      <c r="O20" s="142"/>
      <c r="P20" s="143"/>
      <c r="Q20" s="148"/>
      <c r="R20" s="28"/>
      <c r="S20" s="28"/>
      <c r="T20" s="28"/>
      <c r="U20" s="29"/>
      <c r="V20" s="142"/>
      <c r="W20" s="143"/>
      <c r="X20" s="148"/>
      <c r="Y20" s="28"/>
      <c r="Z20" s="28"/>
      <c r="AA20" s="28"/>
      <c r="AB20" s="29"/>
      <c r="AC20" s="142"/>
      <c r="AD20" s="143"/>
      <c r="AE20" s="148"/>
      <c r="AF20" s="28"/>
      <c r="AG20" s="28"/>
      <c r="AH20" s="28"/>
      <c r="AI20" s="29"/>
      <c r="AJ20" s="142"/>
      <c r="AK20" s="143"/>
      <c r="AL20" s="148"/>
      <c r="AM20" s="28"/>
      <c r="AN20" s="28"/>
      <c r="AO20" s="28"/>
      <c r="AP20" s="29"/>
      <c r="AQ20" s="142"/>
      <c r="AR20" s="162"/>
      <c r="AS20" s="148"/>
      <c r="AT20" s="28"/>
      <c r="AU20" s="28"/>
      <c r="AV20" s="28"/>
      <c r="AW20" s="29"/>
      <c r="AX20" s="142"/>
      <c r="AY20" s="169"/>
      <c r="AZ20" s="170"/>
      <c r="BA20" s="170"/>
      <c r="BB20" s="170"/>
      <c r="BC20" s="170"/>
      <c r="BD20" s="170"/>
      <c r="BE20" s="170"/>
      <c r="BF20" s="170"/>
      <c r="BG20" s="170"/>
      <c r="BH20" s="170"/>
      <c r="BI20" s="170"/>
      <c r="BJ20" s="170"/>
      <c r="BK20" s="170"/>
      <c r="BL20" s="170"/>
      <c r="BM20" s="170"/>
      <c r="BN20" s="170"/>
      <c r="BO20" s="172"/>
    </row>
    <row r="21">
      <c r="A21" s="52"/>
      <c r="D21" s="366">
        <f>SUM(F21:G21)-iferror(abs('Main Sheet'!$Y$39),"")</f>
        <v>0</v>
      </c>
      <c r="E21" s="369" t="s">
        <v>145</v>
      </c>
      <c r="F21" s="395"/>
      <c r="G21" s="396"/>
      <c r="H21" s="142"/>
      <c r="I21" s="143"/>
      <c r="J21" s="148"/>
      <c r="K21" s="28"/>
      <c r="L21" s="28"/>
      <c r="M21" s="28"/>
      <c r="N21" s="29"/>
      <c r="O21" s="142"/>
      <c r="P21" s="143"/>
      <c r="Q21" s="148"/>
      <c r="R21" s="28"/>
      <c r="S21" s="28"/>
      <c r="T21" s="28"/>
      <c r="U21" s="29"/>
      <c r="V21" s="142"/>
      <c r="W21" s="143"/>
      <c r="X21" s="148"/>
      <c r="Y21" s="28"/>
      <c r="Z21" s="28"/>
      <c r="AA21" s="28"/>
      <c r="AB21" s="29"/>
      <c r="AC21" s="142"/>
      <c r="AD21" s="143"/>
      <c r="AE21" s="148"/>
      <c r="AF21" s="28"/>
      <c r="AG21" s="28"/>
      <c r="AH21" s="28"/>
      <c r="AI21" s="29"/>
      <c r="AJ21" s="142"/>
      <c r="AK21" s="143"/>
      <c r="AL21" s="148"/>
      <c r="AM21" s="28"/>
      <c r="AN21" s="28"/>
      <c r="AO21" s="28"/>
      <c r="AP21" s="29"/>
      <c r="AQ21" s="142"/>
      <c r="AR21" s="162"/>
      <c r="AS21" s="148"/>
      <c r="AT21" s="28"/>
      <c r="AU21" s="28"/>
      <c r="AV21" s="28"/>
      <c r="AW21" s="29"/>
      <c r="AX21" s="142"/>
      <c r="AY21" s="400"/>
      <c r="AZ21" s="401"/>
      <c r="BA21" s="401"/>
      <c r="BB21" s="401"/>
      <c r="BC21" s="401"/>
      <c r="BD21" s="401"/>
      <c r="BE21" s="401"/>
      <c r="BF21" s="401"/>
      <c r="BG21" s="401"/>
      <c r="BH21" s="401"/>
      <c r="BI21" s="401"/>
      <c r="BJ21" s="401"/>
      <c r="BK21" s="401"/>
      <c r="BL21" s="401"/>
      <c r="BM21" s="401"/>
      <c r="BN21" s="401"/>
      <c r="BO21" s="403"/>
    </row>
    <row r="22">
      <c r="A22" s="52"/>
      <c r="B22" s="404"/>
      <c r="C22" s="404"/>
      <c r="D22" s="404"/>
      <c r="E22" s="404"/>
      <c r="F22" s="404"/>
      <c r="G22" s="404"/>
      <c r="H22" s="404"/>
      <c r="I22" s="404"/>
      <c r="J22" s="404"/>
      <c r="K22" s="404"/>
      <c r="L22" s="86"/>
      <c r="M22" s="86"/>
      <c r="N22" s="86"/>
      <c r="O22" s="128"/>
      <c r="P22" s="86"/>
      <c r="Q22" s="86"/>
      <c r="R22" s="86"/>
      <c r="S22" s="86"/>
      <c r="T22" s="86"/>
      <c r="U22" s="86"/>
      <c r="V22" s="128"/>
      <c r="W22" s="86"/>
      <c r="X22" s="86"/>
      <c r="Y22" s="86"/>
      <c r="Z22" s="86"/>
      <c r="AA22" s="86"/>
      <c r="AB22" s="86"/>
      <c r="AC22" s="128"/>
      <c r="AD22" s="86"/>
      <c r="AE22" s="86"/>
      <c r="AF22" s="86"/>
      <c r="AG22" s="86"/>
      <c r="AH22" s="86"/>
      <c r="AI22" s="86"/>
      <c r="AJ22" s="128"/>
      <c r="AK22" s="86"/>
      <c r="AL22" s="86"/>
      <c r="AM22" s="86"/>
      <c r="AN22" s="86"/>
      <c r="AO22" s="86"/>
      <c r="AP22" s="86"/>
      <c r="AQ22" s="128"/>
      <c r="AR22" s="86"/>
      <c r="AS22" s="86"/>
      <c r="AT22" s="86"/>
      <c r="AU22" s="86"/>
      <c r="AV22" s="86"/>
      <c r="AW22" s="86"/>
      <c r="AX22" s="86"/>
      <c r="AY22" s="86"/>
      <c r="AZ22" s="86"/>
      <c r="BA22" s="86"/>
      <c r="BB22" s="86"/>
      <c r="BC22" s="86"/>
      <c r="BD22" s="86"/>
      <c r="BE22" s="86"/>
      <c r="BF22" s="86"/>
      <c r="BG22" s="86"/>
      <c r="BH22" s="86"/>
      <c r="BI22" s="86"/>
      <c r="BJ22" s="86"/>
      <c r="BK22" s="86"/>
      <c r="BL22" s="86"/>
      <c r="BM22" s="86"/>
      <c r="BN22" s="86"/>
      <c r="BO22" s="86"/>
    </row>
    <row r="23">
      <c r="A23" s="52"/>
      <c r="B23" s="56" t="s">
        <v>355</v>
      </c>
      <c r="C23" s="60"/>
      <c r="D23" s="60"/>
      <c r="E23" s="60"/>
      <c r="F23" s="60"/>
      <c r="G23" s="63"/>
      <c r="H23" s="70" t="s">
        <v>356</v>
      </c>
      <c r="I23" s="413"/>
      <c r="J23" s="413"/>
      <c r="K23" s="413"/>
      <c r="L23" s="413"/>
      <c r="M23" s="413"/>
      <c r="N23" s="413"/>
      <c r="O23" s="413"/>
      <c r="P23" s="413"/>
      <c r="Q23" s="413"/>
      <c r="R23" s="413"/>
      <c r="S23" s="413"/>
      <c r="T23" s="413"/>
      <c r="U23" s="413"/>
      <c r="V23" s="413"/>
      <c r="W23" s="413"/>
      <c r="X23" s="413"/>
      <c r="Y23" s="413"/>
      <c r="Z23" s="413"/>
      <c r="AA23" s="413"/>
      <c r="AB23" s="413"/>
      <c r="AC23" s="417" t="s">
        <v>48</v>
      </c>
      <c r="AD23" s="413"/>
      <c r="AE23" s="413"/>
      <c r="AF23" s="413"/>
      <c r="AG23" s="413"/>
      <c r="AH23" s="413"/>
      <c r="AI23" s="413"/>
      <c r="AJ23" s="413"/>
      <c r="AK23" s="413"/>
      <c r="AL23" s="413"/>
      <c r="AM23" s="413"/>
      <c r="AN23" s="413"/>
      <c r="AO23" s="413"/>
      <c r="AP23" s="413"/>
      <c r="AQ23" s="413"/>
      <c r="AR23" s="413"/>
      <c r="AS23" s="413"/>
      <c r="AT23" s="417"/>
      <c r="AU23" s="413"/>
      <c r="AV23" s="413"/>
      <c r="AW23" s="413"/>
      <c r="AX23" s="413"/>
      <c r="AY23" s="413"/>
      <c r="AZ23" s="413"/>
      <c r="BA23" s="413"/>
      <c r="BB23" s="413"/>
      <c r="BC23" s="413"/>
      <c r="BD23" s="413"/>
      <c r="BE23" s="413"/>
      <c r="BF23" s="413"/>
      <c r="BG23" s="413"/>
      <c r="BH23" s="413"/>
      <c r="BI23" s="413"/>
      <c r="BJ23" s="413"/>
      <c r="BK23" s="413"/>
      <c r="BL23" s="413"/>
      <c r="BM23" s="413"/>
      <c r="BN23" s="413"/>
      <c r="BO23" s="422"/>
    </row>
    <row r="24">
      <c r="A24" s="52"/>
      <c r="B24" s="86"/>
      <c r="C24" s="86"/>
      <c r="D24" s="86"/>
      <c r="E24" s="86"/>
      <c r="F24" s="86"/>
      <c r="G24" s="86"/>
      <c r="H24" s="52"/>
      <c r="I24" s="95" t="s">
        <v>381</v>
      </c>
      <c r="J24" s="96"/>
      <c r="K24" s="96"/>
      <c r="L24" s="96"/>
      <c r="M24" s="96"/>
      <c r="N24" s="96"/>
      <c r="O24" s="105"/>
      <c r="P24" s="95" t="s">
        <v>66</v>
      </c>
      <c r="Q24" s="96"/>
      <c r="R24" s="96"/>
      <c r="S24" s="96"/>
      <c r="T24" s="96"/>
      <c r="U24" s="113" t="str">
        <f>"DC "&amp;10+G27+1</f>
        <v>DC 19</v>
      </c>
      <c r="V24" s="105"/>
      <c r="W24" s="95" t="s">
        <v>70</v>
      </c>
      <c r="X24" s="96"/>
      <c r="Y24" s="96"/>
      <c r="Z24" s="96"/>
      <c r="AA24" s="96"/>
      <c r="AB24" s="113" t="str">
        <f>"DC "&amp;10+G27+2</f>
        <v>DC 20</v>
      </c>
      <c r="AC24" s="105"/>
      <c r="AD24" s="95" t="s">
        <v>74</v>
      </c>
      <c r="AE24" s="96"/>
      <c r="AF24" s="96"/>
      <c r="AG24" s="96"/>
      <c r="AH24" s="96"/>
      <c r="AI24" s="113" t="str">
        <f>"DC "&amp;10+G27+3</f>
        <v>DC 21</v>
      </c>
      <c r="AJ24" s="105"/>
      <c r="AK24" s="95" t="s">
        <v>77</v>
      </c>
      <c r="AL24" s="96"/>
      <c r="AM24" s="96"/>
      <c r="AN24" s="96"/>
      <c r="AO24" s="96"/>
      <c r="AP24" s="113" t="str">
        <f>"DC "&amp;10+G27+4</f>
        <v>DC 22</v>
      </c>
      <c r="AQ24" s="105"/>
      <c r="AR24" s="126" t="s">
        <v>82</v>
      </c>
      <c r="AS24" s="128"/>
      <c r="AT24" s="128"/>
      <c r="AU24" s="128"/>
      <c r="AV24" s="128"/>
      <c r="AW24" s="128"/>
      <c r="AX24" s="105"/>
      <c r="AY24" s="130"/>
      <c r="AZ24" s="131"/>
      <c r="BA24" s="131"/>
      <c r="BB24" s="131"/>
      <c r="BC24" s="131"/>
      <c r="BD24" s="131"/>
      <c r="BE24" s="131"/>
      <c r="BF24" s="130"/>
      <c r="BG24" s="130" t="s">
        <v>392</v>
      </c>
      <c r="BH24" s="131"/>
      <c r="BI24" s="131"/>
      <c r="BJ24" s="131"/>
      <c r="BK24" s="131"/>
      <c r="BL24" s="131"/>
      <c r="BM24" s="131"/>
      <c r="BN24" s="131"/>
      <c r="BO24" s="135"/>
    </row>
    <row r="25">
      <c r="A25" s="52"/>
      <c r="B25" s="138" t="s">
        <v>46</v>
      </c>
      <c r="C25" s="67"/>
      <c r="D25" s="67"/>
      <c r="E25" s="67"/>
      <c r="F25" s="67"/>
      <c r="G25" s="69"/>
      <c r="H25" s="142"/>
      <c r="I25" s="143"/>
      <c r="J25" s="148" t="s">
        <v>398</v>
      </c>
      <c r="K25" s="28"/>
      <c r="L25" s="28"/>
      <c r="M25" s="28"/>
      <c r="N25" s="29"/>
      <c r="O25" s="142"/>
      <c r="P25" s="143"/>
      <c r="Q25" s="148" t="s">
        <v>401</v>
      </c>
      <c r="R25" s="28"/>
      <c r="S25" s="28"/>
      <c r="T25" s="28"/>
      <c r="U25" s="29"/>
      <c r="V25" s="142"/>
      <c r="W25" s="143"/>
      <c r="X25" s="148" t="s">
        <v>403</v>
      </c>
      <c r="Y25" s="28"/>
      <c r="Z25" s="28"/>
      <c r="AA25" s="28"/>
      <c r="AB25" s="29"/>
      <c r="AC25" s="142"/>
      <c r="AD25" s="143"/>
      <c r="AE25" s="148"/>
      <c r="AF25" s="28"/>
      <c r="AG25" s="28"/>
      <c r="AH25" s="28"/>
      <c r="AI25" s="29"/>
      <c r="AJ25" s="142"/>
      <c r="AK25" s="143"/>
      <c r="AL25" s="148"/>
      <c r="AM25" s="28"/>
      <c r="AN25" s="28"/>
      <c r="AO25" s="28"/>
      <c r="AP25" s="29"/>
      <c r="AQ25" s="142"/>
      <c r="AR25" s="157" t="s">
        <v>106</v>
      </c>
      <c r="AS25" s="28"/>
      <c r="AT25" s="28"/>
      <c r="AU25" s="28"/>
      <c r="AV25" s="28"/>
      <c r="AW25" s="29"/>
      <c r="AX25" s="142"/>
      <c r="AY25" s="428"/>
      <c r="AZ25" s="159"/>
      <c r="BA25" s="159"/>
      <c r="BB25" s="159"/>
      <c r="BC25" s="159"/>
      <c r="BD25" s="159"/>
      <c r="BE25" s="159"/>
      <c r="BF25" s="159"/>
      <c r="BG25" s="159"/>
      <c r="BH25" s="159"/>
      <c r="BI25" s="159"/>
      <c r="BJ25" s="159"/>
      <c r="BK25" s="159"/>
      <c r="BL25" s="159"/>
      <c r="BM25" s="159"/>
      <c r="BN25" s="159"/>
      <c r="BO25" s="161"/>
    </row>
    <row r="26">
      <c r="A26" s="52"/>
      <c r="B26" s="111"/>
      <c r="C26" s="114"/>
      <c r="D26" s="114"/>
      <c r="E26" s="114"/>
      <c r="F26" s="114"/>
      <c r="G26" s="68"/>
      <c r="H26" s="142"/>
      <c r="I26" s="143"/>
      <c r="J26" s="148" t="s">
        <v>415</v>
      </c>
      <c r="K26" s="28"/>
      <c r="L26" s="28"/>
      <c r="M26" s="28"/>
      <c r="N26" s="29"/>
      <c r="O26" s="142"/>
      <c r="P26" s="143"/>
      <c r="Q26" s="148" t="s">
        <v>417</v>
      </c>
      <c r="R26" s="28"/>
      <c r="S26" s="28"/>
      <c r="T26" s="28"/>
      <c r="U26" s="29"/>
      <c r="V26" s="142"/>
      <c r="W26" s="143"/>
      <c r="X26" s="148" t="s">
        <v>419</v>
      </c>
      <c r="Y26" s="28"/>
      <c r="Z26" s="28"/>
      <c r="AA26" s="28"/>
      <c r="AB26" s="29"/>
      <c r="AC26" s="142"/>
      <c r="AD26" s="143"/>
      <c r="AE26" s="148"/>
      <c r="AF26" s="28"/>
      <c r="AG26" s="28"/>
      <c r="AH26" s="28"/>
      <c r="AI26" s="29"/>
      <c r="AJ26" s="142"/>
      <c r="AK26" s="143"/>
      <c r="AL26" s="148"/>
      <c r="AM26" s="28"/>
      <c r="AN26" s="28"/>
      <c r="AO26" s="28"/>
      <c r="AP26" s="29"/>
      <c r="AQ26" s="142"/>
      <c r="AR26" s="162"/>
      <c r="AS26" s="148"/>
      <c r="AT26" s="28"/>
      <c r="AU26" s="28"/>
      <c r="AV26" s="28"/>
      <c r="AW26" s="29"/>
      <c r="AX26" s="142"/>
      <c r="AY26" s="169"/>
      <c r="AZ26" s="170"/>
      <c r="BA26" s="170"/>
      <c r="BB26" s="170"/>
      <c r="BC26" s="170"/>
      <c r="BD26" s="170"/>
      <c r="BE26" s="170"/>
      <c r="BF26" s="170"/>
      <c r="BG26" s="170"/>
      <c r="BH26" s="170"/>
      <c r="BI26" s="170"/>
      <c r="BJ26" s="170"/>
      <c r="BK26" s="170"/>
      <c r="BL26" s="170"/>
      <c r="BM26" s="170"/>
      <c r="BN26" s="170"/>
      <c r="BO26" s="172"/>
    </row>
    <row r="27">
      <c r="A27" s="52"/>
      <c r="B27" s="173" t="s">
        <v>113</v>
      </c>
      <c r="C27" s="23"/>
      <c r="D27" s="173" t="s">
        <v>114</v>
      </c>
      <c r="E27" s="23"/>
      <c r="F27" s="24"/>
      <c r="G27" s="178">
        <f>VLOOKUP(D27,'Main Sheet'!$E$9:$G$14,3,false)</f>
        <v>8</v>
      </c>
      <c r="H27" s="142"/>
      <c r="I27" s="143"/>
      <c r="J27" s="148"/>
      <c r="K27" s="28"/>
      <c r="L27" s="28"/>
      <c r="M27" s="28"/>
      <c r="N27" s="29"/>
      <c r="O27" s="142"/>
      <c r="P27" s="143"/>
      <c r="Q27" s="148" t="s">
        <v>432</v>
      </c>
      <c r="R27" s="28"/>
      <c r="S27" s="28"/>
      <c r="T27" s="28"/>
      <c r="U27" s="29"/>
      <c r="V27" s="142"/>
      <c r="W27" s="143"/>
      <c r="X27" s="148"/>
      <c r="Y27" s="28"/>
      <c r="Z27" s="28"/>
      <c r="AA27" s="28"/>
      <c r="AB27" s="29"/>
      <c r="AC27" s="142"/>
      <c r="AD27" s="143"/>
      <c r="AE27" s="148"/>
      <c r="AF27" s="28"/>
      <c r="AG27" s="28"/>
      <c r="AH27" s="28"/>
      <c r="AI27" s="29"/>
      <c r="AJ27" s="142"/>
      <c r="AK27" s="143"/>
      <c r="AL27" s="148"/>
      <c r="AM27" s="28"/>
      <c r="AN27" s="28"/>
      <c r="AO27" s="28"/>
      <c r="AP27" s="29"/>
      <c r="AQ27" s="142"/>
      <c r="AR27" s="162"/>
      <c r="AS27" s="148"/>
      <c r="AT27" s="28"/>
      <c r="AU27" s="28"/>
      <c r="AV27" s="28"/>
      <c r="AW27" s="29"/>
      <c r="AX27" s="142"/>
      <c r="AY27" s="169"/>
      <c r="AZ27" s="170"/>
      <c r="BA27" s="170"/>
      <c r="BB27" s="170"/>
      <c r="BC27" s="170"/>
      <c r="BD27" s="170"/>
      <c r="BE27" s="170"/>
      <c r="BF27" s="170"/>
      <c r="BG27" s="170"/>
      <c r="BH27" s="170"/>
      <c r="BI27" s="170"/>
      <c r="BJ27" s="170"/>
      <c r="BK27" s="170"/>
      <c r="BL27" s="170"/>
      <c r="BM27" s="170"/>
      <c r="BN27" s="170"/>
      <c r="BO27" s="172"/>
    </row>
    <row r="28">
      <c r="A28" s="52"/>
      <c r="B28" s="349" t="s">
        <v>288</v>
      </c>
      <c r="D28" s="351" t="s">
        <v>141</v>
      </c>
      <c r="E28" s="352"/>
      <c r="F28" s="351" t="s">
        <v>17</v>
      </c>
      <c r="G28" s="355" t="s">
        <v>293</v>
      </c>
      <c r="H28" s="142"/>
      <c r="I28" s="143"/>
      <c r="J28" s="148"/>
      <c r="K28" s="28"/>
      <c r="L28" s="28"/>
      <c r="M28" s="28"/>
      <c r="N28" s="29"/>
      <c r="O28" s="142"/>
      <c r="P28" s="143"/>
      <c r="Q28" s="148" t="s">
        <v>442</v>
      </c>
      <c r="R28" s="28"/>
      <c r="S28" s="28"/>
      <c r="T28" s="28"/>
      <c r="U28" s="29"/>
      <c r="V28" s="142"/>
      <c r="W28" s="143"/>
      <c r="X28" s="148"/>
      <c r="Y28" s="28"/>
      <c r="Z28" s="28"/>
      <c r="AA28" s="28"/>
      <c r="AB28" s="29"/>
      <c r="AC28" s="142"/>
      <c r="AD28" s="143"/>
      <c r="AE28" s="148"/>
      <c r="AF28" s="28"/>
      <c r="AG28" s="28"/>
      <c r="AH28" s="28"/>
      <c r="AI28" s="29"/>
      <c r="AJ28" s="142"/>
      <c r="AK28" s="143"/>
      <c r="AL28" s="148"/>
      <c r="AM28" s="28"/>
      <c r="AN28" s="28"/>
      <c r="AO28" s="28"/>
      <c r="AP28" s="29"/>
      <c r="AQ28" s="142"/>
      <c r="AR28" s="162"/>
      <c r="AS28" s="148"/>
      <c r="AT28" s="28"/>
      <c r="AU28" s="28"/>
      <c r="AV28" s="28"/>
      <c r="AW28" s="29"/>
      <c r="AX28" s="142"/>
      <c r="AY28" s="169"/>
      <c r="AZ28" s="170"/>
      <c r="BA28" s="170"/>
      <c r="BB28" s="170"/>
      <c r="BC28" s="170"/>
      <c r="BD28" s="170"/>
      <c r="BE28" s="170"/>
      <c r="BF28" s="170"/>
      <c r="BG28" s="170"/>
      <c r="BH28" s="170"/>
      <c r="BI28" s="170"/>
      <c r="BJ28" s="170"/>
      <c r="BK28" s="170"/>
      <c r="BL28" s="170"/>
      <c r="BM28" s="170"/>
      <c r="BN28" s="170"/>
      <c r="BO28" s="172"/>
    </row>
    <row r="29">
      <c r="A29" s="52"/>
      <c r="D29" s="366">
        <f>MIN(20,SUM(F29:G29))</f>
        <v>3</v>
      </c>
      <c r="E29" s="369" t="s">
        <v>145</v>
      </c>
      <c r="F29" s="372">
        <f>iferror(VLOOKUP(B25,'Main Sheet'!AE2:AQ4,13,false),"")</f>
        <v>3</v>
      </c>
      <c r="G29" s="374"/>
      <c r="H29" s="142"/>
      <c r="I29" s="143"/>
      <c r="J29" s="148"/>
      <c r="K29" s="28"/>
      <c r="L29" s="28"/>
      <c r="M29" s="28"/>
      <c r="N29" s="29"/>
      <c r="O29" s="142"/>
      <c r="P29" s="143"/>
      <c r="Q29" s="148" t="s">
        <v>456</v>
      </c>
      <c r="R29" s="28"/>
      <c r="S29" s="28"/>
      <c r="T29" s="28"/>
      <c r="U29" s="29"/>
      <c r="V29" s="142"/>
      <c r="W29" s="143"/>
      <c r="X29" s="148"/>
      <c r="Y29" s="28"/>
      <c r="Z29" s="28"/>
      <c r="AA29" s="28"/>
      <c r="AB29" s="29"/>
      <c r="AC29" s="142"/>
      <c r="AD29" s="143"/>
      <c r="AE29" s="148"/>
      <c r="AF29" s="28"/>
      <c r="AG29" s="28"/>
      <c r="AH29" s="28"/>
      <c r="AI29" s="29"/>
      <c r="AJ29" s="142"/>
      <c r="AK29" s="143"/>
      <c r="AL29" s="148"/>
      <c r="AM29" s="28"/>
      <c r="AN29" s="28"/>
      <c r="AO29" s="28"/>
      <c r="AP29" s="29"/>
      <c r="AQ29" s="142"/>
      <c r="AR29" s="162"/>
      <c r="AS29" s="148"/>
      <c r="AT29" s="28"/>
      <c r="AU29" s="28"/>
      <c r="AV29" s="28"/>
      <c r="AW29" s="29"/>
      <c r="AX29" s="142"/>
      <c r="AY29" s="169"/>
      <c r="AZ29" s="170"/>
      <c r="BA29" s="170"/>
      <c r="BB29" s="170"/>
      <c r="BC29" s="170"/>
      <c r="BD29" s="170"/>
      <c r="BE29" s="170"/>
      <c r="BF29" s="170"/>
      <c r="BG29" s="170"/>
      <c r="BH29" s="170"/>
      <c r="BI29" s="170"/>
      <c r="BJ29" s="170"/>
      <c r="BK29" s="170"/>
      <c r="BL29" s="170"/>
      <c r="BM29" s="170"/>
      <c r="BN29" s="170"/>
      <c r="BO29" s="172"/>
    </row>
    <row r="30">
      <c r="A30" s="52"/>
      <c r="B30" s="381" t="s">
        <v>459</v>
      </c>
      <c r="C30" s="195"/>
      <c r="D30" s="351" t="s">
        <v>141</v>
      </c>
      <c r="E30" s="383"/>
      <c r="F30" s="351" t="s">
        <v>17</v>
      </c>
      <c r="G30" s="351" t="s">
        <v>293</v>
      </c>
      <c r="H30" s="216"/>
      <c r="I30" s="143"/>
      <c r="J30" s="148"/>
      <c r="K30" s="28"/>
      <c r="L30" s="28"/>
      <c r="M30" s="28"/>
      <c r="N30" s="29"/>
      <c r="O30" s="142"/>
      <c r="P30" s="143"/>
      <c r="Q30" s="148" t="s">
        <v>462</v>
      </c>
      <c r="R30" s="28"/>
      <c r="S30" s="28"/>
      <c r="T30" s="28"/>
      <c r="U30" s="29"/>
      <c r="V30" s="142"/>
      <c r="W30" s="143"/>
      <c r="X30" s="148"/>
      <c r="Y30" s="28"/>
      <c r="Z30" s="28"/>
      <c r="AA30" s="28"/>
      <c r="AB30" s="29"/>
      <c r="AC30" s="142"/>
      <c r="AD30" s="143"/>
      <c r="AE30" s="148"/>
      <c r="AF30" s="28"/>
      <c r="AG30" s="28"/>
      <c r="AH30" s="28"/>
      <c r="AI30" s="29"/>
      <c r="AJ30" s="142"/>
      <c r="AK30" s="143"/>
      <c r="AL30" s="148"/>
      <c r="AM30" s="28"/>
      <c r="AN30" s="28"/>
      <c r="AO30" s="28"/>
      <c r="AP30" s="29"/>
      <c r="AQ30" s="142"/>
      <c r="AR30" s="157" t="s">
        <v>148</v>
      </c>
      <c r="AS30" s="28"/>
      <c r="AT30" s="28"/>
      <c r="AU30" s="28"/>
      <c r="AV30" s="28"/>
      <c r="AW30" s="29"/>
      <c r="AX30" s="142"/>
      <c r="AY30" s="169"/>
      <c r="AZ30" s="170"/>
      <c r="BA30" s="170"/>
      <c r="BB30" s="170"/>
      <c r="BC30" s="170"/>
      <c r="BD30" s="170"/>
      <c r="BE30" s="170"/>
      <c r="BF30" s="170"/>
      <c r="BG30" s="170"/>
      <c r="BH30" s="170"/>
      <c r="BI30" s="170"/>
      <c r="BJ30" s="170"/>
      <c r="BK30" s="170"/>
      <c r="BL30" s="170"/>
      <c r="BM30" s="170"/>
      <c r="BN30" s="170"/>
      <c r="BO30" s="172"/>
    </row>
    <row r="31">
      <c r="A31" s="52"/>
      <c r="D31" s="366">
        <f>SUM(F31:G31)-iferror(abs('Main Sheet'!$Y$39),"")</f>
        <v>0</v>
      </c>
      <c r="E31" s="369" t="s">
        <v>145</v>
      </c>
      <c r="F31" s="372"/>
      <c r="G31" s="396"/>
      <c r="H31" s="142"/>
      <c r="I31" s="143"/>
      <c r="J31" s="148"/>
      <c r="K31" s="28"/>
      <c r="L31" s="28"/>
      <c r="M31" s="28"/>
      <c r="N31" s="29"/>
      <c r="O31" s="142"/>
      <c r="P31" s="143"/>
      <c r="Q31" s="148"/>
      <c r="R31" s="28"/>
      <c r="S31" s="28"/>
      <c r="T31" s="28"/>
      <c r="U31" s="29"/>
      <c r="V31" s="142"/>
      <c r="W31" s="143"/>
      <c r="X31" s="148"/>
      <c r="Y31" s="28"/>
      <c r="Z31" s="28"/>
      <c r="AA31" s="28"/>
      <c r="AB31" s="29"/>
      <c r="AC31" s="142"/>
      <c r="AD31" s="143"/>
      <c r="AE31" s="148"/>
      <c r="AF31" s="28"/>
      <c r="AG31" s="28"/>
      <c r="AH31" s="28"/>
      <c r="AI31" s="29"/>
      <c r="AJ31" s="142"/>
      <c r="AK31" s="143"/>
      <c r="AL31" s="148"/>
      <c r="AM31" s="28"/>
      <c r="AN31" s="28"/>
      <c r="AO31" s="28"/>
      <c r="AP31" s="29"/>
      <c r="AQ31" s="142"/>
      <c r="AR31" s="162"/>
      <c r="AS31" s="148"/>
      <c r="AT31" s="28"/>
      <c r="AU31" s="28"/>
      <c r="AV31" s="28"/>
      <c r="AW31" s="29"/>
      <c r="AX31" s="142"/>
      <c r="AY31" s="169"/>
      <c r="AZ31" s="170"/>
      <c r="BA31" s="170"/>
      <c r="BB31" s="170"/>
      <c r="BC31" s="170"/>
      <c r="BD31" s="170"/>
      <c r="BE31" s="170"/>
      <c r="BF31" s="170"/>
      <c r="BG31" s="170"/>
      <c r="BH31" s="170"/>
      <c r="BI31" s="170"/>
      <c r="BJ31" s="170"/>
      <c r="BK31" s="170"/>
      <c r="BL31" s="170"/>
      <c r="BM31" s="170"/>
      <c r="BN31" s="170"/>
      <c r="BO31" s="172"/>
    </row>
    <row r="32">
      <c r="A32" s="52"/>
      <c r="B32" s="52"/>
      <c r="C32" s="52"/>
      <c r="D32" s="52"/>
      <c r="E32" s="52"/>
      <c r="F32" s="52"/>
      <c r="G32" s="52"/>
      <c r="H32" s="142"/>
      <c r="I32" s="143"/>
      <c r="J32" s="148"/>
      <c r="K32" s="28"/>
      <c r="L32" s="28"/>
      <c r="M32" s="28"/>
      <c r="N32" s="29"/>
      <c r="O32" s="142"/>
      <c r="P32" s="143"/>
      <c r="Q32" s="148"/>
      <c r="R32" s="28"/>
      <c r="S32" s="28"/>
      <c r="T32" s="28"/>
      <c r="U32" s="29"/>
      <c r="V32" s="142"/>
      <c r="W32" s="143"/>
      <c r="X32" s="148"/>
      <c r="Y32" s="28"/>
      <c r="Z32" s="28"/>
      <c r="AA32" s="28"/>
      <c r="AB32" s="29"/>
      <c r="AC32" s="142"/>
      <c r="AD32" s="143"/>
      <c r="AE32" s="148"/>
      <c r="AF32" s="28"/>
      <c r="AG32" s="28"/>
      <c r="AH32" s="28"/>
      <c r="AI32" s="29"/>
      <c r="AJ32" s="142"/>
      <c r="AK32" s="143"/>
      <c r="AL32" s="148"/>
      <c r="AM32" s="28"/>
      <c r="AN32" s="28"/>
      <c r="AO32" s="28"/>
      <c r="AP32" s="29"/>
      <c r="AQ32" s="142"/>
      <c r="AR32" s="162"/>
      <c r="AS32" s="148"/>
      <c r="AT32" s="28"/>
      <c r="AU32" s="28"/>
      <c r="AV32" s="28"/>
      <c r="AW32" s="29"/>
      <c r="AX32" s="142"/>
      <c r="AY32" s="169"/>
      <c r="AZ32" s="170"/>
      <c r="BA32" s="170"/>
      <c r="BB32" s="170"/>
      <c r="BC32" s="170"/>
      <c r="BD32" s="170"/>
      <c r="BE32" s="170"/>
      <c r="BF32" s="170"/>
      <c r="BG32" s="170"/>
      <c r="BH32" s="170"/>
      <c r="BI32" s="170"/>
      <c r="BJ32" s="170"/>
      <c r="BK32" s="170"/>
      <c r="BL32" s="170"/>
      <c r="BM32" s="170"/>
      <c r="BN32" s="170"/>
      <c r="BO32" s="172"/>
    </row>
    <row r="33">
      <c r="A33" s="52"/>
      <c r="B33" s="52"/>
      <c r="C33" s="52"/>
      <c r="D33" s="52"/>
      <c r="E33" s="52"/>
      <c r="F33" s="52"/>
      <c r="G33" s="52"/>
      <c r="H33" s="142"/>
      <c r="I33" s="143"/>
      <c r="J33" s="148"/>
      <c r="K33" s="28"/>
      <c r="L33" s="28"/>
      <c r="M33" s="28"/>
      <c r="N33" s="29"/>
      <c r="O33" s="142"/>
      <c r="P33" s="143"/>
      <c r="Q33" s="148"/>
      <c r="R33" s="28"/>
      <c r="S33" s="28"/>
      <c r="T33" s="28"/>
      <c r="U33" s="29"/>
      <c r="V33" s="142"/>
      <c r="W33" s="143"/>
      <c r="X33" s="148"/>
      <c r="Y33" s="28"/>
      <c r="Z33" s="28"/>
      <c r="AA33" s="28"/>
      <c r="AB33" s="29"/>
      <c r="AC33" s="142"/>
      <c r="AD33" s="143"/>
      <c r="AE33" s="148"/>
      <c r="AF33" s="28"/>
      <c r="AG33" s="28"/>
      <c r="AH33" s="28"/>
      <c r="AI33" s="29"/>
      <c r="AJ33" s="142"/>
      <c r="AK33" s="143"/>
      <c r="AL33" s="148"/>
      <c r="AM33" s="28"/>
      <c r="AN33" s="28"/>
      <c r="AO33" s="28"/>
      <c r="AP33" s="29"/>
      <c r="AQ33" s="142"/>
      <c r="AR33" s="162"/>
      <c r="AS33" s="148"/>
      <c r="AT33" s="28"/>
      <c r="AU33" s="28"/>
      <c r="AV33" s="28"/>
      <c r="AW33" s="29"/>
      <c r="AX33" s="142"/>
      <c r="AY33" s="169"/>
      <c r="AZ33" s="170"/>
      <c r="BA33" s="170"/>
      <c r="BB33" s="170"/>
      <c r="BC33" s="170"/>
      <c r="BD33" s="170"/>
      <c r="BE33" s="170"/>
      <c r="BF33" s="170"/>
      <c r="BG33" s="170"/>
      <c r="BH33" s="170"/>
      <c r="BI33" s="170"/>
      <c r="BJ33" s="170"/>
      <c r="BK33" s="170"/>
      <c r="BL33" s="170"/>
      <c r="BM33" s="170"/>
      <c r="BN33" s="170"/>
      <c r="BO33" s="172"/>
    </row>
    <row r="34">
      <c r="A34" s="52"/>
      <c r="B34" s="52"/>
      <c r="C34" s="52"/>
      <c r="D34" s="52"/>
      <c r="E34" s="52"/>
      <c r="F34" s="52"/>
      <c r="G34" s="52"/>
      <c r="H34" s="272"/>
      <c r="I34" s="274"/>
      <c r="J34" s="274"/>
      <c r="K34" s="274"/>
      <c r="L34" s="274"/>
      <c r="M34" s="274"/>
      <c r="N34" s="274"/>
      <c r="O34" s="52"/>
      <c r="P34" s="274"/>
      <c r="Q34" s="274"/>
      <c r="R34" s="274"/>
      <c r="S34" s="274"/>
      <c r="T34" s="274"/>
      <c r="U34" s="274"/>
      <c r="V34" s="52"/>
      <c r="W34" s="274"/>
      <c r="X34" s="274"/>
      <c r="Y34" s="274"/>
      <c r="Z34" s="274"/>
      <c r="AA34" s="274"/>
      <c r="AB34" s="274"/>
      <c r="AC34" s="52"/>
      <c r="AD34" s="274"/>
      <c r="AE34" s="274"/>
      <c r="AF34" s="274"/>
      <c r="AG34" s="274"/>
      <c r="AH34" s="274"/>
      <c r="AI34" s="274"/>
      <c r="AJ34" s="52"/>
      <c r="AK34" s="274"/>
      <c r="AL34" s="274"/>
      <c r="AM34" s="274"/>
      <c r="AN34" s="274"/>
      <c r="AO34" s="274"/>
      <c r="AP34" s="274"/>
      <c r="AQ34" s="52"/>
      <c r="AR34" s="162"/>
      <c r="AS34" s="148"/>
      <c r="AT34" s="28"/>
      <c r="AU34" s="28"/>
      <c r="AV34" s="28"/>
      <c r="AW34" s="29"/>
      <c r="AX34" s="216"/>
      <c r="AY34" s="169"/>
      <c r="AZ34" s="170"/>
      <c r="BA34" s="170"/>
      <c r="BB34" s="170"/>
      <c r="BC34" s="170"/>
      <c r="BD34" s="170"/>
      <c r="BE34" s="170"/>
      <c r="BF34" s="170"/>
      <c r="BG34" s="170"/>
      <c r="BH34" s="170"/>
      <c r="BI34" s="170"/>
      <c r="BJ34" s="170"/>
      <c r="BK34" s="170"/>
      <c r="BL34" s="170"/>
      <c r="BM34" s="170"/>
      <c r="BN34" s="170"/>
      <c r="BO34" s="172"/>
    </row>
    <row r="35">
      <c r="A35" s="52"/>
      <c r="B35" s="52"/>
      <c r="C35" s="52"/>
      <c r="D35" s="52"/>
      <c r="E35" s="52"/>
      <c r="F35" s="52"/>
      <c r="G35" s="52"/>
      <c r="H35" s="272"/>
      <c r="I35" s="126" t="s">
        <v>200</v>
      </c>
      <c r="J35" s="292"/>
      <c r="K35" s="292"/>
      <c r="L35" s="131"/>
      <c r="M35" s="292"/>
      <c r="N35" s="113" t="str">
        <f>"DC "&amp;10+G27+5</f>
        <v>DC 23</v>
      </c>
      <c r="O35" s="105"/>
      <c r="P35" s="95" t="s">
        <v>208</v>
      </c>
      <c r="Q35" s="96"/>
      <c r="R35" s="96"/>
      <c r="S35" s="96"/>
      <c r="T35" s="96"/>
      <c r="U35" s="113" t="str">
        <f>"DC "&amp;10+G27+6</f>
        <v>DC 24</v>
      </c>
      <c r="V35" s="105"/>
      <c r="W35" s="95" t="s">
        <v>210</v>
      </c>
      <c r="X35" s="96"/>
      <c r="Y35" s="96"/>
      <c r="Z35" s="96"/>
      <c r="AA35" s="96"/>
      <c r="AB35" s="113" t="str">
        <f>"DC "&amp;10+G27+7</f>
        <v>DC 25</v>
      </c>
      <c r="AC35" s="105"/>
      <c r="AD35" s="95" t="s">
        <v>212</v>
      </c>
      <c r="AE35" s="96"/>
      <c r="AF35" s="96"/>
      <c r="AG35" s="96"/>
      <c r="AH35" s="96"/>
      <c r="AI35" s="113" t="str">
        <f>"DC "&amp;10+G27+8</f>
        <v>DC 26</v>
      </c>
      <c r="AJ35" s="105"/>
      <c r="AK35" s="95" t="s">
        <v>217</v>
      </c>
      <c r="AL35" s="96"/>
      <c r="AM35" s="96"/>
      <c r="AN35" s="96"/>
      <c r="AO35" s="96"/>
      <c r="AP35" s="113" t="str">
        <f>"DC "&amp;10+G27+9</f>
        <v>DC 27</v>
      </c>
      <c r="AQ35" s="105"/>
      <c r="AR35" s="157" t="s">
        <v>223</v>
      </c>
      <c r="AS35" s="28"/>
      <c r="AT35" s="28"/>
      <c r="AU35" s="28"/>
      <c r="AV35" s="28"/>
      <c r="AW35" s="29"/>
      <c r="AX35" s="445"/>
      <c r="AY35" s="169"/>
      <c r="AZ35" s="170"/>
      <c r="BA35" s="170"/>
      <c r="BB35" s="170"/>
      <c r="BC35" s="170"/>
      <c r="BD35" s="170"/>
      <c r="BE35" s="170"/>
      <c r="BF35" s="170"/>
      <c r="BG35" s="170"/>
      <c r="BH35" s="170"/>
      <c r="BI35" s="170"/>
      <c r="BJ35" s="170"/>
      <c r="BK35" s="170"/>
      <c r="BL35" s="170"/>
      <c r="BM35" s="170"/>
      <c r="BN35" s="170"/>
      <c r="BO35" s="172"/>
    </row>
    <row r="36">
      <c r="A36" s="52"/>
      <c r="B36" s="52"/>
      <c r="C36" s="52"/>
      <c r="D36" s="52"/>
      <c r="E36" s="52"/>
      <c r="F36" s="52"/>
      <c r="G36" s="52"/>
      <c r="H36" s="142"/>
      <c r="I36" s="143"/>
      <c r="J36" s="148"/>
      <c r="K36" s="28"/>
      <c r="L36" s="28"/>
      <c r="M36" s="28"/>
      <c r="N36" s="29"/>
      <c r="O36" s="142"/>
      <c r="P36" s="143"/>
      <c r="Q36" s="148"/>
      <c r="R36" s="28"/>
      <c r="S36" s="28"/>
      <c r="T36" s="28"/>
      <c r="U36" s="29"/>
      <c r="V36" s="142"/>
      <c r="W36" s="143"/>
      <c r="X36" s="148"/>
      <c r="Y36" s="28"/>
      <c r="Z36" s="28"/>
      <c r="AA36" s="28"/>
      <c r="AB36" s="29"/>
      <c r="AC36" s="142"/>
      <c r="AD36" s="143"/>
      <c r="AE36" s="148"/>
      <c r="AF36" s="28"/>
      <c r="AG36" s="28"/>
      <c r="AH36" s="28"/>
      <c r="AI36" s="29"/>
      <c r="AJ36" s="142"/>
      <c r="AK36" s="143"/>
      <c r="AL36" s="148"/>
      <c r="AM36" s="28"/>
      <c r="AN36" s="28"/>
      <c r="AO36" s="28"/>
      <c r="AP36" s="29"/>
      <c r="AQ36" s="142"/>
      <c r="AR36" s="162"/>
      <c r="AS36" s="148"/>
      <c r="AT36" s="28"/>
      <c r="AU36" s="28"/>
      <c r="AV36" s="28"/>
      <c r="AW36" s="29"/>
      <c r="AX36" s="142"/>
      <c r="AY36" s="169"/>
      <c r="AZ36" s="170"/>
      <c r="BA36" s="170"/>
      <c r="BB36" s="170"/>
      <c r="BC36" s="170"/>
      <c r="BD36" s="170"/>
      <c r="BE36" s="170"/>
      <c r="BF36" s="170"/>
      <c r="BG36" s="170"/>
      <c r="BH36" s="170"/>
      <c r="BI36" s="170"/>
      <c r="BJ36" s="170"/>
      <c r="BK36" s="170"/>
      <c r="BL36" s="170"/>
      <c r="BM36" s="170"/>
      <c r="BN36" s="170"/>
      <c r="BO36" s="172"/>
    </row>
    <row r="37">
      <c r="A37" s="52"/>
      <c r="B37" s="52"/>
      <c r="C37" s="52"/>
      <c r="D37" s="52"/>
      <c r="E37" s="52"/>
      <c r="F37" s="52"/>
      <c r="G37" s="52"/>
      <c r="H37" s="142"/>
      <c r="I37" s="143"/>
      <c r="J37" s="148"/>
      <c r="K37" s="28"/>
      <c r="L37" s="28"/>
      <c r="M37" s="28"/>
      <c r="N37" s="29"/>
      <c r="O37" s="142"/>
      <c r="P37" s="143"/>
      <c r="Q37" s="148"/>
      <c r="R37" s="28"/>
      <c r="S37" s="28"/>
      <c r="T37" s="28"/>
      <c r="U37" s="29"/>
      <c r="V37" s="142"/>
      <c r="W37" s="143"/>
      <c r="X37" s="148"/>
      <c r="Y37" s="28"/>
      <c r="Z37" s="28"/>
      <c r="AA37" s="28"/>
      <c r="AB37" s="29"/>
      <c r="AC37" s="142"/>
      <c r="AD37" s="143"/>
      <c r="AE37" s="148"/>
      <c r="AF37" s="28"/>
      <c r="AG37" s="28"/>
      <c r="AH37" s="28"/>
      <c r="AI37" s="29"/>
      <c r="AJ37" s="142"/>
      <c r="AK37" s="143"/>
      <c r="AL37" s="148"/>
      <c r="AM37" s="28"/>
      <c r="AN37" s="28"/>
      <c r="AO37" s="28"/>
      <c r="AP37" s="29"/>
      <c r="AQ37" s="142"/>
      <c r="AR37" s="162"/>
      <c r="AS37" s="148" t="s">
        <v>259</v>
      </c>
      <c r="AT37" s="28"/>
      <c r="AU37" s="28"/>
      <c r="AV37" s="28"/>
      <c r="AW37" s="29"/>
      <c r="AX37" s="142"/>
      <c r="AY37" s="169"/>
      <c r="AZ37" s="170"/>
      <c r="BA37" s="170"/>
      <c r="BB37" s="170"/>
      <c r="BC37" s="170"/>
      <c r="BD37" s="170"/>
      <c r="BE37" s="170"/>
      <c r="BF37" s="170"/>
      <c r="BG37" s="170"/>
      <c r="BH37" s="170"/>
      <c r="BI37" s="170"/>
      <c r="BJ37" s="170"/>
      <c r="BK37" s="170"/>
      <c r="BL37" s="170"/>
      <c r="BM37" s="170"/>
      <c r="BN37" s="170"/>
      <c r="BO37" s="172"/>
    </row>
    <row r="38">
      <c r="A38" s="52"/>
      <c r="B38" s="52"/>
      <c r="C38" s="52"/>
      <c r="D38" s="52"/>
      <c r="E38" s="52"/>
      <c r="F38" s="52"/>
      <c r="G38" s="52"/>
      <c r="H38" s="142"/>
      <c r="I38" s="143"/>
      <c r="J38" s="148"/>
      <c r="K38" s="28"/>
      <c r="L38" s="28"/>
      <c r="M38" s="28"/>
      <c r="N38" s="29"/>
      <c r="O38" s="142"/>
      <c r="P38" s="143"/>
      <c r="Q38" s="148"/>
      <c r="R38" s="28"/>
      <c r="S38" s="28"/>
      <c r="T38" s="28"/>
      <c r="U38" s="29"/>
      <c r="V38" s="142"/>
      <c r="W38" s="143"/>
      <c r="X38" s="148"/>
      <c r="Y38" s="28"/>
      <c r="Z38" s="28"/>
      <c r="AA38" s="28"/>
      <c r="AB38" s="29"/>
      <c r="AC38" s="142"/>
      <c r="AD38" s="143"/>
      <c r="AE38" s="148"/>
      <c r="AF38" s="28"/>
      <c r="AG38" s="28"/>
      <c r="AH38" s="28"/>
      <c r="AI38" s="29"/>
      <c r="AJ38" s="142"/>
      <c r="AK38" s="143"/>
      <c r="AL38" s="148"/>
      <c r="AM38" s="28"/>
      <c r="AN38" s="28"/>
      <c r="AO38" s="28"/>
      <c r="AP38" s="29"/>
      <c r="AQ38" s="142"/>
      <c r="AR38" s="162"/>
      <c r="AS38" s="148" t="s">
        <v>272</v>
      </c>
      <c r="AT38" s="28"/>
      <c r="AU38" s="28"/>
      <c r="AV38" s="28"/>
      <c r="AW38" s="29"/>
      <c r="AX38" s="142"/>
      <c r="AY38" s="169"/>
      <c r="AZ38" s="170"/>
      <c r="BA38" s="170"/>
      <c r="BB38" s="170"/>
      <c r="BC38" s="170"/>
      <c r="BD38" s="170"/>
      <c r="BE38" s="170"/>
      <c r="BF38" s="170"/>
      <c r="BG38" s="170"/>
      <c r="BH38" s="170"/>
      <c r="BI38" s="170"/>
      <c r="BJ38" s="170"/>
      <c r="BK38" s="170"/>
      <c r="BL38" s="170"/>
      <c r="BM38" s="170"/>
      <c r="BN38" s="170"/>
      <c r="BO38" s="172"/>
    </row>
    <row r="39">
      <c r="A39" s="52"/>
      <c r="B39" s="52"/>
      <c r="C39" s="52"/>
      <c r="D39" s="52"/>
      <c r="E39" s="52"/>
      <c r="F39" s="52"/>
      <c r="G39" s="52"/>
      <c r="H39" s="142"/>
      <c r="I39" s="143"/>
      <c r="J39" s="148"/>
      <c r="K39" s="28"/>
      <c r="L39" s="28"/>
      <c r="M39" s="28"/>
      <c r="N39" s="29"/>
      <c r="O39" s="142"/>
      <c r="P39" s="143"/>
      <c r="Q39" s="148"/>
      <c r="R39" s="28"/>
      <c r="S39" s="28"/>
      <c r="T39" s="28"/>
      <c r="U39" s="29"/>
      <c r="V39" s="142"/>
      <c r="W39" s="143"/>
      <c r="X39" s="148"/>
      <c r="Y39" s="28"/>
      <c r="Z39" s="28"/>
      <c r="AA39" s="28"/>
      <c r="AB39" s="29"/>
      <c r="AC39" s="142"/>
      <c r="AD39" s="143"/>
      <c r="AE39" s="148"/>
      <c r="AF39" s="28"/>
      <c r="AG39" s="28"/>
      <c r="AH39" s="28"/>
      <c r="AI39" s="29"/>
      <c r="AJ39" s="142"/>
      <c r="AK39" s="143"/>
      <c r="AL39" s="148"/>
      <c r="AM39" s="28"/>
      <c r="AN39" s="28"/>
      <c r="AO39" s="28"/>
      <c r="AP39" s="29"/>
      <c r="AQ39" s="142"/>
      <c r="AR39" s="162"/>
      <c r="AS39" s="148" t="s">
        <v>285</v>
      </c>
      <c r="AT39" s="28"/>
      <c r="AU39" s="28"/>
      <c r="AV39" s="28"/>
      <c r="AW39" s="29"/>
      <c r="AX39" s="142"/>
      <c r="AY39" s="169"/>
      <c r="AZ39" s="170"/>
      <c r="BA39" s="170"/>
      <c r="BB39" s="170"/>
      <c r="BC39" s="170"/>
      <c r="BD39" s="170"/>
      <c r="BE39" s="170"/>
      <c r="BF39" s="170"/>
      <c r="BG39" s="170"/>
      <c r="BH39" s="170"/>
      <c r="BI39" s="170"/>
      <c r="BJ39" s="170"/>
      <c r="BK39" s="170"/>
      <c r="BL39" s="170"/>
      <c r="BM39" s="170"/>
      <c r="BN39" s="170"/>
      <c r="BO39" s="172"/>
    </row>
    <row r="40">
      <c r="A40" s="52"/>
      <c r="B40" s="52"/>
      <c r="C40" s="52"/>
      <c r="D40" s="52"/>
      <c r="E40" s="52"/>
      <c r="F40" s="52"/>
      <c r="G40" s="52"/>
      <c r="H40" s="142"/>
      <c r="I40" s="143"/>
      <c r="J40" s="148"/>
      <c r="K40" s="28"/>
      <c r="L40" s="28"/>
      <c r="M40" s="28"/>
      <c r="N40" s="29"/>
      <c r="O40" s="142"/>
      <c r="P40" s="143"/>
      <c r="Q40" s="148"/>
      <c r="R40" s="28"/>
      <c r="S40" s="28"/>
      <c r="T40" s="28"/>
      <c r="U40" s="29"/>
      <c r="V40" s="142"/>
      <c r="W40" s="143"/>
      <c r="X40" s="148"/>
      <c r="Y40" s="28"/>
      <c r="Z40" s="28"/>
      <c r="AA40" s="28"/>
      <c r="AB40" s="29"/>
      <c r="AC40" s="142"/>
      <c r="AD40" s="143"/>
      <c r="AE40" s="148"/>
      <c r="AF40" s="28"/>
      <c r="AG40" s="28"/>
      <c r="AH40" s="28"/>
      <c r="AI40" s="29"/>
      <c r="AJ40" s="142"/>
      <c r="AK40" s="143"/>
      <c r="AL40" s="148"/>
      <c r="AM40" s="28"/>
      <c r="AN40" s="28"/>
      <c r="AO40" s="28"/>
      <c r="AP40" s="29"/>
      <c r="AQ40" s="142"/>
      <c r="AR40" s="157" t="s">
        <v>301</v>
      </c>
      <c r="AS40" s="28"/>
      <c r="AT40" s="28"/>
      <c r="AU40" s="28"/>
      <c r="AV40" s="28"/>
      <c r="AW40" s="29"/>
      <c r="AX40" s="142"/>
      <c r="AY40" s="169"/>
      <c r="AZ40" s="170"/>
      <c r="BA40" s="170"/>
      <c r="BB40" s="170"/>
      <c r="BC40" s="170"/>
      <c r="BD40" s="170"/>
      <c r="BE40" s="170"/>
      <c r="BF40" s="170"/>
      <c r="BG40" s="170"/>
      <c r="BH40" s="170"/>
      <c r="BI40" s="170"/>
      <c r="BJ40" s="170"/>
      <c r="BK40" s="170"/>
      <c r="BL40" s="170"/>
      <c r="BM40" s="170"/>
      <c r="BN40" s="170"/>
      <c r="BO40" s="172"/>
    </row>
    <row r="41">
      <c r="A41" s="52"/>
      <c r="B41" s="52"/>
      <c r="C41" s="52"/>
      <c r="D41" s="52"/>
      <c r="E41" s="52"/>
      <c r="F41" s="52"/>
      <c r="G41" s="52"/>
      <c r="H41" s="142"/>
      <c r="I41" s="143"/>
      <c r="J41" s="148"/>
      <c r="K41" s="28"/>
      <c r="L41" s="28"/>
      <c r="M41" s="28"/>
      <c r="N41" s="29"/>
      <c r="O41" s="142"/>
      <c r="P41" s="143"/>
      <c r="Q41" s="148"/>
      <c r="R41" s="28"/>
      <c r="S41" s="28"/>
      <c r="T41" s="28"/>
      <c r="U41" s="29"/>
      <c r="V41" s="142"/>
      <c r="W41" s="143"/>
      <c r="X41" s="148"/>
      <c r="Y41" s="28"/>
      <c r="Z41" s="28"/>
      <c r="AA41" s="28"/>
      <c r="AB41" s="29"/>
      <c r="AC41" s="142"/>
      <c r="AD41" s="143"/>
      <c r="AE41" s="148"/>
      <c r="AF41" s="28"/>
      <c r="AG41" s="28"/>
      <c r="AH41" s="28"/>
      <c r="AI41" s="29"/>
      <c r="AJ41" s="142"/>
      <c r="AK41" s="143"/>
      <c r="AL41" s="148"/>
      <c r="AM41" s="28"/>
      <c r="AN41" s="28"/>
      <c r="AO41" s="28"/>
      <c r="AP41" s="29"/>
      <c r="AQ41" s="142"/>
      <c r="AR41" s="162"/>
      <c r="AS41" s="148"/>
      <c r="AT41" s="28"/>
      <c r="AU41" s="28"/>
      <c r="AV41" s="28"/>
      <c r="AW41" s="29"/>
      <c r="AX41" s="142"/>
      <c r="AY41" s="169"/>
      <c r="AZ41" s="170"/>
      <c r="BA41" s="170"/>
      <c r="BB41" s="170"/>
      <c r="BC41" s="170"/>
      <c r="BD41" s="170"/>
      <c r="BE41" s="170"/>
      <c r="BF41" s="170"/>
      <c r="BG41" s="170"/>
      <c r="BH41" s="170"/>
      <c r="BI41" s="170"/>
      <c r="BJ41" s="170"/>
      <c r="BK41" s="170"/>
      <c r="BL41" s="170"/>
      <c r="BM41" s="170"/>
      <c r="BN41" s="170"/>
      <c r="BO41" s="172"/>
    </row>
    <row r="42">
      <c r="A42" s="52"/>
      <c r="B42" s="52"/>
      <c r="C42" s="52"/>
      <c r="D42" s="52"/>
      <c r="E42" s="52"/>
      <c r="F42" s="52"/>
      <c r="G42" s="52"/>
      <c r="H42" s="142"/>
      <c r="I42" s="143"/>
      <c r="J42" s="148"/>
      <c r="K42" s="28"/>
      <c r="L42" s="28"/>
      <c r="M42" s="28"/>
      <c r="N42" s="29"/>
      <c r="O42" s="142"/>
      <c r="P42" s="143"/>
      <c r="Q42" s="148"/>
      <c r="R42" s="28"/>
      <c r="S42" s="28"/>
      <c r="T42" s="28"/>
      <c r="U42" s="29"/>
      <c r="V42" s="142"/>
      <c r="W42" s="143"/>
      <c r="X42" s="148"/>
      <c r="Y42" s="28"/>
      <c r="Z42" s="28"/>
      <c r="AA42" s="28"/>
      <c r="AB42" s="29"/>
      <c r="AC42" s="142"/>
      <c r="AD42" s="143"/>
      <c r="AE42" s="148"/>
      <c r="AF42" s="28"/>
      <c r="AG42" s="28"/>
      <c r="AH42" s="28"/>
      <c r="AI42" s="29"/>
      <c r="AJ42" s="142"/>
      <c r="AK42" s="143"/>
      <c r="AL42" s="148"/>
      <c r="AM42" s="28"/>
      <c r="AN42" s="28"/>
      <c r="AO42" s="28"/>
      <c r="AP42" s="29"/>
      <c r="AQ42" s="142"/>
      <c r="AR42" s="162"/>
      <c r="AS42" s="148"/>
      <c r="AT42" s="28"/>
      <c r="AU42" s="28"/>
      <c r="AV42" s="28"/>
      <c r="AW42" s="29"/>
      <c r="AX42" s="142"/>
      <c r="AY42" s="169"/>
      <c r="AZ42" s="170"/>
      <c r="BA42" s="170"/>
      <c r="BB42" s="170"/>
      <c r="BC42" s="170"/>
      <c r="BD42" s="170"/>
      <c r="BE42" s="170"/>
      <c r="BF42" s="170"/>
      <c r="BG42" s="170"/>
      <c r="BH42" s="170"/>
      <c r="BI42" s="170"/>
      <c r="BJ42" s="170"/>
      <c r="BK42" s="170"/>
      <c r="BL42" s="170"/>
      <c r="BM42" s="170"/>
      <c r="BN42" s="170"/>
      <c r="BO42" s="172"/>
    </row>
    <row r="43">
      <c r="A43" s="52"/>
      <c r="B43" s="52"/>
      <c r="C43" s="52"/>
      <c r="D43" s="52"/>
      <c r="E43" s="52"/>
      <c r="F43" s="52"/>
      <c r="G43" s="52"/>
      <c r="H43" s="142"/>
      <c r="I43" s="143"/>
      <c r="J43" s="148"/>
      <c r="K43" s="28"/>
      <c r="L43" s="28"/>
      <c r="M43" s="28"/>
      <c r="N43" s="29"/>
      <c r="O43" s="142"/>
      <c r="P43" s="143"/>
      <c r="Q43" s="148"/>
      <c r="R43" s="28"/>
      <c r="S43" s="28"/>
      <c r="T43" s="28"/>
      <c r="U43" s="29"/>
      <c r="V43" s="142"/>
      <c r="W43" s="143"/>
      <c r="X43" s="148"/>
      <c r="Y43" s="28"/>
      <c r="Z43" s="28"/>
      <c r="AA43" s="28"/>
      <c r="AB43" s="29"/>
      <c r="AC43" s="142"/>
      <c r="AD43" s="143"/>
      <c r="AE43" s="148"/>
      <c r="AF43" s="28"/>
      <c r="AG43" s="28"/>
      <c r="AH43" s="28"/>
      <c r="AI43" s="29"/>
      <c r="AJ43" s="142"/>
      <c r="AK43" s="143"/>
      <c r="AL43" s="148"/>
      <c r="AM43" s="28"/>
      <c r="AN43" s="28"/>
      <c r="AO43" s="28"/>
      <c r="AP43" s="29"/>
      <c r="AQ43" s="142"/>
      <c r="AR43" s="162"/>
      <c r="AS43" s="148"/>
      <c r="AT43" s="28"/>
      <c r="AU43" s="28"/>
      <c r="AV43" s="28"/>
      <c r="AW43" s="29"/>
      <c r="AX43" s="142"/>
      <c r="AY43" s="400"/>
      <c r="AZ43" s="401"/>
      <c r="BA43" s="401"/>
      <c r="BB43" s="401"/>
      <c r="BC43" s="401"/>
      <c r="BD43" s="401"/>
      <c r="BE43" s="401"/>
      <c r="BF43" s="401"/>
      <c r="BG43" s="401"/>
      <c r="BH43" s="401"/>
      <c r="BI43" s="401"/>
      <c r="BJ43" s="401"/>
      <c r="BK43" s="401"/>
      <c r="BL43" s="401"/>
      <c r="BM43" s="401"/>
      <c r="BN43" s="401"/>
      <c r="BO43" s="403"/>
    </row>
    <row r="44">
      <c r="A44" s="52"/>
      <c r="B44" s="128"/>
      <c r="C44" s="128"/>
      <c r="D44" s="128"/>
      <c r="E44" s="128"/>
      <c r="F44" s="128"/>
      <c r="G44" s="128"/>
      <c r="H44" s="272"/>
      <c r="I44" s="86"/>
      <c r="J44" s="86"/>
      <c r="K44" s="86"/>
      <c r="L44" s="86"/>
      <c r="M44" s="86"/>
      <c r="N44" s="86"/>
      <c r="O44" s="128"/>
      <c r="P44" s="86"/>
      <c r="Q44" s="86"/>
      <c r="R44" s="86"/>
      <c r="S44" s="86"/>
      <c r="T44" s="86"/>
      <c r="U44" s="86"/>
      <c r="V44" s="128"/>
      <c r="W44" s="86"/>
      <c r="X44" s="86"/>
      <c r="Y44" s="86"/>
      <c r="Z44" s="86"/>
      <c r="AA44" s="86"/>
      <c r="AB44" s="86"/>
      <c r="AC44" s="128"/>
      <c r="AD44" s="86"/>
      <c r="AE44" s="86"/>
      <c r="AF44" s="86"/>
      <c r="AG44" s="86"/>
      <c r="AH44" s="86"/>
      <c r="AI44" s="86"/>
      <c r="AJ44" s="128"/>
      <c r="AK44" s="86"/>
      <c r="AL44" s="86"/>
      <c r="AM44" s="86"/>
      <c r="AN44" s="86"/>
      <c r="AO44" s="86"/>
      <c r="AP44" s="86"/>
      <c r="AQ44" s="128"/>
      <c r="AR44" s="86"/>
      <c r="AS44" s="86"/>
      <c r="AT44" s="86"/>
      <c r="AU44" s="86"/>
      <c r="AV44" s="86"/>
      <c r="AW44" s="86"/>
      <c r="AX44" s="86"/>
      <c r="AY44" s="86"/>
      <c r="AZ44" s="86"/>
      <c r="BA44" s="86"/>
      <c r="BB44" s="86"/>
      <c r="BC44" s="86"/>
      <c r="BD44" s="86"/>
      <c r="BE44" s="86"/>
      <c r="BF44" s="86"/>
      <c r="BG44" s="86"/>
      <c r="BH44" s="86"/>
      <c r="BI44" s="86"/>
      <c r="BJ44" s="86"/>
      <c r="BK44" s="86"/>
      <c r="BL44" s="86"/>
      <c r="BM44" s="86"/>
      <c r="BN44" s="86"/>
      <c r="BO44" s="86"/>
    </row>
    <row r="45">
      <c r="A45" s="52"/>
      <c r="B45" s="56" t="s">
        <v>577</v>
      </c>
      <c r="C45" s="60"/>
      <c r="D45" s="60"/>
      <c r="E45" s="60"/>
      <c r="F45" s="60"/>
      <c r="G45" s="63"/>
      <c r="H45" s="70" t="s">
        <v>579</v>
      </c>
      <c r="I45" s="413"/>
      <c r="J45" s="413"/>
      <c r="K45" s="413"/>
      <c r="L45" s="413"/>
      <c r="M45" s="413"/>
      <c r="N45" s="413"/>
      <c r="O45" s="413"/>
      <c r="P45" s="413"/>
      <c r="Q45" s="413"/>
      <c r="R45" s="413"/>
      <c r="S45" s="413"/>
      <c r="T45" s="413"/>
      <c r="U45" s="413"/>
      <c r="V45" s="413"/>
      <c r="W45" s="413"/>
      <c r="X45" s="413"/>
      <c r="Y45" s="413"/>
      <c r="Z45" s="413"/>
      <c r="AA45" s="413"/>
      <c r="AB45" s="413"/>
      <c r="AC45" s="417" t="s">
        <v>48</v>
      </c>
      <c r="AD45" s="413"/>
      <c r="AE45" s="413"/>
      <c r="AF45" s="413"/>
      <c r="AG45" s="413"/>
      <c r="AH45" s="413"/>
      <c r="AI45" s="413"/>
      <c r="AJ45" s="413"/>
      <c r="AK45" s="413"/>
      <c r="AL45" s="413"/>
      <c r="AM45" s="413"/>
      <c r="AN45" s="413"/>
      <c r="AO45" s="413"/>
      <c r="AP45" s="413"/>
      <c r="AQ45" s="413"/>
      <c r="AR45" s="413"/>
      <c r="AS45" s="413"/>
      <c r="AT45" s="417"/>
      <c r="AU45" s="413"/>
      <c r="AV45" s="413"/>
      <c r="AW45" s="413"/>
      <c r="AX45" s="413"/>
      <c r="AY45" s="413"/>
      <c r="AZ45" s="413"/>
      <c r="BA45" s="413"/>
      <c r="BB45" s="413"/>
      <c r="BC45" s="413"/>
      <c r="BD45" s="413"/>
      <c r="BE45" s="413"/>
      <c r="BF45" s="413"/>
      <c r="BG45" s="413"/>
      <c r="BH45" s="413"/>
      <c r="BI45" s="413"/>
      <c r="BJ45" s="413"/>
      <c r="BK45" s="413"/>
      <c r="BL45" s="413"/>
      <c r="BM45" s="413"/>
      <c r="BN45" s="413"/>
      <c r="BO45" s="413"/>
    </row>
    <row r="46">
      <c r="A46" s="52"/>
      <c r="B46" s="86"/>
      <c r="C46" s="86"/>
      <c r="D46" s="86"/>
      <c r="E46" s="86"/>
      <c r="F46" s="86"/>
      <c r="G46" s="86"/>
      <c r="H46" s="459"/>
      <c r="I46" s="461"/>
      <c r="J46" s="462"/>
      <c r="K46" s="462"/>
      <c r="L46" s="463" t="s">
        <v>582</v>
      </c>
      <c r="M46" s="464"/>
      <c r="N46" s="463" t="s">
        <v>583</v>
      </c>
      <c r="O46" s="195"/>
      <c r="P46" s="195"/>
      <c r="Q46" s="195"/>
      <c r="R46" s="195"/>
      <c r="S46" s="195"/>
      <c r="T46" s="464"/>
      <c r="U46" s="465" t="s">
        <v>584</v>
      </c>
      <c r="V46" s="462"/>
      <c r="W46" s="466" t="s">
        <v>582</v>
      </c>
      <c r="X46" s="464"/>
      <c r="Y46" s="463" t="s">
        <v>583</v>
      </c>
      <c r="Z46" s="195"/>
      <c r="AA46" s="195"/>
      <c r="AB46" s="195"/>
      <c r="AC46" s="195"/>
      <c r="AD46" s="195"/>
      <c r="AE46" s="464"/>
      <c r="AF46" s="465" t="s">
        <v>584</v>
      </c>
      <c r="AG46" s="462"/>
      <c r="AH46" s="463" t="s">
        <v>582</v>
      </c>
      <c r="AI46" s="464"/>
      <c r="AJ46" s="467" t="s">
        <v>586</v>
      </c>
      <c r="AK46" s="468"/>
      <c r="AL46" s="468"/>
      <c r="AM46" s="468"/>
      <c r="AN46" s="468"/>
      <c r="AO46" s="468"/>
      <c r="AP46" s="469"/>
      <c r="AQ46" s="105"/>
      <c r="AR46" s="105"/>
      <c r="AS46" s="105"/>
      <c r="AT46" s="105"/>
      <c r="AU46" s="105"/>
      <c r="AV46" s="105"/>
      <c r="AW46" s="105"/>
      <c r="AX46" s="105"/>
      <c r="AY46" s="105"/>
      <c r="AZ46" s="105"/>
      <c r="BA46" s="105"/>
      <c r="BB46" s="105"/>
      <c r="BC46" s="105"/>
      <c r="BD46" s="105"/>
      <c r="BE46" s="105"/>
      <c r="BF46" s="105"/>
      <c r="BG46" s="105"/>
      <c r="BH46" s="105"/>
      <c r="BI46" s="105"/>
      <c r="BJ46" s="105"/>
      <c r="BK46" s="105"/>
      <c r="BL46" s="105"/>
      <c r="BM46" s="105"/>
      <c r="BN46" s="105"/>
      <c r="BO46" s="105"/>
    </row>
    <row r="47">
      <c r="A47" s="52"/>
      <c r="B47" s="138" t="s">
        <v>26</v>
      </c>
      <c r="C47" s="67"/>
      <c r="D47" s="67"/>
      <c r="E47" s="67"/>
      <c r="F47" s="67"/>
      <c r="G47" s="69"/>
      <c r="H47" s="470" t="s">
        <v>588</v>
      </c>
      <c r="I47" s="195"/>
      <c r="J47" s="195"/>
      <c r="K47" s="464"/>
      <c r="L47" s="471"/>
      <c r="M47" s="29"/>
      <c r="N47" s="473"/>
      <c r="O47" s="28"/>
      <c r="P47" s="28"/>
      <c r="Q47" s="28"/>
      <c r="R47" s="28"/>
      <c r="S47" s="28"/>
      <c r="T47" s="29"/>
      <c r="U47" s="474" t="b">
        <v>0</v>
      </c>
      <c r="V47" s="475"/>
      <c r="W47" s="471"/>
      <c r="X47" s="29"/>
      <c r="Y47" s="473"/>
      <c r="Z47" s="28"/>
      <c r="AA47" s="28"/>
      <c r="AB47" s="28"/>
      <c r="AC47" s="28"/>
      <c r="AD47" s="28"/>
      <c r="AE47" s="29"/>
      <c r="AF47" s="474" t="b">
        <v>0</v>
      </c>
      <c r="AG47" s="477"/>
      <c r="AH47" s="471"/>
      <c r="AI47" s="29"/>
      <c r="AJ47" s="478"/>
      <c r="AK47" s="28"/>
      <c r="AL47" s="28"/>
      <c r="AM47" s="28"/>
      <c r="AN47" s="28"/>
      <c r="AO47" s="28"/>
      <c r="AP47" s="29"/>
      <c r="AQ47" s="105"/>
      <c r="AR47" s="105"/>
      <c r="AS47" s="105"/>
      <c r="AT47" s="105"/>
      <c r="AU47" s="105"/>
      <c r="AV47" s="105"/>
      <c r="AW47" s="105"/>
      <c r="AX47" s="105"/>
      <c r="AY47" s="105"/>
      <c r="AZ47" s="105"/>
      <c r="BA47" s="105"/>
      <c r="BB47" s="105"/>
      <c r="BC47" s="105"/>
      <c r="BD47" s="105"/>
      <c r="BE47" s="105"/>
      <c r="BF47" s="105"/>
      <c r="BG47" s="105"/>
      <c r="BH47" s="105"/>
      <c r="BI47" s="105"/>
      <c r="BJ47" s="105"/>
      <c r="BK47" s="105"/>
      <c r="BL47" s="105"/>
      <c r="BM47" s="105"/>
      <c r="BN47" s="105"/>
      <c r="BO47" s="105"/>
    </row>
    <row r="48">
      <c r="A48" s="52"/>
      <c r="B48" s="111"/>
      <c r="C48" s="114"/>
      <c r="D48" s="114"/>
      <c r="E48" s="114"/>
      <c r="F48" s="114"/>
      <c r="G48" s="68"/>
      <c r="H48" s="470" t="s">
        <v>592</v>
      </c>
      <c r="I48" s="195"/>
      <c r="J48" s="195"/>
      <c r="K48" s="464"/>
      <c r="L48" s="481"/>
      <c r="M48" s="29"/>
      <c r="N48" s="483"/>
      <c r="O48" s="28"/>
      <c r="P48" s="28"/>
      <c r="Q48" s="28"/>
      <c r="R48" s="28"/>
      <c r="S48" s="28"/>
      <c r="T48" s="29"/>
      <c r="U48" s="484" t="b">
        <v>0</v>
      </c>
      <c r="V48" s="475"/>
      <c r="W48" s="471"/>
      <c r="X48" s="29"/>
      <c r="Y48" s="473"/>
      <c r="Z48" s="28"/>
      <c r="AA48" s="28"/>
      <c r="AB48" s="28"/>
      <c r="AC48" s="28"/>
      <c r="AD48" s="28"/>
      <c r="AE48" s="29"/>
      <c r="AF48" s="474" t="b">
        <v>0</v>
      </c>
      <c r="AG48" s="477"/>
      <c r="AH48" s="471"/>
      <c r="AI48" s="29"/>
      <c r="AJ48" s="478"/>
      <c r="AK48" s="28"/>
      <c r="AL48" s="28"/>
      <c r="AM48" s="28"/>
      <c r="AN48" s="28"/>
      <c r="AO48" s="28"/>
      <c r="AP48" s="29"/>
      <c r="AQ48" s="105"/>
      <c r="AR48" s="105"/>
      <c r="AS48" s="105"/>
      <c r="AT48" s="105"/>
      <c r="AU48" s="105"/>
      <c r="AV48" s="105"/>
      <c r="AW48" s="105"/>
      <c r="AX48" s="105"/>
      <c r="AY48" s="105"/>
      <c r="AZ48" s="105"/>
      <c r="BA48" s="105"/>
      <c r="BB48" s="105"/>
      <c r="BC48" s="105"/>
      <c r="BD48" s="105"/>
      <c r="BE48" s="105"/>
      <c r="BF48" s="105"/>
      <c r="BG48" s="105"/>
      <c r="BH48" s="105"/>
      <c r="BI48" s="105"/>
      <c r="BJ48" s="105"/>
      <c r="BK48" s="105"/>
      <c r="BL48" s="105"/>
      <c r="BM48" s="105"/>
      <c r="BN48" s="105"/>
      <c r="BO48" s="105"/>
    </row>
    <row r="49">
      <c r="A49" s="52"/>
      <c r="B49" s="173" t="s">
        <v>113</v>
      </c>
      <c r="C49" s="23"/>
      <c r="D49" s="173" t="s">
        <v>114</v>
      </c>
      <c r="E49" s="23"/>
      <c r="F49" s="24"/>
      <c r="G49" s="178">
        <f>VLOOKUP(D49,'Main Sheet'!$E$9:$G$14,3,false)</f>
        <v>8</v>
      </c>
      <c r="H49" s="470" t="s">
        <v>597</v>
      </c>
      <c r="I49" s="195"/>
      <c r="J49" s="195"/>
      <c r="K49" s="464"/>
      <c r="L49" s="471"/>
      <c r="M49" s="29"/>
      <c r="N49" s="473"/>
      <c r="O49" s="28"/>
      <c r="P49" s="28"/>
      <c r="Q49" s="28"/>
      <c r="R49" s="28"/>
      <c r="S49" s="28"/>
      <c r="T49" s="29"/>
      <c r="U49" s="474" t="b">
        <v>0</v>
      </c>
      <c r="V49" s="475"/>
      <c r="W49" s="471"/>
      <c r="X49" s="29"/>
      <c r="Y49" s="473"/>
      <c r="Z49" s="28"/>
      <c r="AA49" s="28"/>
      <c r="AB49" s="28"/>
      <c r="AC49" s="28"/>
      <c r="AD49" s="28"/>
      <c r="AE49" s="29"/>
      <c r="AF49" s="474" t="b">
        <v>0</v>
      </c>
      <c r="AG49" s="477"/>
      <c r="AH49" s="471"/>
      <c r="AI49" s="29"/>
      <c r="AJ49" s="478"/>
      <c r="AK49" s="28"/>
      <c r="AL49" s="28"/>
      <c r="AM49" s="28"/>
      <c r="AN49" s="28"/>
      <c r="AO49" s="28"/>
      <c r="AP49" s="29"/>
      <c r="AQ49" s="105"/>
      <c r="AR49" s="105"/>
      <c r="AS49" s="105"/>
      <c r="AT49" s="105"/>
      <c r="AU49" s="105"/>
      <c r="AV49" s="105"/>
      <c r="AW49" s="105"/>
      <c r="AX49" s="105"/>
      <c r="AY49" s="105"/>
      <c r="AZ49" s="105"/>
      <c r="BA49" s="105"/>
      <c r="BB49" s="105"/>
      <c r="BC49" s="105"/>
      <c r="BD49" s="105"/>
      <c r="BE49" s="105"/>
      <c r="BF49" s="105"/>
      <c r="BG49" s="105"/>
      <c r="BH49" s="105"/>
      <c r="BI49" s="105"/>
      <c r="BJ49" s="105"/>
      <c r="BK49" s="105"/>
      <c r="BL49" s="105"/>
      <c r="BM49" s="105"/>
      <c r="BN49" s="105"/>
      <c r="BO49" s="105"/>
    </row>
    <row r="50">
      <c r="A50" s="490"/>
      <c r="B50" s="491" t="s">
        <v>600</v>
      </c>
      <c r="C50" s="23"/>
      <c r="D50" s="24"/>
      <c r="E50" s="492" t="str">
        <f>sum(L47:M57,W47:X57,AH47:AI57)&amp;"/"&amp;D56</f>
        <v>3/3</v>
      </c>
      <c r="F50" s="23"/>
      <c r="G50" s="24"/>
      <c r="H50" s="470" t="s">
        <v>603</v>
      </c>
      <c r="I50" s="195"/>
      <c r="J50" s="195"/>
      <c r="K50" s="464"/>
      <c r="L50" s="471"/>
      <c r="M50" s="29"/>
      <c r="N50" s="473"/>
      <c r="O50" s="28"/>
      <c r="P50" s="28"/>
      <c r="Q50" s="28"/>
      <c r="R50" s="28"/>
      <c r="S50" s="28"/>
      <c r="T50" s="29"/>
      <c r="U50" s="474" t="b">
        <v>0</v>
      </c>
      <c r="V50" s="475"/>
      <c r="W50" s="471"/>
      <c r="X50" s="29"/>
      <c r="Y50" s="473"/>
      <c r="Z50" s="28"/>
      <c r="AA50" s="28"/>
      <c r="AB50" s="28"/>
      <c r="AC50" s="28"/>
      <c r="AD50" s="28"/>
      <c r="AE50" s="29"/>
      <c r="AF50" s="474" t="b">
        <v>0</v>
      </c>
      <c r="AG50" s="477"/>
      <c r="AH50" s="471"/>
      <c r="AI50" s="29"/>
      <c r="AJ50" s="478"/>
      <c r="AK50" s="28"/>
      <c r="AL50" s="28"/>
      <c r="AM50" s="28"/>
      <c r="AN50" s="28"/>
      <c r="AO50" s="28"/>
      <c r="AP50" s="29"/>
      <c r="AQ50" s="105"/>
      <c r="AR50" s="105"/>
      <c r="AS50" s="105"/>
      <c r="AT50" s="105"/>
      <c r="AU50" s="105"/>
      <c r="AV50" s="105"/>
      <c r="AW50" s="105"/>
      <c r="AX50" s="105"/>
      <c r="AY50" s="105"/>
      <c r="AZ50" s="105"/>
      <c r="BA50" s="105"/>
      <c r="BB50" s="105"/>
      <c r="BC50" s="105"/>
      <c r="BD50" s="105"/>
      <c r="BE50" s="105"/>
      <c r="BF50" s="105"/>
      <c r="BG50" s="105"/>
      <c r="BH50" s="105"/>
      <c r="BI50" s="105"/>
      <c r="BJ50" s="105"/>
      <c r="BK50" s="105"/>
      <c r="BL50" s="105"/>
      <c r="BM50" s="105"/>
      <c r="BN50" s="105"/>
      <c r="BO50" s="105"/>
    </row>
    <row r="51">
      <c r="A51" s="495"/>
      <c r="B51" s="497" t="s">
        <v>288</v>
      </c>
      <c r="C51" s="498"/>
      <c r="D51" s="499" t="s">
        <v>141</v>
      </c>
      <c r="E51" s="500"/>
      <c r="F51" s="501" t="s">
        <v>17</v>
      </c>
      <c r="G51" s="501" t="s">
        <v>293</v>
      </c>
      <c r="H51" s="470" t="s">
        <v>608</v>
      </c>
      <c r="I51" s="195"/>
      <c r="J51" s="195"/>
      <c r="K51" s="464"/>
      <c r="L51" s="471"/>
      <c r="M51" s="29"/>
      <c r="N51" s="473"/>
      <c r="O51" s="28"/>
      <c r="P51" s="28"/>
      <c r="Q51" s="28"/>
      <c r="R51" s="28"/>
      <c r="S51" s="28"/>
      <c r="T51" s="29"/>
      <c r="U51" s="474" t="b">
        <v>0</v>
      </c>
      <c r="V51" s="475"/>
      <c r="W51" s="471"/>
      <c r="X51" s="29"/>
      <c r="Y51" s="473"/>
      <c r="Z51" s="28"/>
      <c r="AA51" s="28"/>
      <c r="AB51" s="28"/>
      <c r="AC51" s="28"/>
      <c r="AD51" s="28"/>
      <c r="AE51" s="29"/>
      <c r="AF51" s="474" t="b">
        <v>0</v>
      </c>
      <c r="AG51" s="477"/>
      <c r="AH51" s="471"/>
      <c r="AI51" s="29"/>
      <c r="AJ51" s="478"/>
      <c r="AK51" s="28"/>
      <c r="AL51" s="28"/>
      <c r="AM51" s="28"/>
      <c r="AN51" s="28"/>
      <c r="AO51" s="28"/>
      <c r="AP51" s="29"/>
      <c r="AQ51" s="105"/>
      <c r="AR51" s="105"/>
      <c r="AS51" s="105"/>
      <c r="AT51" s="105"/>
      <c r="AU51" s="105"/>
      <c r="AV51" s="105"/>
      <c r="AW51" s="105"/>
      <c r="AX51" s="105"/>
      <c r="AY51" s="105"/>
      <c r="AZ51" s="105"/>
      <c r="BA51" s="105"/>
      <c r="BB51" s="105"/>
      <c r="BC51" s="105"/>
      <c r="BD51" s="105"/>
      <c r="BE51" s="105"/>
      <c r="BF51" s="105"/>
      <c r="BG51" s="105"/>
      <c r="BH51" s="105"/>
      <c r="BI51" s="105"/>
      <c r="BJ51" s="105"/>
      <c r="BK51" s="105"/>
      <c r="BL51" s="105"/>
      <c r="BM51" s="105"/>
      <c r="BN51" s="105"/>
      <c r="BO51" s="105"/>
    </row>
    <row r="52" ht="15.75" customHeight="1">
      <c r="A52" s="495"/>
      <c r="B52" s="325"/>
      <c r="C52" s="502"/>
      <c r="D52" s="503">
        <f>MIN(20,SUM(F52:G52))</f>
        <v>3</v>
      </c>
      <c r="E52" s="504" t="s">
        <v>145</v>
      </c>
      <c r="F52" s="505">
        <f>iferror(VLOOKUP(B47,'Main Sheet'!AE1:AQ4,13,false),"")</f>
        <v>3</v>
      </c>
      <c r="G52" s="506"/>
      <c r="H52" s="470" t="s">
        <v>612</v>
      </c>
      <c r="I52" s="195"/>
      <c r="J52" s="195"/>
      <c r="K52" s="464"/>
      <c r="L52" s="481">
        <v>1.0</v>
      </c>
      <c r="M52" s="29"/>
      <c r="N52" s="483" t="s">
        <v>614</v>
      </c>
      <c r="O52" s="28"/>
      <c r="P52" s="28"/>
      <c r="Q52" s="28"/>
      <c r="R52" s="28"/>
      <c r="S52" s="28"/>
      <c r="T52" s="29"/>
      <c r="U52" s="484" t="b">
        <v>1</v>
      </c>
      <c r="V52" s="475"/>
      <c r="W52" s="471"/>
      <c r="X52" s="29"/>
      <c r="Y52" s="473"/>
      <c r="Z52" s="28"/>
      <c r="AA52" s="28"/>
      <c r="AB52" s="28"/>
      <c r="AC52" s="28"/>
      <c r="AD52" s="28"/>
      <c r="AE52" s="29"/>
      <c r="AF52" s="474" t="b">
        <v>0</v>
      </c>
      <c r="AG52" s="477"/>
      <c r="AH52" s="471"/>
      <c r="AI52" s="29"/>
      <c r="AJ52" s="478"/>
      <c r="AK52" s="28"/>
      <c r="AL52" s="28"/>
      <c r="AM52" s="28"/>
      <c r="AN52" s="28"/>
      <c r="AO52" s="28"/>
      <c r="AP52" s="29"/>
      <c r="AQ52" s="105"/>
      <c r="AR52" s="105"/>
      <c r="AS52" s="105"/>
      <c r="AT52" s="105"/>
      <c r="AU52" s="105"/>
      <c r="AV52" s="105"/>
      <c r="AW52" s="105"/>
      <c r="AX52" s="105"/>
      <c r="AY52" s="105"/>
      <c r="AZ52" s="105"/>
      <c r="BA52" s="105"/>
      <c r="BB52" s="105"/>
      <c r="BC52" s="105"/>
      <c r="BD52" s="105"/>
      <c r="BE52" s="105"/>
      <c r="BF52" s="105"/>
      <c r="BG52" s="105"/>
      <c r="BH52" s="105"/>
      <c r="BI52" s="105"/>
      <c r="BJ52" s="105"/>
      <c r="BK52" s="105"/>
      <c r="BL52" s="105"/>
      <c r="BM52" s="105"/>
      <c r="BN52" s="105"/>
      <c r="BO52" s="105"/>
    </row>
    <row r="53">
      <c r="A53" s="509" t="s">
        <v>618</v>
      </c>
      <c r="C53" s="498"/>
      <c r="D53" s="499" t="s">
        <v>141</v>
      </c>
      <c r="E53" s="500"/>
      <c r="F53" s="510" t="s">
        <v>17</v>
      </c>
      <c r="G53" s="501" t="s">
        <v>293</v>
      </c>
      <c r="H53" s="470" t="s">
        <v>621</v>
      </c>
      <c r="I53" s="195"/>
      <c r="J53" s="195"/>
      <c r="K53" s="464"/>
      <c r="L53" s="471"/>
      <c r="M53" s="29"/>
      <c r="N53" s="473"/>
      <c r="O53" s="28"/>
      <c r="P53" s="28"/>
      <c r="Q53" s="28"/>
      <c r="R53" s="28"/>
      <c r="S53" s="28"/>
      <c r="T53" s="29"/>
      <c r="U53" s="474" t="b">
        <v>0</v>
      </c>
      <c r="V53" s="475"/>
      <c r="W53" s="471"/>
      <c r="X53" s="29"/>
      <c r="Y53" s="473"/>
      <c r="Z53" s="28"/>
      <c r="AA53" s="28"/>
      <c r="AB53" s="28"/>
      <c r="AC53" s="28"/>
      <c r="AD53" s="28"/>
      <c r="AE53" s="29"/>
      <c r="AF53" s="474" t="b">
        <v>0</v>
      </c>
      <c r="AG53" s="477"/>
      <c r="AH53" s="471"/>
      <c r="AI53" s="29"/>
      <c r="AJ53" s="478"/>
      <c r="AK53" s="28"/>
      <c r="AL53" s="28"/>
      <c r="AM53" s="28"/>
      <c r="AN53" s="28"/>
      <c r="AO53" s="28"/>
      <c r="AP53" s="29"/>
      <c r="AQ53" s="105"/>
      <c r="AR53" s="105"/>
      <c r="AS53" s="105"/>
      <c r="AT53" s="105"/>
      <c r="AU53" s="105"/>
      <c r="AV53" s="105"/>
      <c r="AW53" s="105"/>
      <c r="AX53" s="105"/>
      <c r="AY53" s="105"/>
      <c r="AZ53" s="105"/>
      <c r="BA53" s="105"/>
      <c r="BB53" s="105"/>
      <c r="BC53" s="105"/>
      <c r="BD53" s="105"/>
      <c r="BE53" s="105"/>
      <c r="BF53" s="105"/>
      <c r="BG53" s="105"/>
      <c r="BH53" s="105"/>
      <c r="BI53" s="105"/>
      <c r="BJ53" s="105"/>
      <c r="BK53" s="105"/>
      <c r="BL53" s="105"/>
      <c r="BM53" s="105"/>
      <c r="BN53" s="105"/>
      <c r="BO53" s="105"/>
    </row>
    <row r="54">
      <c r="A54" s="325"/>
      <c r="B54" s="325"/>
      <c r="C54" s="502"/>
      <c r="D54" s="503">
        <f>SUM(F54:G54)-iferror(abs('Main Sheet'!$Y$39),"")</f>
        <v>3</v>
      </c>
      <c r="E54" s="511" t="s">
        <v>145</v>
      </c>
      <c r="F54" s="512">
        <f>D52</f>
        <v>3</v>
      </c>
      <c r="G54" s="513"/>
      <c r="H54" s="470" t="s">
        <v>624</v>
      </c>
      <c r="I54" s="195"/>
      <c r="J54" s="195"/>
      <c r="K54" s="464"/>
      <c r="L54" s="471"/>
      <c r="M54" s="29"/>
      <c r="N54" s="473"/>
      <c r="O54" s="28"/>
      <c r="P54" s="28"/>
      <c r="Q54" s="28"/>
      <c r="R54" s="28"/>
      <c r="S54" s="28"/>
      <c r="T54" s="29"/>
      <c r="U54" s="474" t="b">
        <v>0</v>
      </c>
      <c r="V54" s="475"/>
      <c r="W54" s="471"/>
      <c r="X54" s="29"/>
      <c r="Y54" s="473"/>
      <c r="Z54" s="28"/>
      <c r="AA54" s="28"/>
      <c r="AB54" s="28"/>
      <c r="AC54" s="28"/>
      <c r="AD54" s="28"/>
      <c r="AE54" s="29"/>
      <c r="AF54" s="474" t="b">
        <v>0</v>
      </c>
      <c r="AG54" s="477"/>
      <c r="AH54" s="471"/>
      <c r="AI54" s="29"/>
      <c r="AJ54" s="478"/>
      <c r="AK54" s="28"/>
      <c r="AL54" s="28"/>
      <c r="AM54" s="28"/>
      <c r="AN54" s="28"/>
      <c r="AO54" s="28"/>
      <c r="AP54" s="29"/>
      <c r="AQ54" s="105"/>
      <c r="AR54" s="105"/>
      <c r="AS54" s="105"/>
      <c r="AT54" s="105"/>
      <c r="AU54" s="105"/>
      <c r="AV54" s="105"/>
      <c r="AW54" s="105"/>
      <c r="AX54" s="105"/>
      <c r="AY54" s="105"/>
      <c r="AZ54" s="105"/>
      <c r="BA54" s="105"/>
      <c r="BB54" s="105"/>
      <c r="BC54" s="105"/>
      <c r="BD54" s="105"/>
      <c r="BE54" s="105"/>
      <c r="BF54" s="105"/>
      <c r="BG54" s="105"/>
      <c r="BH54" s="105"/>
      <c r="BI54" s="105"/>
      <c r="BJ54" s="105"/>
      <c r="BK54" s="105"/>
      <c r="BL54" s="105"/>
      <c r="BM54" s="105"/>
      <c r="BN54" s="105"/>
      <c r="BO54" s="105"/>
    </row>
    <row r="55">
      <c r="A55" s="515" t="s">
        <v>626</v>
      </c>
      <c r="C55" s="498"/>
      <c r="D55" s="516" t="s">
        <v>141</v>
      </c>
      <c r="E55" s="517"/>
      <c r="F55" s="518" t="s">
        <v>17</v>
      </c>
      <c r="G55" s="518" t="s">
        <v>293</v>
      </c>
      <c r="H55" s="470" t="s">
        <v>627</v>
      </c>
      <c r="I55" s="195"/>
      <c r="J55" s="195"/>
      <c r="K55" s="464"/>
      <c r="L55" s="481">
        <v>2.0</v>
      </c>
      <c r="M55" s="29"/>
      <c r="N55" s="483" t="s">
        <v>628</v>
      </c>
      <c r="O55" s="28"/>
      <c r="P55" s="28"/>
      <c r="Q55" s="28"/>
      <c r="R55" s="28"/>
      <c r="S55" s="28"/>
      <c r="T55" s="29"/>
      <c r="U55" s="474" t="b">
        <v>0</v>
      </c>
      <c r="V55" s="475"/>
      <c r="W55" s="471"/>
      <c r="X55" s="29"/>
      <c r="Y55" s="473"/>
      <c r="Z55" s="28"/>
      <c r="AA55" s="28"/>
      <c r="AB55" s="28"/>
      <c r="AC55" s="28"/>
      <c r="AD55" s="28"/>
      <c r="AE55" s="29"/>
      <c r="AF55" s="474" t="b">
        <v>0</v>
      </c>
      <c r="AG55" s="477"/>
      <c r="AH55" s="471"/>
      <c r="AI55" s="29"/>
      <c r="AJ55" s="478"/>
      <c r="AK55" s="28"/>
      <c r="AL55" s="28"/>
      <c r="AM55" s="28"/>
      <c r="AN55" s="28"/>
      <c r="AO55" s="28"/>
      <c r="AP55" s="29"/>
      <c r="AQ55" s="105"/>
      <c r="AR55" s="105"/>
      <c r="AS55" s="105"/>
      <c r="AT55" s="105"/>
      <c r="AU55" s="105"/>
      <c r="AV55" s="105"/>
      <c r="AW55" s="105"/>
      <c r="AX55" s="105"/>
      <c r="AY55" s="105"/>
      <c r="AZ55" s="105"/>
      <c r="BA55" s="105"/>
      <c r="BB55" s="105"/>
      <c r="BC55" s="105"/>
      <c r="BD55" s="105"/>
      <c r="BE55" s="105"/>
      <c r="BF55" s="105"/>
      <c r="BG55" s="105"/>
      <c r="BH55" s="105"/>
      <c r="BI55" s="105"/>
      <c r="BJ55" s="105"/>
      <c r="BK55" s="105"/>
      <c r="BL55" s="105"/>
      <c r="BM55" s="105"/>
      <c r="BN55" s="105"/>
      <c r="BO55" s="105"/>
    </row>
    <row r="56">
      <c r="A56" s="325"/>
      <c r="B56" s="325"/>
      <c r="C56" s="502"/>
      <c r="D56" s="503">
        <f>SUM(F56:G56)-iferror(abs('Main Sheet'!$Y$39),"")</f>
        <v>3</v>
      </c>
      <c r="E56" s="511" t="s">
        <v>145</v>
      </c>
      <c r="F56" s="512">
        <f>Level</f>
        <v>3</v>
      </c>
      <c r="G56" s="513"/>
      <c r="H56" s="470" t="s">
        <v>633</v>
      </c>
      <c r="I56" s="195"/>
      <c r="J56" s="195"/>
      <c r="K56" s="464"/>
      <c r="L56" s="471"/>
      <c r="M56" s="29"/>
      <c r="N56" s="473"/>
      <c r="O56" s="28"/>
      <c r="P56" s="28"/>
      <c r="Q56" s="28"/>
      <c r="R56" s="28"/>
      <c r="S56" s="28"/>
      <c r="T56" s="29"/>
      <c r="U56" s="474" t="b">
        <v>0</v>
      </c>
      <c r="V56" s="475"/>
      <c r="W56" s="471"/>
      <c r="X56" s="29"/>
      <c r="Y56" s="473"/>
      <c r="Z56" s="28"/>
      <c r="AA56" s="28"/>
      <c r="AB56" s="28"/>
      <c r="AC56" s="28"/>
      <c r="AD56" s="28"/>
      <c r="AE56" s="29"/>
      <c r="AF56" s="474" t="b">
        <v>0</v>
      </c>
      <c r="AG56" s="477"/>
      <c r="AH56" s="471"/>
      <c r="AI56" s="29"/>
      <c r="AJ56" s="478"/>
      <c r="AK56" s="28"/>
      <c r="AL56" s="28"/>
      <c r="AM56" s="28"/>
      <c r="AN56" s="28"/>
      <c r="AO56" s="28"/>
      <c r="AP56" s="29"/>
      <c r="AQ56" s="105"/>
      <c r="AR56" s="105"/>
      <c r="AS56" s="105"/>
      <c r="AT56" s="105"/>
      <c r="AU56" s="105"/>
      <c r="AV56" s="105"/>
      <c r="AW56" s="105"/>
      <c r="AX56" s="105"/>
      <c r="AY56" s="105"/>
      <c r="AZ56" s="105"/>
      <c r="BA56" s="105"/>
      <c r="BB56" s="105"/>
      <c r="BC56" s="105"/>
      <c r="BD56" s="105"/>
      <c r="BE56" s="105"/>
      <c r="BF56" s="105"/>
      <c r="BG56" s="105"/>
      <c r="BH56" s="105"/>
      <c r="BI56" s="105"/>
      <c r="BJ56" s="105"/>
      <c r="BK56" s="105"/>
      <c r="BL56" s="105"/>
      <c r="BM56" s="105"/>
      <c r="BN56" s="105"/>
      <c r="BO56" s="105"/>
    </row>
    <row r="57">
      <c r="A57" s="515" t="s">
        <v>634</v>
      </c>
      <c r="C57" s="498"/>
      <c r="D57" s="516" t="s">
        <v>141</v>
      </c>
      <c r="E57" s="524"/>
      <c r="F57" s="526" t="s">
        <v>120</v>
      </c>
      <c r="G57" s="518" t="s">
        <v>293</v>
      </c>
      <c r="H57" s="528" t="s">
        <v>636</v>
      </c>
      <c r="I57" s="468"/>
      <c r="J57" s="468"/>
      <c r="K57" s="469"/>
      <c r="L57" s="530"/>
      <c r="M57" s="29"/>
      <c r="N57" s="478"/>
      <c r="O57" s="28"/>
      <c r="P57" s="28"/>
      <c r="Q57" s="28"/>
      <c r="R57" s="28"/>
      <c r="S57" s="28"/>
      <c r="T57" s="29"/>
      <c r="U57" s="531" t="b">
        <v>0</v>
      </c>
      <c r="V57" s="475"/>
      <c r="W57" s="530"/>
      <c r="X57" s="29"/>
      <c r="Y57" s="478"/>
      <c r="Z57" s="28"/>
      <c r="AA57" s="28"/>
      <c r="AB57" s="28"/>
      <c r="AC57" s="28"/>
      <c r="AD57" s="28"/>
      <c r="AE57" s="29"/>
      <c r="AF57" s="531" t="b">
        <v>0</v>
      </c>
      <c r="AG57" s="475"/>
      <c r="AH57" s="530"/>
      <c r="AI57" s="29"/>
      <c r="AJ57" s="478"/>
      <c r="AK57" s="28"/>
      <c r="AL57" s="28"/>
      <c r="AM57" s="28"/>
      <c r="AN57" s="28"/>
      <c r="AO57" s="28"/>
      <c r="AP57" s="29"/>
      <c r="AQ57" s="532"/>
      <c r="AR57" s="532"/>
      <c r="AS57" s="532"/>
      <c r="AT57" s="532"/>
      <c r="AU57" s="532"/>
      <c r="AV57" s="532"/>
      <c r="AW57" s="532"/>
      <c r="AX57" s="532"/>
      <c r="AY57" s="532"/>
      <c r="AZ57" s="532"/>
      <c r="BA57" s="532"/>
      <c r="BB57" s="532"/>
      <c r="BC57" s="532"/>
      <c r="BD57" s="532"/>
      <c r="BE57" s="532"/>
      <c r="BF57" s="532"/>
      <c r="BG57" s="532"/>
      <c r="BH57" s="532"/>
      <c r="BI57" s="532"/>
      <c r="BJ57" s="532"/>
      <c r="BK57" s="532"/>
      <c r="BL57" s="532"/>
      <c r="BM57" s="532"/>
      <c r="BN57" s="532"/>
      <c r="BO57" s="532"/>
    </row>
    <row r="58">
      <c r="A58" s="325"/>
      <c r="B58" s="325"/>
      <c r="C58" s="502"/>
      <c r="D58" s="503">
        <f>F58+G58</f>
        <v>2</v>
      </c>
      <c r="E58" s="511" t="s">
        <v>145</v>
      </c>
      <c r="F58" s="534">
        <f>iferror(VLOOKUP(Level,'Formula References'!H12:I31,2,false),"")</f>
        <v>1</v>
      </c>
      <c r="G58" s="535">
        <v>1.0</v>
      </c>
      <c r="H58" s="52"/>
      <c r="I58" s="52"/>
      <c r="J58" s="52"/>
      <c r="K58" s="52"/>
      <c r="L58" s="536"/>
      <c r="M58" s="536"/>
      <c r="N58" s="536"/>
      <c r="O58" s="536"/>
      <c r="P58" s="536"/>
      <c r="Q58" s="536"/>
      <c r="R58" s="536"/>
      <c r="S58" s="536"/>
      <c r="T58" s="536"/>
      <c r="U58" s="536"/>
      <c r="V58" s="536"/>
      <c r="W58" s="536"/>
      <c r="X58" s="536"/>
      <c r="Y58" s="536"/>
      <c r="Z58" s="536"/>
      <c r="AA58" s="536"/>
      <c r="AB58" s="536"/>
      <c r="AC58" s="536"/>
      <c r="AD58" s="536"/>
      <c r="AE58" s="536"/>
      <c r="AF58" s="536"/>
      <c r="AG58" s="536"/>
      <c r="AH58" s="536"/>
      <c r="AI58" s="536"/>
      <c r="AJ58" s="536"/>
      <c r="AK58" s="536"/>
      <c r="AL58" s="536"/>
      <c r="AM58" s="536"/>
      <c r="AN58" s="536"/>
      <c r="AO58" s="536"/>
      <c r="AP58" s="536"/>
      <c r="AQ58" s="536"/>
      <c r="AR58" s="536"/>
      <c r="AS58" s="536"/>
      <c r="AT58" s="536"/>
      <c r="AU58" s="536"/>
      <c r="AV58" s="536"/>
      <c r="AW58" s="536"/>
      <c r="AX58" s="536"/>
      <c r="AY58" s="536"/>
      <c r="AZ58" s="536"/>
      <c r="BA58" s="536"/>
      <c r="BB58" s="536"/>
      <c r="BC58" s="536"/>
      <c r="BD58" s="536"/>
      <c r="BE58" s="536"/>
      <c r="BF58" s="536"/>
      <c r="BG58" s="536"/>
      <c r="BH58" s="536"/>
      <c r="BI58" s="536"/>
      <c r="BJ58" s="536"/>
      <c r="BK58" s="536"/>
      <c r="BL58" s="536"/>
      <c r="BM58" s="536"/>
      <c r="BN58" s="536"/>
      <c r="BO58" s="536"/>
    </row>
    <row r="59">
      <c r="A59" s="52"/>
      <c r="B59" s="52"/>
      <c r="C59" s="52"/>
      <c r="D59" s="52"/>
      <c r="E59" s="52"/>
      <c r="F59" s="52"/>
      <c r="G59" s="52"/>
      <c r="H59" s="52"/>
      <c r="I59" s="52"/>
      <c r="J59" s="52"/>
      <c r="K59" s="52"/>
      <c r="L59" s="52"/>
      <c r="M59" s="52"/>
      <c r="N59" s="52"/>
      <c r="O59" s="52"/>
      <c r="P59" s="52"/>
      <c r="Q59" s="52"/>
      <c r="R59" s="52"/>
      <c r="S59" s="52"/>
      <c r="T59" s="52"/>
      <c r="U59" s="52"/>
      <c r="V59" s="52"/>
      <c r="W59" s="274"/>
      <c r="X59" s="274"/>
      <c r="Y59" s="52"/>
      <c r="Z59" s="52"/>
      <c r="AA59" s="52"/>
      <c r="AB59" s="52"/>
      <c r="AC59" s="52"/>
      <c r="AD59" s="52"/>
      <c r="AE59" s="52"/>
      <c r="AF59" s="52"/>
      <c r="AG59" s="52"/>
      <c r="AH59" s="274"/>
      <c r="AI59" s="274"/>
      <c r="AJ59" s="52"/>
      <c r="AK59" s="52"/>
      <c r="AL59" s="52"/>
      <c r="AM59" s="52"/>
      <c r="AN59" s="52"/>
      <c r="AO59" s="52"/>
      <c r="AP59" s="52"/>
      <c r="AQ59" s="52"/>
      <c r="AR59" s="52"/>
      <c r="AS59" s="52"/>
      <c r="AT59" s="52"/>
      <c r="AU59" s="52"/>
      <c r="AV59" s="52"/>
      <c r="AW59" s="52"/>
      <c r="AX59" s="52"/>
      <c r="AY59" s="52"/>
      <c r="AZ59" s="52"/>
      <c r="BA59" s="52"/>
      <c r="BB59" s="52"/>
      <c r="BC59" s="52"/>
      <c r="BD59" s="52"/>
      <c r="BE59" s="52"/>
      <c r="BF59" s="52"/>
      <c r="BG59" s="52"/>
      <c r="BH59" s="52"/>
      <c r="BI59" s="52"/>
      <c r="BJ59" s="52"/>
      <c r="BK59" s="52"/>
      <c r="BL59" s="52"/>
      <c r="BM59" s="52"/>
      <c r="BN59" s="52"/>
      <c r="BO59" s="52"/>
    </row>
    <row r="60" hidden="1">
      <c r="A60" s="52"/>
      <c r="B60" s="56" t="s">
        <v>639</v>
      </c>
      <c r="C60" s="60"/>
      <c r="D60" s="60"/>
      <c r="E60" s="60"/>
      <c r="F60" s="60"/>
      <c r="G60" s="63"/>
      <c r="H60" s="70" t="s">
        <v>641</v>
      </c>
      <c r="I60" s="413"/>
      <c r="J60" s="413"/>
      <c r="K60" s="413"/>
      <c r="L60" s="413"/>
      <c r="M60" s="413"/>
      <c r="N60" s="413"/>
      <c r="O60" s="413"/>
      <c r="P60" s="413"/>
      <c r="Q60" s="413"/>
      <c r="R60" s="413"/>
      <c r="S60" s="413"/>
      <c r="T60" s="413"/>
      <c r="U60" s="413"/>
      <c r="V60" s="413"/>
      <c r="W60" s="413"/>
      <c r="X60" s="413"/>
      <c r="Y60" s="413"/>
      <c r="Z60" s="413"/>
      <c r="AA60" s="413"/>
      <c r="AB60" s="413"/>
      <c r="AC60" s="417" t="s">
        <v>48</v>
      </c>
      <c r="AD60" s="413"/>
      <c r="AE60" s="413"/>
      <c r="AF60" s="413"/>
      <c r="AG60" s="413"/>
      <c r="AH60" s="413"/>
      <c r="AI60" s="413"/>
      <c r="AJ60" s="413"/>
      <c r="AK60" s="413"/>
      <c r="AL60" s="413"/>
      <c r="AM60" s="413"/>
      <c r="AN60" s="413"/>
      <c r="AO60" s="413"/>
      <c r="AP60" s="413"/>
      <c r="AQ60" s="413"/>
      <c r="AR60" s="413"/>
      <c r="AS60" s="413"/>
      <c r="AT60" s="417"/>
      <c r="AU60" s="413"/>
      <c r="AV60" s="413"/>
      <c r="AW60" s="413"/>
      <c r="AX60" s="413"/>
      <c r="AY60" s="413"/>
      <c r="AZ60" s="413"/>
      <c r="BA60" s="413"/>
      <c r="BB60" s="413"/>
      <c r="BC60" s="413"/>
      <c r="BD60" s="413"/>
      <c r="BE60" s="413"/>
      <c r="BF60" s="413"/>
      <c r="BG60" s="413"/>
      <c r="BH60" s="413"/>
      <c r="BI60" s="413"/>
      <c r="BJ60" s="413"/>
      <c r="BK60" s="413"/>
      <c r="BL60" s="413"/>
      <c r="BM60" s="413"/>
      <c r="BN60" s="413"/>
      <c r="BO60" s="422"/>
    </row>
    <row r="61" hidden="1">
      <c r="A61" s="52"/>
      <c r="B61" s="52"/>
      <c r="C61" s="52"/>
      <c r="D61" s="52"/>
      <c r="E61" s="52"/>
      <c r="F61" s="52"/>
      <c r="G61" s="52"/>
      <c r="H61" s="52"/>
      <c r="I61" s="52"/>
      <c r="J61" s="52"/>
      <c r="K61" s="52"/>
      <c r="L61" s="52"/>
      <c r="M61" s="52"/>
      <c r="N61" s="52"/>
      <c r="O61" s="52"/>
      <c r="P61" s="52"/>
      <c r="Q61" s="52"/>
      <c r="R61" s="52"/>
      <c r="S61" s="52"/>
      <c r="T61" s="52"/>
      <c r="U61" s="52"/>
      <c r="V61" s="52"/>
      <c r="W61" s="52"/>
      <c r="X61" s="52"/>
      <c r="Y61" s="52"/>
      <c r="Z61" s="52"/>
      <c r="AA61" s="52"/>
      <c r="AB61" s="52"/>
      <c r="AC61" s="52"/>
      <c r="AD61" s="52"/>
      <c r="AE61" s="52"/>
      <c r="AF61" s="52"/>
      <c r="AG61" s="52"/>
      <c r="AH61" s="52"/>
      <c r="AI61" s="52"/>
      <c r="AJ61" s="52"/>
      <c r="AK61" s="52"/>
      <c r="AL61" s="52"/>
      <c r="AM61" s="52"/>
      <c r="AN61" s="52"/>
      <c r="AO61" s="52"/>
      <c r="AP61" s="52"/>
      <c r="AQ61" s="52"/>
      <c r="AR61" s="52"/>
      <c r="AS61" s="52"/>
      <c r="AT61" s="52"/>
      <c r="AU61" s="52"/>
      <c r="AV61" s="52"/>
      <c r="AW61" s="52"/>
      <c r="AX61" s="52"/>
      <c r="AY61" s="128"/>
      <c r="AZ61" s="128"/>
      <c r="BA61" s="128"/>
      <c r="BB61" s="128"/>
      <c r="BC61" s="128"/>
      <c r="BD61" s="128"/>
      <c r="BE61" s="131"/>
      <c r="BF61" s="130"/>
      <c r="BG61" s="130" t="s">
        <v>644</v>
      </c>
      <c r="BH61" s="131"/>
      <c r="BI61" s="131"/>
      <c r="BJ61" s="131"/>
      <c r="BK61" s="131"/>
      <c r="BL61" s="131"/>
      <c r="BM61" s="131"/>
      <c r="BN61" s="131"/>
      <c r="BO61" s="135"/>
    </row>
    <row r="62" hidden="1">
      <c r="A62" s="52"/>
      <c r="B62" s="138"/>
      <c r="C62" s="67"/>
      <c r="D62" s="67"/>
      <c r="E62" s="67"/>
      <c r="F62" s="67"/>
      <c r="G62" s="69"/>
      <c r="H62" s="52"/>
      <c r="I62" s="539"/>
      <c r="J62" s="28"/>
      <c r="K62" s="28"/>
      <c r="L62" s="28"/>
      <c r="M62" s="28"/>
      <c r="N62" s="29"/>
      <c r="O62" s="52"/>
      <c r="P62" s="539"/>
      <c r="Q62" s="28"/>
      <c r="R62" s="28"/>
      <c r="S62" s="28"/>
      <c r="T62" s="28"/>
      <c r="U62" s="29"/>
      <c r="V62" s="52"/>
      <c r="W62" s="539"/>
      <c r="X62" s="28"/>
      <c r="Y62" s="28"/>
      <c r="Z62" s="28"/>
      <c r="AA62" s="28"/>
      <c r="AB62" s="29"/>
      <c r="AC62" s="52"/>
      <c r="AD62" s="539"/>
      <c r="AE62" s="28"/>
      <c r="AF62" s="28"/>
      <c r="AG62" s="28"/>
      <c r="AH62" s="28"/>
      <c r="AI62" s="29"/>
      <c r="AJ62" s="52"/>
      <c r="AK62" s="539"/>
      <c r="AL62" s="28"/>
      <c r="AM62" s="28"/>
      <c r="AN62" s="28"/>
      <c r="AO62" s="28"/>
      <c r="AP62" s="29"/>
      <c r="AQ62" s="52"/>
      <c r="AR62" s="157" t="s">
        <v>106</v>
      </c>
      <c r="AS62" s="28"/>
      <c r="AT62" s="28"/>
      <c r="AU62" s="28"/>
      <c r="AV62" s="28"/>
      <c r="AW62" s="29"/>
      <c r="AX62" s="216"/>
      <c r="AY62" s="428"/>
      <c r="AZ62" s="159"/>
      <c r="BA62" s="159"/>
      <c r="BB62" s="159"/>
      <c r="BC62" s="159"/>
      <c r="BD62" s="159"/>
      <c r="BE62" s="159"/>
      <c r="BF62" s="159"/>
      <c r="BG62" s="159"/>
      <c r="BH62" s="159"/>
      <c r="BI62" s="159"/>
      <c r="BJ62" s="159"/>
      <c r="BK62" s="159"/>
      <c r="BL62" s="159"/>
      <c r="BM62" s="159"/>
      <c r="BN62" s="159"/>
      <c r="BO62" s="161"/>
    </row>
    <row r="63" hidden="1">
      <c r="A63" s="52"/>
      <c r="B63" s="111"/>
      <c r="C63" s="114"/>
      <c r="D63" s="114"/>
      <c r="E63" s="114"/>
      <c r="F63" s="114"/>
      <c r="G63" s="68"/>
      <c r="H63" s="52"/>
      <c r="I63" s="544">
        <f>IFERROR(__xludf.DUMMYFUNCTION("1+if(istext(J63),if(REGEXMATCH(J63, ""Free Talent""), -1), -1)+if(istext(J63),if(REGEXMATCH(J63, ""x2""),1))+if(istext(J63),if(REGEXMATCH(J63, ""x3""),2))+if(istext(J63),if(REGEXMATCH(J63, ""x4""),3))+if(istext(J63),if(REGEXMATCH(J63, ""x5""),4))"),0.0)</f>
        <v>0</v>
      </c>
      <c r="J63" s="148"/>
      <c r="K63" s="28"/>
      <c r="L63" s="28"/>
      <c r="M63" s="28"/>
      <c r="N63" s="29"/>
      <c r="O63" s="52"/>
      <c r="P63" s="544">
        <f>IFERROR(__xludf.DUMMYFUNCTION("1+if(istext(Q63),if(REGEXMATCH(Q63, ""Free Talent""), -1), -1)+if(istext(Q63),if(REGEXMATCH(Q63, ""x2""),1))+if(istext(Q63),if(REGEXMATCH(Q63, ""x3""),2))+if(istext(Q63),if(REGEXMATCH(Q63, ""x4""),3))+if(istext(Q63),if(REGEXMATCH(Q63, ""x5""),4))"),0.0)</f>
        <v>0</v>
      </c>
      <c r="Q63" s="148"/>
      <c r="R63" s="28"/>
      <c r="S63" s="28"/>
      <c r="T63" s="28"/>
      <c r="U63" s="29"/>
      <c r="V63" s="52"/>
      <c r="W63" s="544">
        <f>IFERROR(__xludf.DUMMYFUNCTION("1+if(istext(X63),if(REGEXMATCH(X63, ""Free Talent""), -1), -1)+if(istext(X63),if(REGEXMATCH(X63, ""x2""),1))+if(istext(X63),if(REGEXMATCH(X63, ""x3""),2))+if(istext(X63),if(REGEXMATCH(X63, ""x4""),3))+if(istext(X63),if(REGEXMATCH(X63, ""x5""),4))"),0.0)</f>
        <v>0</v>
      </c>
      <c r="X63" s="148"/>
      <c r="Y63" s="28"/>
      <c r="Z63" s="28"/>
      <c r="AA63" s="28"/>
      <c r="AB63" s="29"/>
      <c r="AC63" s="52"/>
      <c r="AD63" s="544">
        <f>IFERROR(__xludf.DUMMYFUNCTION("1+if(istext(AE63),if(REGEXMATCH(AE63, ""Free Talent""), -1), -1)+if(istext(AE63),if(REGEXMATCH(AE63, ""x2""),1))+if(istext(AE63),if(REGEXMATCH(AE63, ""x3""),2))+if(istext(AE63),if(REGEXMATCH(AE63, ""x4""),3))+if(istext(AE63),if(REGEXMATCH(AE63, ""x5""),4)"&amp;")"),0.0)</f>
        <v>0</v>
      </c>
      <c r="AE63" s="148"/>
      <c r="AF63" s="28"/>
      <c r="AG63" s="28"/>
      <c r="AH63" s="28"/>
      <c r="AI63" s="29"/>
      <c r="AJ63" s="52"/>
      <c r="AK63" s="544">
        <f>IFERROR(__xludf.DUMMYFUNCTION("1+if(istext(AL63),if(REGEXMATCH(AL63, ""Free Talent""), -1), -1)+if(istext(AL63),if(REGEXMATCH(AL63, ""x2""),1))+if(istext(AL63),if(REGEXMATCH(AL63, ""x3""),2))+if(istext(AL63),if(REGEXMATCH(AL63, ""x4""),3))+if(istext(AL63),if(REGEXMATCH(AL63, ""x5""),4)"&amp;")"),0.0)</f>
        <v>0</v>
      </c>
      <c r="AL63" s="148"/>
      <c r="AM63" s="28"/>
      <c r="AN63" s="28"/>
      <c r="AO63" s="28"/>
      <c r="AP63" s="29"/>
      <c r="AQ63" s="52"/>
      <c r="AR63" s="162"/>
      <c r="AS63" s="148"/>
      <c r="AT63" s="28"/>
      <c r="AU63" s="28"/>
      <c r="AV63" s="28"/>
      <c r="AW63" s="29"/>
      <c r="AX63" s="216"/>
      <c r="AY63" s="550"/>
      <c r="AZ63" s="552"/>
      <c r="BA63" s="552"/>
      <c r="BB63" s="552"/>
      <c r="BC63" s="552"/>
      <c r="BD63" s="552"/>
      <c r="BE63" s="552"/>
      <c r="BF63" s="552"/>
      <c r="BG63" s="552"/>
      <c r="BH63" s="552"/>
      <c r="BI63" s="552"/>
      <c r="BJ63" s="552"/>
      <c r="BK63" s="552"/>
      <c r="BL63" s="552"/>
      <c r="BM63" s="552"/>
      <c r="BN63" s="552"/>
      <c r="BO63" s="557"/>
    </row>
    <row r="64" hidden="1">
      <c r="A64" s="52"/>
      <c r="B64" s="173" t="s">
        <v>113</v>
      </c>
      <c r="C64" s="23"/>
      <c r="D64" s="173" t="s">
        <v>662</v>
      </c>
      <c r="E64" s="23"/>
      <c r="F64" s="24"/>
      <c r="G64" s="178">
        <f>VLOOKUP(D64,'Main Sheet'!$E$9:$G$14,3,false)</f>
        <v>0</v>
      </c>
      <c r="H64" s="52"/>
      <c r="I64" s="544">
        <f>IFERROR(__xludf.DUMMYFUNCTION("1+if(istext(J64),if(REGEXMATCH(J64, ""Free Talent""), -1), -1)+if(istext(J64),if(REGEXMATCH(J64, ""x2""),1))+if(istext(J64),if(REGEXMATCH(J64, ""x3""),2))+if(istext(J64),if(REGEXMATCH(J64, ""x4""),3))+if(istext(J64),if(REGEXMATCH(J64, ""x5""),4))"),0.0)</f>
        <v>0</v>
      </c>
      <c r="J64" s="148"/>
      <c r="K64" s="28"/>
      <c r="L64" s="28"/>
      <c r="M64" s="28"/>
      <c r="N64" s="29"/>
      <c r="O64" s="52"/>
      <c r="P64" s="544">
        <f>IFERROR(__xludf.DUMMYFUNCTION("1+if(istext(Q64),if(REGEXMATCH(Q64, ""Free Talent""), -1), -1)+if(istext(Q64),if(REGEXMATCH(Q64, ""x2""),1))+if(istext(Q64),if(REGEXMATCH(Q64, ""x3""),2))+if(istext(Q64),if(REGEXMATCH(Q64, ""x4""),3))+if(istext(Q64),if(REGEXMATCH(Q64, ""x5""),4))"),0.0)</f>
        <v>0</v>
      </c>
      <c r="Q64" s="148"/>
      <c r="R64" s="28"/>
      <c r="S64" s="28"/>
      <c r="T64" s="28"/>
      <c r="U64" s="29"/>
      <c r="V64" s="52"/>
      <c r="W64" s="544">
        <f>IFERROR(__xludf.DUMMYFUNCTION("1+if(istext(X64),if(REGEXMATCH(X64, ""Free Talent""), -1), -1)+if(istext(X64),if(REGEXMATCH(X64, ""x2""),1))+if(istext(X64),if(REGEXMATCH(X64, ""x3""),2))+if(istext(X64),if(REGEXMATCH(X64, ""x4""),3))+if(istext(X64),if(REGEXMATCH(X64, ""x5""),4))"),0.0)</f>
        <v>0</v>
      </c>
      <c r="X64" s="148"/>
      <c r="Y64" s="28"/>
      <c r="Z64" s="28"/>
      <c r="AA64" s="28"/>
      <c r="AB64" s="29"/>
      <c r="AC64" s="52"/>
      <c r="AD64" s="544">
        <f>IFERROR(__xludf.DUMMYFUNCTION("1+if(istext(AE64),if(REGEXMATCH(AE64, ""Free Talent""), -1), -1)+if(istext(AE64),if(REGEXMATCH(AE64, ""x2""),1))+if(istext(AE64),if(REGEXMATCH(AE64, ""x3""),2))+if(istext(AE64),if(REGEXMATCH(AE64, ""x4""),3))+if(istext(AE64),if(REGEXMATCH(AE64, ""x5""),4)"&amp;")"),0.0)</f>
        <v>0</v>
      </c>
      <c r="AE64" s="148"/>
      <c r="AF64" s="28"/>
      <c r="AG64" s="28"/>
      <c r="AH64" s="28"/>
      <c r="AI64" s="29"/>
      <c r="AJ64" s="52"/>
      <c r="AK64" s="544">
        <f>IFERROR(__xludf.DUMMYFUNCTION("1+if(istext(AL64),if(REGEXMATCH(AL64, ""Free Talent""), -1), -1)+if(istext(AL64),if(REGEXMATCH(AL64, ""x2""),1))+if(istext(AL64),if(REGEXMATCH(AL64, ""x3""),2))+if(istext(AL64),if(REGEXMATCH(AL64, ""x4""),3))+if(istext(AL64),if(REGEXMATCH(AL64, ""x5""),4)"&amp;")"),0.0)</f>
        <v>0</v>
      </c>
      <c r="AL64" s="148"/>
      <c r="AM64" s="28"/>
      <c r="AN64" s="28"/>
      <c r="AO64" s="28"/>
      <c r="AP64" s="29"/>
      <c r="AQ64" s="52"/>
      <c r="AR64" s="162"/>
      <c r="AS64" s="148"/>
      <c r="AT64" s="28"/>
      <c r="AU64" s="28"/>
      <c r="AV64" s="28"/>
      <c r="AW64" s="29"/>
      <c r="AX64" s="216"/>
      <c r="AY64" s="550"/>
      <c r="AZ64" s="552"/>
      <c r="BA64" s="552"/>
      <c r="BB64" s="552"/>
      <c r="BC64" s="552"/>
      <c r="BD64" s="552"/>
      <c r="BE64" s="552"/>
      <c r="BF64" s="552"/>
      <c r="BG64" s="552"/>
      <c r="BH64" s="552"/>
      <c r="BI64" s="552"/>
      <c r="BJ64" s="552"/>
      <c r="BK64" s="552"/>
      <c r="BL64" s="552"/>
      <c r="BM64" s="552"/>
      <c r="BN64" s="552"/>
      <c r="BO64" s="557"/>
    </row>
    <row r="65" hidden="1">
      <c r="A65" s="52"/>
      <c r="B65" s="173" t="s">
        <v>665</v>
      </c>
      <c r="C65" s="23"/>
      <c r="D65" s="23"/>
      <c r="E65" s="23"/>
      <c r="F65" s="23"/>
      <c r="G65" s="567">
        <f>D68+G64</f>
        <v>0</v>
      </c>
      <c r="H65" s="52"/>
      <c r="I65" s="544">
        <f>IFERROR(__xludf.DUMMYFUNCTION("1+if(istext(J65),if(REGEXMATCH(J65, ""Free Talent""), -1), -1)+if(istext(J65),if(REGEXMATCH(J65, ""x2""),1))+if(istext(J65),if(REGEXMATCH(J65, ""x3""),2))+if(istext(J65),if(REGEXMATCH(J65, ""x4""),3))+if(istext(J65),if(REGEXMATCH(J65, ""x5""),4))"),0.0)</f>
        <v>0</v>
      </c>
      <c r="J65" s="148"/>
      <c r="K65" s="28"/>
      <c r="L65" s="28"/>
      <c r="M65" s="28"/>
      <c r="N65" s="29"/>
      <c r="O65" s="52"/>
      <c r="P65" s="544">
        <f>IFERROR(__xludf.DUMMYFUNCTION("1+if(istext(Q65),if(REGEXMATCH(Q65, ""Free Talent""), -1), -1)+if(istext(Q65),if(REGEXMATCH(Q65, ""x2""),1))+if(istext(Q65),if(REGEXMATCH(Q65, ""x3""),2))+if(istext(Q65),if(REGEXMATCH(Q65, ""x4""),3))+if(istext(Q65),if(REGEXMATCH(Q65, ""x5""),4))"),0.0)</f>
        <v>0</v>
      </c>
      <c r="Q65" s="148"/>
      <c r="R65" s="28"/>
      <c r="S65" s="28"/>
      <c r="T65" s="28"/>
      <c r="U65" s="29"/>
      <c r="V65" s="52"/>
      <c r="W65" s="544">
        <f>IFERROR(__xludf.DUMMYFUNCTION("1+if(istext(X65),if(REGEXMATCH(X65, ""Free Talent""), -1), -1)+if(istext(X65),if(REGEXMATCH(X65, ""x2""),1))+if(istext(X65),if(REGEXMATCH(X65, ""x3""),2))+if(istext(X65),if(REGEXMATCH(X65, ""x4""),3))+if(istext(X65),if(REGEXMATCH(X65, ""x5""),4))"),0.0)</f>
        <v>0</v>
      </c>
      <c r="X65" s="148"/>
      <c r="Y65" s="28"/>
      <c r="Z65" s="28"/>
      <c r="AA65" s="28"/>
      <c r="AB65" s="29"/>
      <c r="AC65" s="52"/>
      <c r="AD65" s="544">
        <f>IFERROR(__xludf.DUMMYFUNCTION("1+if(istext(AE65),if(REGEXMATCH(AE65, ""Free Talent""), -1), -1)+if(istext(AE65),if(REGEXMATCH(AE65, ""x2""),1))+if(istext(AE65),if(REGEXMATCH(AE65, ""x3""),2))+if(istext(AE65),if(REGEXMATCH(AE65, ""x4""),3))+if(istext(AE65),if(REGEXMATCH(AE65, ""x5""),4)"&amp;")"),0.0)</f>
        <v>0</v>
      </c>
      <c r="AE65" s="148"/>
      <c r="AF65" s="28"/>
      <c r="AG65" s="28"/>
      <c r="AH65" s="28"/>
      <c r="AI65" s="29"/>
      <c r="AJ65" s="52"/>
      <c r="AK65" s="544">
        <f>IFERROR(__xludf.DUMMYFUNCTION("1+if(istext(AL65),if(REGEXMATCH(AL65, ""Free Talent""), -1), -1)+if(istext(AL65),if(REGEXMATCH(AL65, ""x2""),1))+if(istext(AL65),if(REGEXMATCH(AL65, ""x3""),2))+if(istext(AL65),if(REGEXMATCH(AL65, ""x4""),3))+if(istext(AL65),if(REGEXMATCH(AL65, ""x5""),4)"&amp;")"),0.0)</f>
        <v>0</v>
      </c>
      <c r="AL65" s="148"/>
      <c r="AM65" s="28"/>
      <c r="AN65" s="28"/>
      <c r="AO65" s="28"/>
      <c r="AP65" s="29"/>
      <c r="AQ65" s="52"/>
      <c r="AR65" s="162"/>
      <c r="AS65" s="148"/>
      <c r="AT65" s="28"/>
      <c r="AU65" s="28"/>
      <c r="AV65" s="28"/>
      <c r="AW65" s="29"/>
      <c r="AX65" s="216"/>
      <c r="AY65" s="550"/>
      <c r="AZ65" s="552"/>
      <c r="BA65" s="552"/>
      <c r="BB65" s="552"/>
      <c r="BC65" s="552"/>
      <c r="BD65" s="552"/>
      <c r="BE65" s="552"/>
      <c r="BF65" s="552"/>
      <c r="BG65" s="552"/>
      <c r="BH65" s="552"/>
      <c r="BI65" s="552"/>
      <c r="BJ65" s="552"/>
      <c r="BK65" s="552"/>
      <c r="BL65" s="552"/>
      <c r="BM65" s="552"/>
      <c r="BN65" s="552"/>
      <c r="BO65" s="557"/>
    </row>
    <row r="66" hidden="1">
      <c r="A66" s="52"/>
      <c r="B66" s="173" t="s">
        <v>668</v>
      </c>
      <c r="C66" s="23"/>
      <c r="D66" s="23"/>
      <c r="E66" s="23"/>
      <c r="F66" s="23"/>
      <c r="G66" s="178">
        <f>SUM(I71:AK71,I81:AK81)</f>
        <v>0</v>
      </c>
      <c r="H66" s="52"/>
      <c r="I66" s="544">
        <f>IFERROR(__xludf.DUMMYFUNCTION("1+if(istext(J66),if(REGEXMATCH(J66, ""Free Talent""), -1), -1)+if(istext(J66),if(REGEXMATCH(J66, ""x2""),1))+if(istext(J66),if(REGEXMATCH(J66, ""x3""),2))+if(istext(J66),if(REGEXMATCH(J66, ""x4""),3))+if(istext(J66),if(REGEXMATCH(J66, ""x5""),4))"),0.0)</f>
        <v>0</v>
      </c>
      <c r="J66" s="148"/>
      <c r="K66" s="28"/>
      <c r="L66" s="28"/>
      <c r="M66" s="28"/>
      <c r="N66" s="29"/>
      <c r="O66" s="52"/>
      <c r="P66" s="544">
        <f>IFERROR(__xludf.DUMMYFUNCTION("1+if(istext(Q66),if(REGEXMATCH(Q66, ""Free Talent""), -1), -1)+if(istext(Q66),if(REGEXMATCH(Q66, ""x2""),1))+if(istext(Q66),if(REGEXMATCH(Q66, ""x3""),2))+if(istext(Q66),if(REGEXMATCH(Q66, ""x4""),3))+if(istext(Q66),if(REGEXMATCH(Q66, ""x5""),4))"),0.0)</f>
        <v>0</v>
      </c>
      <c r="Q66" s="148"/>
      <c r="R66" s="28"/>
      <c r="S66" s="28"/>
      <c r="T66" s="28"/>
      <c r="U66" s="29"/>
      <c r="V66" s="52"/>
      <c r="W66" s="544">
        <f>IFERROR(__xludf.DUMMYFUNCTION("1+if(istext(X66),if(REGEXMATCH(X66, ""Free Talent""), -1), -1)+if(istext(X66),if(REGEXMATCH(X66, ""x2""),1))+if(istext(X66),if(REGEXMATCH(X66, ""x3""),2))+if(istext(X66),if(REGEXMATCH(X66, ""x4""),3))+if(istext(X66),if(REGEXMATCH(X66, ""x5""),4))"),0.0)</f>
        <v>0</v>
      </c>
      <c r="X66" s="148"/>
      <c r="Y66" s="28"/>
      <c r="Z66" s="28"/>
      <c r="AA66" s="28"/>
      <c r="AB66" s="29"/>
      <c r="AC66" s="52"/>
      <c r="AD66" s="544">
        <f>IFERROR(__xludf.DUMMYFUNCTION("1+if(istext(AE66),if(REGEXMATCH(AE66, ""Free Talent""), -1), -1)+if(istext(AE66),if(REGEXMATCH(AE66, ""x2""),1))+if(istext(AE66),if(REGEXMATCH(AE66, ""x3""),2))+if(istext(AE66),if(REGEXMATCH(AE66, ""x4""),3))+if(istext(AE66),if(REGEXMATCH(AE66, ""x5""),4)"&amp;")"),0.0)</f>
        <v>0</v>
      </c>
      <c r="AE66" s="148"/>
      <c r="AF66" s="28"/>
      <c r="AG66" s="28"/>
      <c r="AH66" s="28"/>
      <c r="AI66" s="29"/>
      <c r="AJ66" s="52"/>
      <c r="AK66" s="544">
        <f>IFERROR(__xludf.DUMMYFUNCTION("1+if(istext(AL66),if(REGEXMATCH(AL66, ""Free Talent""), -1), -1)+if(istext(AL66),if(REGEXMATCH(AL66, ""x2""),1))+if(istext(AL66),if(REGEXMATCH(AL66, ""x3""),2))+if(istext(AL66),if(REGEXMATCH(AL66, ""x4""),3))+if(istext(AL66),if(REGEXMATCH(AL66, ""x5""),4)"&amp;")"),0.0)</f>
        <v>0</v>
      </c>
      <c r="AL66" s="148"/>
      <c r="AM66" s="28"/>
      <c r="AN66" s="28"/>
      <c r="AO66" s="28"/>
      <c r="AP66" s="29"/>
      <c r="AQ66" s="52"/>
      <c r="AR66" s="162"/>
      <c r="AS66" s="148"/>
      <c r="AT66" s="28"/>
      <c r="AU66" s="28"/>
      <c r="AV66" s="28"/>
      <c r="AW66" s="29"/>
      <c r="AX66" s="216"/>
      <c r="AY66" s="550"/>
      <c r="AZ66" s="552"/>
      <c r="BA66" s="552"/>
      <c r="BB66" s="552"/>
      <c r="BC66" s="552"/>
      <c r="BD66" s="552"/>
      <c r="BE66" s="552"/>
      <c r="BF66" s="552"/>
      <c r="BG66" s="552"/>
      <c r="BH66" s="552"/>
      <c r="BI66" s="552"/>
      <c r="BJ66" s="552"/>
      <c r="BK66" s="552"/>
      <c r="BL66" s="552"/>
      <c r="BM66" s="552"/>
      <c r="BN66" s="552"/>
      <c r="BO66" s="557"/>
    </row>
    <row r="67" hidden="1">
      <c r="A67" s="52"/>
      <c r="B67" s="349" t="s">
        <v>288</v>
      </c>
      <c r="D67" s="351" t="s">
        <v>141</v>
      </c>
      <c r="E67" s="352"/>
      <c r="F67" s="351" t="s">
        <v>17</v>
      </c>
      <c r="G67" s="351" t="s">
        <v>293</v>
      </c>
      <c r="H67" s="52"/>
      <c r="I67" s="544">
        <f>IFERROR(__xludf.DUMMYFUNCTION("1+if(istext(J67),if(REGEXMATCH(J67, ""Free Talent""), -1), -1)+if(istext(J67),if(REGEXMATCH(J67, ""x2""),1))+if(istext(J67),if(REGEXMATCH(J67, ""x3""),2))+if(istext(J67),if(REGEXMATCH(J67, ""x4""),3))+if(istext(J67),if(REGEXMATCH(J67, ""x5""),4))"),0.0)</f>
        <v>0</v>
      </c>
      <c r="J67" s="148"/>
      <c r="K67" s="28"/>
      <c r="L67" s="28"/>
      <c r="M67" s="28"/>
      <c r="N67" s="29"/>
      <c r="O67" s="52"/>
      <c r="P67" s="544">
        <f>IFERROR(__xludf.DUMMYFUNCTION("1+if(istext(Q67),if(REGEXMATCH(Q67, ""Free Talent""), -1), -1)+if(istext(Q67),if(REGEXMATCH(Q67, ""x2""),1))+if(istext(Q67),if(REGEXMATCH(Q67, ""x3""),2))+if(istext(Q67),if(REGEXMATCH(Q67, ""x4""),3))+if(istext(Q67),if(REGEXMATCH(Q67, ""x5""),4))"),0.0)</f>
        <v>0</v>
      </c>
      <c r="Q67" s="148"/>
      <c r="R67" s="28"/>
      <c r="S67" s="28"/>
      <c r="T67" s="28"/>
      <c r="U67" s="29"/>
      <c r="V67" s="52"/>
      <c r="W67" s="544">
        <f>IFERROR(__xludf.DUMMYFUNCTION("1+if(istext(X67),if(REGEXMATCH(X67, ""Free Talent""), -1), -1)+if(istext(X67),if(REGEXMATCH(X67, ""x2""),1))+if(istext(X67),if(REGEXMATCH(X67, ""x3""),2))+if(istext(X67),if(REGEXMATCH(X67, ""x4""),3))+if(istext(X67),if(REGEXMATCH(X67, ""x5""),4))"),0.0)</f>
        <v>0</v>
      </c>
      <c r="X67" s="148"/>
      <c r="Y67" s="28"/>
      <c r="Z67" s="28"/>
      <c r="AA67" s="28"/>
      <c r="AB67" s="29"/>
      <c r="AC67" s="52"/>
      <c r="AD67" s="544">
        <f>IFERROR(__xludf.DUMMYFUNCTION("1+if(istext(AE67),if(REGEXMATCH(AE67, ""Free Talent""), -1), -1)+if(istext(AE67),if(REGEXMATCH(AE67, ""x2""),1))+if(istext(AE67),if(REGEXMATCH(AE67, ""x3""),2))+if(istext(AE67),if(REGEXMATCH(AE67, ""x4""),3))+if(istext(AE67),if(REGEXMATCH(AE67, ""x5""),4)"&amp;")"),0.0)</f>
        <v>0</v>
      </c>
      <c r="AE67" s="148"/>
      <c r="AF67" s="28"/>
      <c r="AG67" s="28"/>
      <c r="AH67" s="28"/>
      <c r="AI67" s="29"/>
      <c r="AJ67" s="52"/>
      <c r="AK67" s="544">
        <f>IFERROR(__xludf.DUMMYFUNCTION("1+if(istext(AL67),if(REGEXMATCH(AL67, ""Free Talent""), -1), -1)+if(istext(AL67),if(REGEXMATCH(AL67, ""x2""),1))+if(istext(AL67),if(REGEXMATCH(AL67, ""x3""),2))+if(istext(AL67),if(REGEXMATCH(AL67, ""x4""),3))+if(istext(AL67),if(REGEXMATCH(AL67, ""x5""),4)"&amp;")"),0.0)</f>
        <v>0</v>
      </c>
      <c r="AL67" s="148"/>
      <c r="AM67" s="28"/>
      <c r="AN67" s="28"/>
      <c r="AO67" s="28"/>
      <c r="AP67" s="29"/>
      <c r="AQ67" s="52"/>
      <c r="AR67" s="157" t="s">
        <v>148</v>
      </c>
      <c r="AS67" s="28"/>
      <c r="AT67" s="28"/>
      <c r="AU67" s="28"/>
      <c r="AV67" s="28"/>
      <c r="AW67" s="29"/>
      <c r="AX67" s="216"/>
      <c r="AY67" s="550"/>
      <c r="AZ67" s="552"/>
      <c r="BA67" s="552"/>
      <c r="BB67" s="552"/>
      <c r="BC67" s="552"/>
      <c r="BD67" s="552"/>
      <c r="BE67" s="552"/>
      <c r="BF67" s="552"/>
      <c r="BG67" s="552"/>
      <c r="BH67" s="552"/>
      <c r="BI67" s="552"/>
      <c r="BJ67" s="552"/>
      <c r="BK67" s="552"/>
      <c r="BL67" s="552"/>
      <c r="BM67" s="552"/>
      <c r="BN67" s="552"/>
      <c r="BO67" s="557"/>
    </row>
    <row r="68" hidden="1">
      <c r="A68" s="52"/>
      <c r="B68" s="325"/>
      <c r="C68" s="325"/>
      <c r="D68" s="366">
        <f>MIN(20,SUM(F68:G68))</f>
        <v>0</v>
      </c>
      <c r="E68" s="369" t="s">
        <v>145</v>
      </c>
      <c r="F68" s="372" t="str">
        <f>iferror(VLOOKUP(B62,'Main Sheet'!AE2:AQ4,13,false),"")</f>
        <v/>
      </c>
      <c r="G68" s="374"/>
      <c r="H68" s="52"/>
      <c r="I68" s="544">
        <f>IFERROR(__xludf.DUMMYFUNCTION("1+if(istext(J68),if(REGEXMATCH(J68, ""Free Talent""), -1), -1)+if(istext(J68),if(REGEXMATCH(J68, ""x2""),1))+if(istext(J68),if(REGEXMATCH(J68, ""x3""),2))+if(istext(J68),if(REGEXMATCH(J68, ""x4""),3))+if(istext(J68),if(REGEXMATCH(J68, ""x5""),4))"),0.0)</f>
        <v>0</v>
      </c>
      <c r="J68" s="148"/>
      <c r="K68" s="28"/>
      <c r="L68" s="28"/>
      <c r="M68" s="28"/>
      <c r="N68" s="29"/>
      <c r="O68" s="52"/>
      <c r="P68" s="544">
        <f>IFERROR(__xludf.DUMMYFUNCTION("1+if(istext(Q68),if(REGEXMATCH(Q68, ""Free Talent""), -1), -1)+if(istext(Q68),if(REGEXMATCH(Q68, ""x2""),1))+if(istext(Q68),if(REGEXMATCH(Q68, ""x3""),2))+if(istext(Q68),if(REGEXMATCH(Q68, ""x4""),3))+if(istext(Q68),if(REGEXMATCH(Q68, ""x5""),4))"),0.0)</f>
        <v>0</v>
      </c>
      <c r="Q68" s="148"/>
      <c r="R68" s="28"/>
      <c r="S68" s="28"/>
      <c r="T68" s="28"/>
      <c r="U68" s="29"/>
      <c r="V68" s="52"/>
      <c r="W68" s="544">
        <f>IFERROR(__xludf.DUMMYFUNCTION("1+if(istext(X68),if(REGEXMATCH(X68, ""Free Talent""), -1), -1)+if(istext(X68),if(REGEXMATCH(X68, ""x2""),1))+if(istext(X68),if(REGEXMATCH(X68, ""x3""),2))+if(istext(X68),if(REGEXMATCH(X68, ""x4""),3))+if(istext(X68),if(REGEXMATCH(X68, ""x5""),4))"),0.0)</f>
        <v>0</v>
      </c>
      <c r="X68" s="148"/>
      <c r="Y68" s="28"/>
      <c r="Z68" s="28"/>
      <c r="AA68" s="28"/>
      <c r="AB68" s="29"/>
      <c r="AC68" s="52"/>
      <c r="AD68" s="544">
        <f>IFERROR(__xludf.DUMMYFUNCTION("1+if(istext(AE68),if(REGEXMATCH(AE68, ""Free Talent""), -1), -1)+if(istext(AE68),if(REGEXMATCH(AE68, ""x2""),1))+if(istext(AE68),if(REGEXMATCH(AE68, ""x3""),2))+if(istext(AE68),if(REGEXMATCH(AE68, ""x4""),3))+if(istext(AE68),if(REGEXMATCH(AE68, ""x5""),4)"&amp;")"),0.0)</f>
        <v>0</v>
      </c>
      <c r="AE68" s="148"/>
      <c r="AF68" s="28"/>
      <c r="AG68" s="28"/>
      <c r="AH68" s="28"/>
      <c r="AI68" s="29"/>
      <c r="AJ68" s="52"/>
      <c r="AK68" s="544">
        <f>IFERROR(__xludf.DUMMYFUNCTION("1+if(istext(AL68),if(REGEXMATCH(AL68, ""Free Talent""), -1), -1)+if(istext(AL68),if(REGEXMATCH(AL68, ""x2""),1))+if(istext(AL68),if(REGEXMATCH(AL68, ""x3""),2))+if(istext(AL68),if(REGEXMATCH(AL68, ""x4""),3))+if(istext(AL68),if(REGEXMATCH(AL68, ""x5""),4)"&amp;")"),0.0)</f>
        <v>0</v>
      </c>
      <c r="AL68" s="148"/>
      <c r="AM68" s="28"/>
      <c r="AN68" s="28"/>
      <c r="AO68" s="28"/>
      <c r="AP68" s="29"/>
      <c r="AQ68" s="52"/>
      <c r="AR68" s="162"/>
      <c r="AS68" s="148"/>
      <c r="AT68" s="28"/>
      <c r="AU68" s="28"/>
      <c r="AV68" s="28"/>
      <c r="AW68" s="29"/>
      <c r="AX68" s="216"/>
      <c r="AY68" s="550"/>
      <c r="AZ68" s="552"/>
      <c r="BA68" s="552"/>
      <c r="BB68" s="552"/>
      <c r="BC68" s="552"/>
      <c r="BD68" s="552"/>
      <c r="BE68" s="552"/>
      <c r="BF68" s="552"/>
      <c r="BG68" s="552"/>
      <c r="BH68" s="552"/>
      <c r="BI68" s="552"/>
      <c r="BJ68" s="552"/>
      <c r="BK68" s="552"/>
      <c r="BL68" s="552"/>
      <c r="BM68" s="552"/>
      <c r="BN68" s="552"/>
      <c r="BO68" s="557"/>
    </row>
    <row r="69" hidden="1">
      <c r="A69" s="52"/>
      <c r="B69" s="581" t="s">
        <v>318</v>
      </c>
      <c r="C69" s="464"/>
      <c r="D69" s="351" t="s">
        <v>141</v>
      </c>
      <c r="E69" s="383"/>
      <c r="F69" s="351" t="s">
        <v>17</v>
      </c>
      <c r="G69" s="351" t="s">
        <v>293</v>
      </c>
      <c r="H69" s="52"/>
      <c r="I69" s="544">
        <f>IFERROR(__xludf.DUMMYFUNCTION("1+if(istext(J69),if(REGEXMATCH(J69, ""Free Talent""), -1), -1)+if(istext(J69),if(REGEXMATCH(J69, ""x2""),1))+if(istext(J69),if(REGEXMATCH(J69, ""x3""),2))+if(istext(J69),if(REGEXMATCH(J69, ""x4""),3))+if(istext(J69),if(REGEXMATCH(J69, ""x5""),4))"),0.0)</f>
        <v>0</v>
      </c>
      <c r="J69" s="148"/>
      <c r="K69" s="28"/>
      <c r="L69" s="28"/>
      <c r="M69" s="28"/>
      <c r="N69" s="29"/>
      <c r="O69" s="52"/>
      <c r="P69" s="544">
        <f>IFERROR(__xludf.DUMMYFUNCTION("1+if(istext(Q69),if(REGEXMATCH(Q69, ""Free Talent""), -1), -1)+if(istext(Q69),if(REGEXMATCH(Q69, ""x2""),1))+if(istext(Q69),if(REGEXMATCH(Q69, ""x3""),2))+if(istext(Q69),if(REGEXMATCH(Q69, ""x4""),3))+if(istext(Q69),if(REGEXMATCH(Q69, ""x5""),4))"),0.0)</f>
        <v>0</v>
      </c>
      <c r="Q69" s="148"/>
      <c r="R69" s="28"/>
      <c r="S69" s="28"/>
      <c r="T69" s="28"/>
      <c r="U69" s="29"/>
      <c r="V69" s="52"/>
      <c r="W69" s="544">
        <f>IFERROR(__xludf.DUMMYFUNCTION("1+if(istext(X69),if(REGEXMATCH(X69, ""Free Talent""), -1), -1)+if(istext(X69),if(REGEXMATCH(X69, ""x2""),1))+if(istext(X69),if(REGEXMATCH(X69, ""x3""),2))+if(istext(X69),if(REGEXMATCH(X69, ""x4""),3))+if(istext(X69),if(REGEXMATCH(X69, ""x5""),4))"),0.0)</f>
        <v>0</v>
      </c>
      <c r="X69" s="148"/>
      <c r="Y69" s="28"/>
      <c r="Z69" s="28"/>
      <c r="AA69" s="28"/>
      <c r="AB69" s="29"/>
      <c r="AC69" s="52"/>
      <c r="AD69" s="544">
        <f>IFERROR(__xludf.DUMMYFUNCTION("1+if(istext(AE69),if(REGEXMATCH(AE69, ""Free Talent""), -1), -1)+if(istext(AE69),if(REGEXMATCH(AE69, ""x2""),1))+if(istext(AE69),if(REGEXMATCH(AE69, ""x3""),2))+if(istext(AE69),if(REGEXMATCH(AE69, ""x4""),3))+if(istext(AE69),if(REGEXMATCH(AE69, ""x5""),4)"&amp;")"),0.0)</f>
        <v>0</v>
      </c>
      <c r="AE69" s="148"/>
      <c r="AF69" s="28"/>
      <c r="AG69" s="28"/>
      <c r="AH69" s="28"/>
      <c r="AI69" s="29"/>
      <c r="AJ69" s="52"/>
      <c r="AK69" s="544">
        <f>IFERROR(__xludf.DUMMYFUNCTION("1+if(istext(AL69),if(REGEXMATCH(AL69, ""Free Talent""), -1), -1)+if(istext(AL69),if(REGEXMATCH(AL69, ""x2""),1))+if(istext(AL69),if(REGEXMATCH(AL69, ""x3""),2))+if(istext(AL69),if(REGEXMATCH(AL69, ""x4""),3))+if(istext(AL69),if(REGEXMATCH(AL69, ""x5""),4)"&amp;")"),0.0)</f>
        <v>0</v>
      </c>
      <c r="AL69" s="148"/>
      <c r="AM69" s="28"/>
      <c r="AN69" s="28"/>
      <c r="AO69" s="28"/>
      <c r="AP69" s="29"/>
      <c r="AQ69" s="52"/>
      <c r="AR69" s="162"/>
      <c r="AS69" s="148"/>
      <c r="AT69" s="28"/>
      <c r="AU69" s="28"/>
      <c r="AV69" s="28"/>
      <c r="AW69" s="29"/>
      <c r="AX69" s="216"/>
      <c r="AY69" s="550"/>
      <c r="AZ69" s="552"/>
      <c r="BA69" s="552"/>
      <c r="BB69" s="552"/>
      <c r="BC69" s="552"/>
      <c r="BD69" s="552"/>
      <c r="BE69" s="552"/>
      <c r="BF69" s="552"/>
      <c r="BG69" s="552"/>
      <c r="BH69" s="552"/>
      <c r="BI69" s="552"/>
      <c r="BJ69" s="552"/>
      <c r="BK69" s="552"/>
      <c r="BL69" s="552"/>
      <c r="BM69" s="552"/>
      <c r="BN69" s="552"/>
      <c r="BO69" s="557"/>
    </row>
    <row r="70" hidden="1">
      <c r="A70" s="52"/>
      <c r="B70" s="325"/>
      <c r="C70" s="502"/>
      <c r="D70" s="366">
        <f>SUM(F70:G70)-iferror(abs('Main Sheet'!$Y$39),"")</f>
        <v>0</v>
      </c>
      <c r="E70" s="369" t="s">
        <v>145</v>
      </c>
      <c r="F70" s="587"/>
      <c r="G70" s="396"/>
      <c r="H70" s="52"/>
      <c r="I70" s="544">
        <f>IFERROR(__xludf.DUMMYFUNCTION("1+if(istext(J70),if(REGEXMATCH(J70, ""Free Talent""), -1), -1)+if(istext(J70),if(REGEXMATCH(J70, ""x2""),1))+if(istext(J70),if(REGEXMATCH(J70, ""x3""),2))+if(istext(J70),if(REGEXMATCH(J70, ""x4""),3))+if(istext(J70),if(REGEXMATCH(J70, ""x5""),4))"),0.0)</f>
        <v>0</v>
      </c>
      <c r="J70" s="148"/>
      <c r="K70" s="28"/>
      <c r="L70" s="28"/>
      <c r="M70" s="28"/>
      <c r="N70" s="29"/>
      <c r="O70" s="52"/>
      <c r="P70" s="544">
        <f>IFERROR(__xludf.DUMMYFUNCTION("1+if(istext(Q70),if(REGEXMATCH(Q70, ""Free Talent""), -1), -1)+if(istext(Q70),if(REGEXMATCH(Q70, ""x2""),1))+if(istext(Q70),if(REGEXMATCH(Q70, ""x3""),2))+if(istext(Q70),if(REGEXMATCH(Q70, ""x4""),3))+if(istext(Q70),if(REGEXMATCH(Q70, ""x5""),4))"),0.0)</f>
        <v>0</v>
      </c>
      <c r="Q70" s="148"/>
      <c r="R70" s="28"/>
      <c r="S70" s="28"/>
      <c r="T70" s="28"/>
      <c r="U70" s="29"/>
      <c r="V70" s="52"/>
      <c r="W70" s="544">
        <f>IFERROR(__xludf.DUMMYFUNCTION("1+if(istext(X70),if(REGEXMATCH(X70, ""Free Talent""), -1), -1)+if(istext(X70),if(REGEXMATCH(X70, ""x2""),1))+if(istext(X70),if(REGEXMATCH(X70, ""x3""),2))+if(istext(X70),if(REGEXMATCH(X70, ""x4""),3))+if(istext(X70),if(REGEXMATCH(X70, ""x5""),4))"),0.0)</f>
        <v>0</v>
      </c>
      <c r="X70" s="148"/>
      <c r="Y70" s="28"/>
      <c r="Z70" s="28"/>
      <c r="AA70" s="28"/>
      <c r="AB70" s="29"/>
      <c r="AC70" s="52"/>
      <c r="AD70" s="544">
        <f>IFERROR(__xludf.DUMMYFUNCTION("1+if(istext(AE70),if(REGEXMATCH(AE70, ""Free Talent""), -1), -1)+if(istext(AE70),if(REGEXMATCH(AE70, ""x2""),1))+if(istext(AE70),if(REGEXMATCH(AE70, ""x3""),2))+if(istext(AE70),if(REGEXMATCH(AE70, ""x4""),3))+if(istext(AE70),if(REGEXMATCH(AE70, ""x5""),4)"&amp;")"),0.0)</f>
        <v>0</v>
      </c>
      <c r="AE70" s="148"/>
      <c r="AF70" s="28"/>
      <c r="AG70" s="28"/>
      <c r="AH70" s="28"/>
      <c r="AI70" s="29"/>
      <c r="AJ70" s="52"/>
      <c r="AK70" s="544">
        <f>IFERROR(__xludf.DUMMYFUNCTION("1+if(istext(AL70),if(REGEXMATCH(AL70, ""Free Talent""), -1), -1)+if(istext(AL70),if(REGEXMATCH(AL70, ""x2""),1))+if(istext(AL70),if(REGEXMATCH(AL70, ""x3""),2))+if(istext(AL70),if(REGEXMATCH(AL70, ""x4""),3))+if(istext(AL70),if(REGEXMATCH(AL70, ""x5""),4)"&amp;")"),0.0)</f>
        <v>0</v>
      </c>
      <c r="AL70" s="148"/>
      <c r="AM70" s="28"/>
      <c r="AN70" s="28"/>
      <c r="AO70" s="28"/>
      <c r="AP70" s="29"/>
      <c r="AQ70" s="52"/>
      <c r="AR70" s="162"/>
      <c r="AS70" s="148"/>
      <c r="AT70" s="28"/>
      <c r="AU70" s="28"/>
      <c r="AV70" s="28"/>
      <c r="AW70" s="29"/>
      <c r="AX70" s="216"/>
      <c r="AY70" s="550"/>
      <c r="AZ70" s="552"/>
      <c r="BA70" s="552"/>
      <c r="BB70" s="552"/>
      <c r="BC70" s="552"/>
      <c r="BD70" s="552"/>
      <c r="BE70" s="552"/>
      <c r="BF70" s="552"/>
      <c r="BG70" s="552"/>
      <c r="BH70" s="552"/>
      <c r="BI70" s="552"/>
      <c r="BJ70" s="552"/>
      <c r="BK70" s="552"/>
      <c r="BL70" s="552"/>
      <c r="BM70" s="552"/>
      <c r="BN70" s="552"/>
      <c r="BO70" s="557"/>
    </row>
    <row r="71" hidden="1">
      <c r="A71" s="52"/>
      <c r="B71" s="381" t="s">
        <v>681</v>
      </c>
      <c r="C71" s="195"/>
      <c r="D71" s="86"/>
      <c r="E71" s="52"/>
      <c r="F71" s="52"/>
      <c r="G71" s="588"/>
      <c r="H71" s="52"/>
      <c r="I71" s="589">
        <f>if(I62=P62,sum(sum(I63:I70),sum(P63:P70)), sum(I63:I70))+if(istext(I62),1,0)</f>
        <v>0</v>
      </c>
      <c r="J71" s="589"/>
      <c r="K71" s="589"/>
      <c r="L71" s="589"/>
      <c r="M71" s="589"/>
      <c r="N71" s="589"/>
      <c r="O71" s="52"/>
      <c r="P71" s="589">
        <f>if(I62=P62,0,if(P62=W62,sum(sum(P63:P70),sum(W63:W70))+if(istext(P62),1,0), sum(P63:P70)+if(istext(P62),1,0)))</f>
        <v>0</v>
      </c>
      <c r="Q71" s="589"/>
      <c r="R71" s="589"/>
      <c r="S71" s="589"/>
      <c r="T71" s="589"/>
      <c r="U71" s="589"/>
      <c r="V71" s="52"/>
      <c r="W71" s="589">
        <f>if(P62=W62,0,if(W62=AD62,sum(sum(W63:W70),sum(AD63:AD70))+if(istext(W62),1,0), sum(W63:W70)+if(istext(W62),1,0)))</f>
        <v>0</v>
      </c>
      <c r="X71" s="589"/>
      <c r="Y71" s="589"/>
      <c r="Z71" s="589"/>
      <c r="AA71" s="589"/>
      <c r="AB71" s="589"/>
      <c r="AC71" s="52"/>
      <c r="AD71" s="589">
        <f>if(W62=AD62,0,if(AD62=AK62,sum(sum(AD63:AD70),sum(AK63:AK70))+if(istext(AD62),1,0), sum(AD63:AD70)+if(istext(AD62),1,0)))</f>
        <v>0</v>
      </c>
      <c r="AE71" s="589"/>
      <c r="AF71" s="589"/>
      <c r="AG71" s="589"/>
      <c r="AH71" s="589"/>
      <c r="AI71" s="589"/>
      <c r="AJ71" s="52"/>
      <c r="AK71" s="589">
        <f>if(AD62=AK62,0,if(AK62=I72,sum(sum(AK63:AK70),sum(I73:I80))+if(istext(AK62),1,0), sum(AK63:AK70)+if(istext(AK62),1,0)))</f>
        <v>0</v>
      </c>
      <c r="AL71" s="589"/>
      <c r="AM71" s="86"/>
      <c r="AN71" s="86"/>
      <c r="AO71" s="86"/>
      <c r="AP71" s="86"/>
      <c r="AQ71" s="52"/>
      <c r="AR71" s="162"/>
      <c r="AS71" s="148"/>
      <c r="AT71" s="28"/>
      <c r="AU71" s="28"/>
      <c r="AV71" s="28"/>
      <c r="AW71" s="29"/>
      <c r="AX71" s="216"/>
      <c r="AY71" s="550"/>
      <c r="AZ71" s="552"/>
      <c r="BA71" s="552"/>
      <c r="BB71" s="552"/>
      <c r="BC71" s="552"/>
      <c r="BD71" s="552"/>
      <c r="BE71" s="552"/>
      <c r="BF71" s="552"/>
      <c r="BG71" s="552"/>
      <c r="BH71" s="552"/>
      <c r="BI71" s="552"/>
      <c r="BJ71" s="552"/>
      <c r="BK71" s="552"/>
      <c r="BL71" s="552"/>
      <c r="BM71" s="552"/>
      <c r="BN71" s="552"/>
      <c r="BO71" s="557"/>
    </row>
    <row r="72" hidden="1">
      <c r="A72" s="52"/>
      <c r="B72" s="325"/>
      <c r="C72" s="325"/>
      <c r="D72" s="366">
        <f>10+floor(D70/2,1)+G64</f>
        <v>10</v>
      </c>
      <c r="E72" s="142"/>
      <c r="F72" s="52"/>
      <c r="G72" s="52"/>
      <c r="H72" s="52"/>
      <c r="I72" s="539"/>
      <c r="J72" s="28"/>
      <c r="K72" s="28"/>
      <c r="L72" s="28"/>
      <c r="M72" s="28"/>
      <c r="N72" s="29"/>
      <c r="O72" s="52"/>
      <c r="P72" s="539"/>
      <c r="Q72" s="28"/>
      <c r="R72" s="28"/>
      <c r="S72" s="28"/>
      <c r="T72" s="28"/>
      <c r="U72" s="29"/>
      <c r="V72" s="52"/>
      <c r="W72" s="539"/>
      <c r="X72" s="28"/>
      <c r="Y72" s="28"/>
      <c r="Z72" s="28"/>
      <c r="AA72" s="28"/>
      <c r="AB72" s="29"/>
      <c r="AC72" s="52"/>
      <c r="AD72" s="539"/>
      <c r="AE72" s="28"/>
      <c r="AF72" s="28"/>
      <c r="AG72" s="28"/>
      <c r="AH72" s="28"/>
      <c r="AI72" s="29"/>
      <c r="AJ72" s="52"/>
      <c r="AK72" s="539"/>
      <c r="AL72" s="28"/>
      <c r="AM72" s="28"/>
      <c r="AN72" s="28"/>
      <c r="AO72" s="28"/>
      <c r="AP72" s="29"/>
      <c r="AQ72" s="52"/>
      <c r="AR72" s="157" t="s">
        <v>223</v>
      </c>
      <c r="AS72" s="28"/>
      <c r="AT72" s="28"/>
      <c r="AU72" s="28"/>
      <c r="AV72" s="28"/>
      <c r="AW72" s="29"/>
      <c r="AX72" s="216"/>
      <c r="AY72" s="550"/>
      <c r="AZ72" s="552"/>
      <c r="BA72" s="552"/>
      <c r="BB72" s="552"/>
      <c r="BC72" s="552"/>
      <c r="BD72" s="552"/>
      <c r="BE72" s="552"/>
      <c r="BF72" s="552"/>
      <c r="BG72" s="552"/>
      <c r="BH72" s="552"/>
      <c r="BI72" s="552"/>
      <c r="BJ72" s="552"/>
      <c r="BK72" s="552"/>
      <c r="BL72" s="552"/>
      <c r="BM72" s="552"/>
      <c r="BN72" s="552"/>
      <c r="BO72" s="557"/>
    </row>
    <row r="73" hidden="1">
      <c r="A73" s="52"/>
      <c r="B73" s="52"/>
      <c r="C73" s="52"/>
      <c r="D73" s="52"/>
      <c r="E73" s="52"/>
      <c r="F73" s="52"/>
      <c r="G73" s="52"/>
      <c r="H73" s="52"/>
      <c r="I73" s="544">
        <f>IFERROR(__xludf.DUMMYFUNCTION("1+if(istext(J73),if(REGEXMATCH(J73, ""Free Talent""), -1), -1)+if(istext(J73),if(REGEXMATCH(J73, ""x2""),1))+if(istext(J73),if(REGEXMATCH(J73, ""x3""),2))+if(istext(J73),if(REGEXMATCH(J73, ""x4""),3))+if(istext(J73),if(REGEXMATCH(J73, ""x5""),4))"),0.0)</f>
        <v>0</v>
      </c>
      <c r="J73" s="148"/>
      <c r="K73" s="28"/>
      <c r="L73" s="28"/>
      <c r="M73" s="28"/>
      <c r="N73" s="29"/>
      <c r="O73" s="52"/>
      <c r="P73" s="544">
        <f>IFERROR(__xludf.DUMMYFUNCTION("1+if(istext(Q73),if(REGEXMATCH(Q73, ""Free Talent""), -1), -1)+if(istext(Q73),if(REGEXMATCH(Q73, ""x2""),1))+if(istext(Q73),if(REGEXMATCH(Q73, ""x3""),2))+if(istext(Q73),if(REGEXMATCH(Q73, ""x4""),3))+if(istext(Q73),if(REGEXMATCH(Q73, ""x5""),4))"),0.0)</f>
        <v>0</v>
      </c>
      <c r="Q73" s="148"/>
      <c r="R73" s="28"/>
      <c r="S73" s="28"/>
      <c r="T73" s="28"/>
      <c r="U73" s="29"/>
      <c r="V73" s="52"/>
      <c r="W73" s="544">
        <f>IFERROR(__xludf.DUMMYFUNCTION("1+if(istext(X73),if(REGEXMATCH(X73, ""Free Talent""), -1), -1)+if(istext(X73),if(REGEXMATCH(X73, ""x2""),1))+if(istext(X73),if(REGEXMATCH(X73, ""x3""),2))+if(istext(X73),if(REGEXMATCH(X73, ""x4""),3))+if(istext(X73),if(REGEXMATCH(X73, ""x5""),4))"),0.0)</f>
        <v>0</v>
      </c>
      <c r="X73" s="148"/>
      <c r="Y73" s="28"/>
      <c r="Z73" s="28"/>
      <c r="AA73" s="28"/>
      <c r="AB73" s="29"/>
      <c r="AC73" s="52"/>
      <c r="AD73" s="544">
        <f>IFERROR(__xludf.DUMMYFUNCTION("1+if(istext(AE73),if(REGEXMATCH(AE73, ""Free Talent""), -1), -1)+if(istext(AE73),if(REGEXMATCH(AE73, ""x2""),1))+if(istext(AE73),if(REGEXMATCH(AE73, ""x3""),2))+if(istext(AE73),if(REGEXMATCH(AE73, ""x4""),3))+if(istext(AE73),if(REGEXMATCH(AE73, ""x5""),4)"&amp;")"),0.0)</f>
        <v>0</v>
      </c>
      <c r="AE73" s="148"/>
      <c r="AF73" s="28"/>
      <c r="AG73" s="28"/>
      <c r="AH73" s="28"/>
      <c r="AI73" s="29"/>
      <c r="AJ73" s="52"/>
      <c r="AK73" s="544">
        <f>IFERROR(__xludf.DUMMYFUNCTION("1+if(istext(AL73),if(REGEXMATCH(AL73, ""Free Talent""), -1), -1)+if(istext(AL73),if(REGEXMATCH(AL73, ""x2""),1))+if(istext(AL73),if(REGEXMATCH(AL73, ""x3""),2))+if(istext(AL73),if(REGEXMATCH(AL73, ""x4""),3))+if(istext(AL73),if(REGEXMATCH(AL73, ""x5""),4)"&amp;")"),0.0)</f>
        <v>0</v>
      </c>
      <c r="AL73" s="148"/>
      <c r="AM73" s="28"/>
      <c r="AN73" s="28"/>
      <c r="AO73" s="28"/>
      <c r="AP73" s="29"/>
      <c r="AQ73" s="52"/>
      <c r="AR73" s="162"/>
      <c r="AS73" s="148"/>
      <c r="AT73" s="28"/>
      <c r="AU73" s="28"/>
      <c r="AV73" s="28"/>
      <c r="AW73" s="29"/>
      <c r="AX73" s="216"/>
      <c r="AY73" s="550"/>
      <c r="AZ73" s="552"/>
      <c r="BA73" s="552"/>
      <c r="BB73" s="552"/>
      <c r="BC73" s="552"/>
      <c r="BD73" s="552"/>
      <c r="BE73" s="552"/>
      <c r="BF73" s="552"/>
      <c r="BG73" s="552"/>
      <c r="BH73" s="552"/>
      <c r="BI73" s="552"/>
      <c r="BJ73" s="552"/>
      <c r="BK73" s="552"/>
      <c r="BL73" s="552"/>
      <c r="BM73" s="552"/>
      <c r="BN73" s="552"/>
      <c r="BO73" s="557"/>
    </row>
    <row r="74" hidden="1">
      <c r="A74" s="52"/>
      <c r="B74" s="52"/>
      <c r="C74" s="52"/>
      <c r="D74" s="52"/>
      <c r="E74" s="52"/>
      <c r="F74" s="52"/>
      <c r="G74" s="52"/>
      <c r="H74" s="52"/>
      <c r="I74" s="544">
        <f>IFERROR(__xludf.DUMMYFUNCTION("1+if(istext(J74),if(REGEXMATCH(J74, ""Free Talent""), -1), -1)+if(istext(J74),if(REGEXMATCH(J74, ""x2""),1))+if(istext(J74),if(REGEXMATCH(J74, ""x3""),2))+if(istext(J74),if(REGEXMATCH(J74, ""x4""),3))+if(istext(J74),if(REGEXMATCH(J74, ""x5""),4))"),0.0)</f>
        <v>0</v>
      </c>
      <c r="J74" s="148"/>
      <c r="K74" s="28"/>
      <c r="L74" s="28"/>
      <c r="M74" s="28"/>
      <c r="N74" s="29"/>
      <c r="O74" s="52"/>
      <c r="P74" s="544">
        <f>IFERROR(__xludf.DUMMYFUNCTION("1+if(istext(Q74),if(REGEXMATCH(Q74, ""Free Talent""), -1), -1)+if(istext(Q74),if(REGEXMATCH(Q74, ""x2""),1))+if(istext(Q74),if(REGEXMATCH(Q74, ""x3""),2))+if(istext(Q74),if(REGEXMATCH(Q74, ""x4""),3))+if(istext(Q74),if(REGEXMATCH(Q74, ""x5""),4))"),0.0)</f>
        <v>0</v>
      </c>
      <c r="Q74" s="148"/>
      <c r="R74" s="28"/>
      <c r="S74" s="28"/>
      <c r="T74" s="28"/>
      <c r="U74" s="29"/>
      <c r="V74" s="52"/>
      <c r="W74" s="544">
        <f>IFERROR(__xludf.DUMMYFUNCTION("1+if(istext(X74),if(REGEXMATCH(X74, ""Free Talent""), -1), -1)+if(istext(X74),if(REGEXMATCH(X74, ""x2""),1))+if(istext(X74),if(REGEXMATCH(X74, ""x3""),2))+if(istext(X74),if(REGEXMATCH(X74, ""x4""),3))+if(istext(X74),if(REGEXMATCH(X74, ""x5""),4))"),0.0)</f>
        <v>0</v>
      </c>
      <c r="X74" s="148"/>
      <c r="Y74" s="28"/>
      <c r="Z74" s="28"/>
      <c r="AA74" s="28"/>
      <c r="AB74" s="29"/>
      <c r="AC74" s="52"/>
      <c r="AD74" s="544">
        <f>IFERROR(__xludf.DUMMYFUNCTION("1+if(istext(AE74),if(REGEXMATCH(AE74, ""Free Talent""), -1), -1)+if(istext(AE74),if(REGEXMATCH(AE74, ""x2""),1))+if(istext(AE74),if(REGEXMATCH(AE74, ""x3""),2))+if(istext(AE74),if(REGEXMATCH(AE74, ""x4""),3))+if(istext(AE74),if(REGEXMATCH(AE74, ""x5""),4)"&amp;")"),0.0)</f>
        <v>0</v>
      </c>
      <c r="AE74" s="148"/>
      <c r="AF74" s="28"/>
      <c r="AG74" s="28"/>
      <c r="AH74" s="28"/>
      <c r="AI74" s="29"/>
      <c r="AJ74" s="52"/>
      <c r="AK74" s="544">
        <f>IFERROR(__xludf.DUMMYFUNCTION("1+if(istext(AL74),if(REGEXMATCH(AL74, ""Free Talent""), -1), -1)+if(istext(AL74),if(REGEXMATCH(AL74, ""x2""),1))+if(istext(AL74),if(REGEXMATCH(AL74, ""x3""),2))+if(istext(AL74),if(REGEXMATCH(AL74, ""x4""),3))+if(istext(AL74),if(REGEXMATCH(AL74, ""x5""),4)"&amp;")"),0.0)</f>
        <v>0</v>
      </c>
      <c r="AL74" s="148"/>
      <c r="AM74" s="28"/>
      <c r="AN74" s="28"/>
      <c r="AO74" s="28"/>
      <c r="AP74" s="29"/>
      <c r="AQ74" s="52"/>
      <c r="AR74" s="162"/>
      <c r="AS74" s="148"/>
      <c r="AT74" s="28"/>
      <c r="AU74" s="28"/>
      <c r="AV74" s="28"/>
      <c r="AW74" s="29"/>
      <c r="AX74" s="216"/>
      <c r="AY74" s="550"/>
      <c r="AZ74" s="552"/>
      <c r="BA74" s="552"/>
      <c r="BB74" s="552"/>
      <c r="BC74" s="552"/>
      <c r="BD74" s="552"/>
      <c r="BE74" s="552"/>
      <c r="BF74" s="552"/>
      <c r="BG74" s="552"/>
      <c r="BH74" s="552"/>
      <c r="BI74" s="552"/>
      <c r="BJ74" s="552"/>
      <c r="BK74" s="552"/>
      <c r="BL74" s="552"/>
      <c r="BM74" s="552"/>
      <c r="BN74" s="552"/>
      <c r="BO74" s="557"/>
    </row>
    <row r="75" hidden="1">
      <c r="A75" s="52"/>
      <c r="B75" s="52"/>
      <c r="C75" s="52"/>
      <c r="D75" s="52"/>
      <c r="E75" s="52"/>
      <c r="F75" s="52"/>
      <c r="G75" s="52"/>
      <c r="H75" s="592"/>
      <c r="I75" s="544">
        <f>IFERROR(__xludf.DUMMYFUNCTION("1+if(istext(J75),if(REGEXMATCH(J75, ""Free Talent""), -1), -1)+if(istext(J75),if(REGEXMATCH(J75, ""x2""),1))+if(istext(J75),if(REGEXMATCH(J75, ""x3""),2))+if(istext(J75),if(REGEXMATCH(J75, ""x4""),3))+if(istext(J75),if(REGEXMATCH(J75, ""x5""),4))"),0.0)</f>
        <v>0</v>
      </c>
      <c r="J75" s="148"/>
      <c r="K75" s="28"/>
      <c r="L75" s="28"/>
      <c r="M75" s="28"/>
      <c r="N75" s="29"/>
      <c r="O75" s="52"/>
      <c r="P75" s="544">
        <f>IFERROR(__xludf.DUMMYFUNCTION("1+if(istext(Q75),if(REGEXMATCH(Q75, ""Free Talent""), -1), -1)+if(istext(Q75),if(REGEXMATCH(Q75, ""x2""),1))+if(istext(Q75),if(REGEXMATCH(Q75, ""x3""),2))+if(istext(Q75),if(REGEXMATCH(Q75, ""x4""),3))+if(istext(Q75),if(REGEXMATCH(Q75, ""x5""),4))"),0.0)</f>
        <v>0</v>
      </c>
      <c r="Q75" s="148"/>
      <c r="R75" s="28"/>
      <c r="S75" s="28"/>
      <c r="T75" s="28"/>
      <c r="U75" s="29"/>
      <c r="V75" s="52"/>
      <c r="W75" s="544">
        <f>IFERROR(__xludf.DUMMYFUNCTION("1+if(istext(X75),if(REGEXMATCH(X75, ""Free Talent""), -1), -1)+if(istext(X75),if(REGEXMATCH(X75, ""x2""),1))+if(istext(X75),if(REGEXMATCH(X75, ""x3""),2))+if(istext(X75),if(REGEXMATCH(X75, ""x4""),3))+if(istext(X75),if(REGEXMATCH(X75, ""x5""),4))"),0.0)</f>
        <v>0</v>
      </c>
      <c r="X75" s="148"/>
      <c r="Y75" s="28"/>
      <c r="Z75" s="28"/>
      <c r="AA75" s="28"/>
      <c r="AB75" s="29"/>
      <c r="AC75" s="52"/>
      <c r="AD75" s="544">
        <f>IFERROR(__xludf.DUMMYFUNCTION("1+if(istext(AE75),if(REGEXMATCH(AE75, ""Free Talent""), -1), -1)+if(istext(AE75),if(REGEXMATCH(AE75, ""x2""),1))+if(istext(AE75),if(REGEXMATCH(AE75, ""x3""),2))+if(istext(AE75),if(REGEXMATCH(AE75, ""x4""),3))+if(istext(AE75),if(REGEXMATCH(AE75, ""x5""),4)"&amp;")"),0.0)</f>
        <v>0</v>
      </c>
      <c r="AE75" s="148"/>
      <c r="AF75" s="28"/>
      <c r="AG75" s="28"/>
      <c r="AH75" s="28"/>
      <c r="AI75" s="29"/>
      <c r="AJ75" s="52"/>
      <c r="AK75" s="544">
        <f>IFERROR(__xludf.DUMMYFUNCTION("1+if(istext(AL75),if(REGEXMATCH(AL75, ""Free Talent""), -1), -1)+if(istext(AL75),if(REGEXMATCH(AL75, ""x2""),1))+if(istext(AL75),if(REGEXMATCH(AL75, ""x3""),2))+if(istext(AL75),if(REGEXMATCH(AL75, ""x4""),3))+if(istext(AL75),if(REGEXMATCH(AL75, ""x5""),4)"&amp;")"),0.0)</f>
        <v>0</v>
      </c>
      <c r="AL75" s="148"/>
      <c r="AM75" s="28"/>
      <c r="AN75" s="28"/>
      <c r="AO75" s="28"/>
      <c r="AP75" s="29"/>
      <c r="AQ75" s="52"/>
      <c r="AR75" s="162"/>
      <c r="AS75" s="148"/>
      <c r="AT75" s="28"/>
      <c r="AU75" s="28"/>
      <c r="AV75" s="28"/>
      <c r="AW75" s="29"/>
      <c r="AX75" s="216"/>
      <c r="AY75" s="550"/>
      <c r="AZ75" s="552"/>
      <c r="BA75" s="552"/>
      <c r="BB75" s="552"/>
      <c r="BC75" s="552"/>
      <c r="BD75" s="552"/>
      <c r="BE75" s="552"/>
      <c r="BF75" s="552"/>
      <c r="BG75" s="552"/>
      <c r="BH75" s="552"/>
      <c r="BI75" s="552"/>
      <c r="BJ75" s="552"/>
      <c r="BK75" s="552"/>
      <c r="BL75" s="552"/>
      <c r="BM75" s="552"/>
      <c r="BN75" s="552"/>
      <c r="BO75" s="557"/>
    </row>
    <row r="76" hidden="1">
      <c r="A76" s="52"/>
      <c r="B76" s="52"/>
      <c r="C76" s="52"/>
      <c r="D76" s="52"/>
      <c r="E76" s="52"/>
      <c r="F76" s="52"/>
      <c r="G76" s="52"/>
      <c r="H76" s="592"/>
      <c r="I76" s="544">
        <f>IFERROR(__xludf.DUMMYFUNCTION("1+if(istext(J76),if(REGEXMATCH(J76, ""Free Talent""), -1), -1)+if(istext(J76),if(REGEXMATCH(J76, ""x2""),1))+if(istext(J76),if(REGEXMATCH(J76, ""x3""),2))+if(istext(J76),if(REGEXMATCH(J76, ""x4""),3))+if(istext(J76),if(REGEXMATCH(J76, ""x5""),4))"),0.0)</f>
        <v>0</v>
      </c>
      <c r="J76" s="148"/>
      <c r="K76" s="28"/>
      <c r="L76" s="28"/>
      <c r="M76" s="28"/>
      <c r="N76" s="29"/>
      <c r="O76" s="52"/>
      <c r="P76" s="544">
        <f>IFERROR(__xludf.DUMMYFUNCTION("1+if(istext(Q76),if(REGEXMATCH(Q76, ""Free Talent""), -1), -1)+if(istext(Q76),if(REGEXMATCH(Q76, ""x2""),1))+if(istext(Q76),if(REGEXMATCH(Q76, ""x3""),2))+if(istext(Q76),if(REGEXMATCH(Q76, ""x4""),3))+if(istext(Q76),if(REGEXMATCH(Q76, ""x5""),4))"),0.0)</f>
        <v>0</v>
      </c>
      <c r="Q76" s="148"/>
      <c r="R76" s="28"/>
      <c r="S76" s="28"/>
      <c r="T76" s="28"/>
      <c r="U76" s="29"/>
      <c r="V76" s="52"/>
      <c r="W76" s="544">
        <f>IFERROR(__xludf.DUMMYFUNCTION("1+if(istext(X76),if(REGEXMATCH(X76, ""Free Talent""), -1), -1)+if(istext(X76),if(REGEXMATCH(X76, ""x2""),1))+if(istext(X76),if(REGEXMATCH(X76, ""x3""),2))+if(istext(X76),if(REGEXMATCH(X76, ""x4""),3))+if(istext(X76),if(REGEXMATCH(X76, ""x5""),4))"),0.0)</f>
        <v>0</v>
      </c>
      <c r="X76" s="148"/>
      <c r="Y76" s="28"/>
      <c r="Z76" s="28"/>
      <c r="AA76" s="28"/>
      <c r="AB76" s="29"/>
      <c r="AC76" s="52"/>
      <c r="AD76" s="544">
        <f>IFERROR(__xludf.DUMMYFUNCTION("1+if(istext(AE76),if(REGEXMATCH(AE76, ""Free Talent""), -1), -1)+if(istext(AE76),if(REGEXMATCH(AE76, ""x2""),1))+if(istext(AE76),if(REGEXMATCH(AE76, ""x3""),2))+if(istext(AE76),if(REGEXMATCH(AE76, ""x4""),3))+if(istext(AE76),if(REGEXMATCH(AE76, ""x5""),4)"&amp;")"),0.0)</f>
        <v>0</v>
      </c>
      <c r="AE76" s="148"/>
      <c r="AF76" s="28"/>
      <c r="AG76" s="28"/>
      <c r="AH76" s="28"/>
      <c r="AI76" s="29"/>
      <c r="AJ76" s="52"/>
      <c r="AK76" s="544">
        <f>IFERROR(__xludf.DUMMYFUNCTION("1+if(istext(AL76),if(REGEXMATCH(AL76, ""Free Talent""), -1), -1)+if(istext(AL76),if(REGEXMATCH(AL76, ""x2""),1))+if(istext(AL76),if(REGEXMATCH(AL76, ""x3""),2))+if(istext(AL76),if(REGEXMATCH(AL76, ""x4""),3))+if(istext(AL76),if(REGEXMATCH(AL76, ""x5""),4)"&amp;")"),0.0)</f>
        <v>0</v>
      </c>
      <c r="AL76" s="148"/>
      <c r="AM76" s="28"/>
      <c r="AN76" s="28"/>
      <c r="AO76" s="28"/>
      <c r="AP76" s="29"/>
      <c r="AQ76" s="52"/>
      <c r="AR76" s="162"/>
      <c r="AS76" s="148"/>
      <c r="AT76" s="28"/>
      <c r="AU76" s="28"/>
      <c r="AV76" s="28"/>
      <c r="AW76" s="29"/>
      <c r="AX76" s="216"/>
      <c r="AY76" s="550"/>
      <c r="AZ76" s="552"/>
      <c r="BA76" s="552"/>
      <c r="BB76" s="552"/>
      <c r="BC76" s="552"/>
      <c r="BD76" s="552"/>
      <c r="BE76" s="552"/>
      <c r="BF76" s="552"/>
      <c r="BG76" s="552"/>
      <c r="BH76" s="552"/>
      <c r="BI76" s="552"/>
      <c r="BJ76" s="552"/>
      <c r="BK76" s="552"/>
      <c r="BL76" s="552"/>
      <c r="BM76" s="552"/>
      <c r="BN76" s="552"/>
      <c r="BO76" s="557"/>
    </row>
    <row r="77" hidden="1">
      <c r="A77" s="52"/>
      <c r="B77" s="52"/>
      <c r="C77" s="52"/>
      <c r="D77" s="52"/>
      <c r="E77" s="52"/>
      <c r="F77" s="52"/>
      <c r="G77" s="52"/>
      <c r="H77" s="592"/>
      <c r="I77" s="544">
        <f>IFERROR(__xludf.DUMMYFUNCTION("1+if(istext(J77),if(REGEXMATCH(J77, ""Free Talent""), -1), -1)+if(istext(J77),if(REGEXMATCH(J77, ""x2""),1))+if(istext(J77),if(REGEXMATCH(J77, ""x3""),2))+if(istext(J77),if(REGEXMATCH(J77, ""x4""),3))+if(istext(J77),if(REGEXMATCH(J77, ""x5""),4))"),0.0)</f>
        <v>0</v>
      </c>
      <c r="J77" s="148"/>
      <c r="K77" s="28"/>
      <c r="L77" s="28"/>
      <c r="M77" s="28"/>
      <c r="N77" s="29"/>
      <c r="O77" s="52"/>
      <c r="P77" s="544">
        <f>IFERROR(__xludf.DUMMYFUNCTION("1+if(istext(Q77),if(REGEXMATCH(Q77, ""Free Talent""), -1), -1)+if(istext(Q77),if(REGEXMATCH(Q77, ""x2""),1))+if(istext(Q77),if(REGEXMATCH(Q77, ""x3""),2))+if(istext(Q77),if(REGEXMATCH(Q77, ""x4""),3))+if(istext(Q77),if(REGEXMATCH(Q77, ""x5""),4))"),0.0)</f>
        <v>0</v>
      </c>
      <c r="Q77" s="148"/>
      <c r="R77" s="28"/>
      <c r="S77" s="28"/>
      <c r="T77" s="28"/>
      <c r="U77" s="29"/>
      <c r="V77" s="52"/>
      <c r="W77" s="544">
        <f>IFERROR(__xludf.DUMMYFUNCTION("1+if(istext(X77),if(REGEXMATCH(X77, ""Free Talent""), -1), -1)+if(istext(X77),if(REGEXMATCH(X77, ""x2""),1))+if(istext(X77),if(REGEXMATCH(X77, ""x3""),2))+if(istext(X77),if(REGEXMATCH(X77, ""x4""),3))+if(istext(X77),if(REGEXMATCH(X77, ""x5""),4))"),0.0)</f>
        <v>0</v>
      </c>
      <c r="X77" s="148"/>
      <c r="Y77" s="28"/>
      <c r="Z77" s="28"/>
      <c r="AA77" s="28"/>
      <c r="AB77" s="29"/>
      <c r="AC77" s="52"/>
      <c r="AD77" s="544">
        <f>IFERROR(__xludf.DUMMYFUNCTION("1+if(istext(AE77),if(REGEXMATCH(AE77, ""Free Talent""), -1), -1)+if(istext(AE77),if(REGEXMATCH(AE77, ""x2""),1))+if(istext(AE77),if(REGEXMATCH(AE77, ""x3""),2))+if(istext(AE77),if(REGEXMATCH(AE77, ""x4""),3))+if(istext(AE77),if(REGEXMATCH(AE77, ""x5""),4)"&amp;")"),0.0)</f>
        <v>0</v>
      </c>
      <c r="AE77" s="148"/>
      <c r="AF77" s="28"/>
      <c r="AG77" s="28"/>
      <c r="AH77" s="28"/>
      <c r="AI77" s="29"/>
      <c r="AJ77" s="52"/>
      <c r="AK77" s="544">
        <f>IFERROR(__xludf.DUMMYFUNCTION("1+if(istext(AL77),if(REGEXMATCH(AL77, ""Free Talent""), -1), -1)+if(istext(AL77),if(REGEXMATCH(AL77, ""x2""),1))+if(istext(AL77),if(REGEXMATCH(AL77, ""x3""),2))+if(istext(AL77),if(REGEXMATCH(AL77, ""x4""),3))+if(istext(AL77),if(REGEXMATCH(AL77, ""x5""),4)"&amp;")"),0.0)</f>
        <v>0</v>
      </c>
      <c r="AL77" s="148"/>
      <c r="AM77" s="28"/>
      <c r="AN77" s="28"/>
      <c r="AO77" s="28"/>
      <c r="AP77" s="29"/>
      <c r="AQ77" s="52"/>
      <c r="AR77" s="157" t="s">
        <v>301</v>
      </c>
      <c r="AS77" s="28"/>
      <c r="AT77" s="28"/>
      <c r="AU77" s="28"/>
      <c r="AV77" s="28"/>
      <c r="AW77" s="29"/>
      <c r="AX77" s="216"/>
      <c r="AY77" s="550"/>
      <c r="AZ77" s="552"/>
      <c r="BA77" s="552"/>
      <c r="BB77" s="552"/>
      <c r="BC77" s="552"/>
      <c r="BD77" s="552"/>
      <c r="BE77" s="552"/>
      <c r="BF77" s="552"/>
      <c r="BG77" s="552"/>
      <c r="BH77" s="552"/>
      <c r="BI77" s="552"/>
      <c r="BJ77" s="552"/>
      <c r="BK77" s="552"/>
      <c r="BL77" s="552"/>
      <c r="BM77" s="552"/>
      <c r="BN77" s="552"/>
      <c r="BO77" s="557"/>
    </row>
    <row r="78" hidden="1">
      <c r="A78" s="52"/>
      <c r="B78" s="52"/>
      <c r="C78" s="52"/>
      <c r="D78" s="52"/>
      <c r="E78" s="52"/>
      <c r="F78" s="52"/>
      <c r="G78" s="52"/>
      <c r="H78" s="592"/>
      <c r="I78" s="544">
        <f>IFERROR(__xludf.DUMMYFUNCTION("1+if(istext(J78),if(REGEXMATCH(J78, ""Free Talent""), -1), -1)+if(istext(J78),if(REGEXMATCH(J78, ""x2""),1))+if(istext(J78),if(REGEXMATCH(J78, ""x3""),2))+if(istext(J78),if(REGEXMATCH(J78, ""x4""),3))+if(istext(J78),if(REGEXMATCH(J78, ""x5""),4))"),0.0)</f>
        <v>0</v>
      </c>
      <c r="J78" s="148"/>
      <c r="K78" s="28"/>
      <c r="L78" s="28"/>
      <c r="M78" s="28"/>
      <c r="N78" s="29"/>
      <c r="O78" s="52"/>
      <c r="P78" s="544">
        <f>IFERROR(__xludf.DUMMYFUNCTION("1+if(istext(Q78),if(REGEXMATCH(Q78, ""Free Talent""), -1), -1)+if(istext(Q78),if(REGEXMATCH(Q78, ""x2""),1))+if(istext(Q78),if(REGEXMATCH(Q78, ""x3""),2))+if(istext(Q78),if(REGEXMATCH(Q78, ""x4""),3))+if(istext(Q78),if(REGEXMATCH(Q78, ""x5""),4))"),0.0)</f>
        <v>0</v>
      </c>
      <c r="Q78" s="148"/>
      <c r="R78" s="28"/>
      <c r="S78" s="28"/>
      <c r="T78" s="28"/>
      <c r="U78" s="29"/>
      <c r="V78" s="52"/>
      <c r="W78" s="544">
        <f>IFERROR(__xludf.DUMMYFUNCTION("1+if(istext(X78),if(REGEXMATCH(X78, ""Free Talent""), -1), -1)+if(istext(X78),if(REGEXMATCH(X78, ""x2""),1))+if(istext(X78),if(REGEXMATCH(X78, ""x3""),2))+if(istext(X78),if(REGEXMATCH(X78, ""x4""),3))+if(istext(X78),if(REGEXMATCH(X78, ""x5""),4))"),0.0)</f>
        <v>0</v>
      </c>
      <c r="X78" s="148"/>
      <c r="Y78" s="28"/>
      <c r="Z78" s="28"/>
      <c r="AA78" s="28"/>
      <c r="AB78" s="29"/>
      <c r="AC78" s="52"/>
      <c r="AD78" s="544">
        <f>IFERROR(__xludf.DUMMYFUNCTION("1+if(istext(AE78),if(REGEXMATCH(AE78, ""Free Talent""), -1), -1)+if(istext(AE78),if(REGEXMATCH(AE78, ""x2""),1))+if(istext(AE78),if(REGEXMATCH(AE78, ""x3""),2))+if(istext(AE78),if(REGEXMATCH(AE78, ""x4""),3))+if(istext(AE78),if(REGEXMATCH(AE78, ""x5""),4)"&amp;")"),0.0)</f>
        <v>0</v>
      </c>
      <c r="AE78" s="148"/>
      <c r="AF78" s="28"/>
      <c r="AG78" s="28"/>
      <c r="AH78" s="28"/>
      <c r="AI78" s="29"/>
      <c r="AJ78" s="52"/>
      <c r="AK78" s="544">
        <f>IFERROR(__xludf.DUMMYFUNCTION("1+if(istext(AL78),if(REGEXMATCH(AL78, ""Free Talent""), -1), -1)+if(istext(AL78),if(REGEXMATCH(AL78, ""x2""),1))+if(istext(AL78),if(REGEXMATCH(AL78, ""x3""),2))+if(istext(AL78),if(REGEXMATCH(AL78, ""x4""),3))+if(istext(AL78),if(REGEXMATCH(AL78, ""x5""),4)"&amp;")"),0.0)</f>
        <v>0</v>
      </c>
      <c r="AL78" s="148"/>
      <c r="AM78" s="28"/>
      <c r="AN78" s="28"/>
      <c r="AO78" s="28"/>
      <c r="AP78" s="29"/>
      <c r="AQ78" s="52"/>
      <c r="AR78" s="162"/>
      <c r="AS78" s="148"/>
      <c r="AT78" s="28"/>
      <c r="AU78" s="28"/>
      <c r="AV78" s="28"/>
      <c r="AW78" s="29"/>
      <c r="AX78" s="216"/>
      <c r="AY78" s="550"/>
      <c r="AZ78" s="552"/>
      <c r="BA78" s="552"/>
      <c r="BB78" s="552"/>
      <c r="BC78" s="552"/>
      <c r="BD78" s="552"/>
      <c r="BE78" s="552"/>
      <c r="BF78" s="552"/>
      <c r="BG78" s="552"/>
      <c r="BH78" s="552"/>
      <c r="BI78" s="552"/>
      <c r="BJ78" s="552"/>
      <c r="BK78" s="552"/>
      <c r="BL78" s="552"/>
      <c r="BM78" s="552"/>
      <c r="BN78" s="552"/>
      <c r="BO78" s="557"/>
    </row>
    <row r="79" hidden="1">
      <c r="A79" s="52"/>
      <c r="B79" s="52"/>
      <c r="C79" s="52"/>
      <c r="D79" s="52"/>
      <c r="E79" s="52"/>
      <c r="F79" s="52"/>
      <c r="G79" s="52"/>
      <c r="H79" s="592"/>
      <c r="I79" s="544">
        <f>IFERROR(__xludf.DUMMYFUNCTION("1+if(istext(J79),if(REGEXMATCH(J79, ""Free Talent""), -1), -1)+if(istext(J79),if(REGEXMATCH(J79, ""x2""),1))+if(istext(J79),if(REGEXMATCH(J79, ""x3""),2))+if(istext(J79),if(REGEXMATCH(J79, ""x4""),3))+if(istext(J79),if(REGEXMATCH(J79, ""x5""),4))"),0.0)</f>
        <v>0</v>
      </c>
      <c r="J79" s="148"/>
      <c r="K79" s="28"/>
      <c r="L79" s="28"/>
      <c r="M79" s="28"/>
      <c r="N79" s="29"/>
      <c r="O79" s="52"/>
      <c r="P79" s="544">
        <f>IFERROR(__xludf.DUMMYFUNCTION("1+if(istext(Q79),if(REGEXMATCH(Q79, ""Free Talent""), -1), -1)+if(istext(Q79),if(REGEXMATCH(Q79, ""x2""),1))+if(istext(Q79),if(REGEXMATCH(Q79, ""x3""),2))+if(istext(Q79),if(REGEXMATCH(Q79, ""x4""),3))+if(istext(Q79),if(REGEXMATCH(Q79, ""x5""),4))"),0.0)</f>
        <v>0</v>
      </c>
      <c r="Q79" s="148"/>
      <c r="R79" s="28"/>
      <c r="S79" s="28"/>
      <c r="T79" s="28"/>
      <c r="U79" s="29"/>
      <c r="V79" s="52"/>
      <c r="W79" s="544">
        <f>IFERROR(__xludf.DUMMYFUNCTION("1+if(istext(X79),if(REGEXMATCH(X79, ""Free Talent""), -1), -1)+if(istext(X79),if(REGEXMATCH(X79, ""x2""),1))+if(istext(X79),if(REGEXMATCH(X79, ""x3""),2))+if(istext(X79),if(REGEXMATCH(X79, ""x4""),3))+if(istext(X79),if(REGEXMATCH(X79, ""x5""),4))"),0.0)</f>
        <v>0</v>
      </c>
      <c r="X79" s="148"/>
      <c r="Y79" s="28"/>
      <c r="Z79" s="28"/>
      <c r="AA79" s="28"/>
      <c r="AB79" s="29"/>
      <c r="AC79" s="52"/>
      <c r="AD79" s="544">
        <f>IFERROR(__xludf.DUMMYFUNCTION("1+if(istext(AE79),if(REGEXMATCH(AE79, ""Free Talent""), -1), -1)+if(istext(AE79),if(REGEXMATCH(AE79, ""x2""),1))+if(istext(AE79),if(REGEXMATCH(AE79, ""x3""),2))+if(istext(AE79),if(REGEXMATCH(AE79, ""x4""),3))+if(istext(AE79),if(REGEXMATCH(AE79, ""x5""),4)"&amp;")"),0.0)</f>
        <v>0</v>
      </c>
      <c r="AE79" s="148"/>
      <c r="AF79" s="28"/>
      <c r="AG79" s="28"/>
      <c r="AH79" s="28"/>
      <c r="AI79" s="29"/>
      <c r="AJ79" s="52"/>
      <c r="AK79" s="544">
        <f>IFERROR(__xludf.DUMMYFUNCTION("1+if(istext(AL79),if(REGEXMATCH(AL79, ""Free Talent""), -1), -1)+if(istext(AL79),if(REGEXMATCH(AL79, ""x2""),1))+if(istext(AL79),if(REGEXMATCH(AL79, ""x3""),2))+if(istext(AL79),if(REGEXMATCH(AL79, ""x4""),3))+if(istext(AL79),if(REGEXMATCH(AL79, ""x5""),4)"&amp;")"),0.0)</f>
        <v>0</v>
      </c>
      <c r="AL79" s="148"/>
      <c r="AM79" s="28"/>
      <c r="AN79" s="28"/>
      <c r="AO79" s="28"/>
      <c r="AP79" s="29"/>
      <c r="AQ79" s="52"/>
      <c r="AR79" s="162"/>
      <c r="AS79" s="148"/>
      <c r="AT79" s="28"/>
      <c r="AU79" s="28"/>
      <c r="AV79" s="28"/>
      <c r="AW79" s="29"/>
      <c r="AX79" s="216"/>
      <c r="AY79" s="550"/>
      <c r="AZ79" s="552"/>
      <c r="BA79" s="552"/>
      <c r="BB79" s="552"/>
      <c r="BC79" s="552"/>
      <c r="BD79" s="552"/>
      <c r="BE79" s="552"/>
      <c r="BF79" s="552"/>
      <c r="BG79" s="552"/>
      <c r="BH79" s="552"/>
      <c r="BI79" s="552"/>
      <c r="BJ79" s="552"/>
      <c r="BK79" s="552"/>
      <c r="BL79" s="552"/>
      <c r="BM79" s="552"/>
      <c r="BN79" s="552"/>
      <c r="BO79" s="557"/>
    </row>
    <row r="80" hidden="1">
      <c r="A80" s="52"/>
      <c r="B80" s="52"/>
      <c r="C80" s="52"/>
      <c r="D80" s="52"/>
      <c r="E80" s="52"/>
      <c r="F80" s="52"/>
      <c r="G80" s="52"/>
      <c r="H80" s="592"/>
      <c r="I80" s="544">
        <f>IFERROR(__xludf.DUMMYFUNCTION("1+if(istext(J80),if(REGEXMATCH(J80, ""Free Talent""), -1), -1)+if(istext(J80),if(REGEXMATCH(J80, ""x2""),1))+if(istext(J80),if(REGEXMATCH(J80, ""x3""),2))+if(istext(J80),if(REGEXMATCH(J80, ""x4""),3))+if(istext(J80),if(REGEXMATCH(J80, ""x5""),4))"),0.0)</f>
        <v>0</v>
      </c>
      <c r="J80" s="148"/>
      <c r="K80" s="28"/>
      <c r="L80" s="28"/>
      <c r="M80" s="28"/>
      <c r="N80" s="29"/>
      <c r="O80" s="52"/>
      <c r="P80" s="544">
        <f>IFERROR(__xludf.DUMMYFUNCTION("1+if(istext(Q80),if(REGEXMATCH(Q80, ""Free Talent""), -1), -1)+if(istext(Q80),if(REGEXMATCH(Q80, ""x2""),1))+if(istext(Q80),if(REGEXMATCH(Q80, ""x3""),2))+if(istext(Q80),if(REGEXMATCH(Q80, ""x4""),3))+if(istext(Q80),if(REGEXMATCH(Q80, ""x5""),4))"),0.0)</f>
        <v>0</v>
      </c>
      <c r="Q80" s="148"/>
      <c r="R80" s="28"/>
      <c r="S80" s="28"/>
      <c r="T80" s="28"/>
      <c r="U80" s="29"/>
      <c r="V80" s="52"/>
      <c r="W80" s="544">
        <f>IFERROR(__xludf.DUMMYFUNCTION("1+if(istext(X80),if(REGEXMATCH(X80, ""Free Talent""), -1), -1)+if(istext(X80),if(REGEXMATCH(X80, ""x2""),1))+if(istext(X80),if(REGEXMATCH(X80, ""x3""),2))+if(istext(X80),if(REGEXMATCH(X80, ""x4""),3))+if(istext(X80),if(REGEXMATCH(X80, ""x5""),4))"),0.0)</f>
        <v>0</v>
      </c>
      <c r="X80" s="148"/>
      <c r="Y80" s="28"/>
      <c r="Z80" s="28"/>
      <c r="AA80" s="28"/>
      <c r="AB80" s="29"/>
      <c r="AC80" s="52"/>
      <c r="AD80" s="544">
        <f>IFERROR(__xludf.DUMMYFUNCTION("1+if(istext(AE80),if(REGEXMATCH(AE80, ""Free Talent""), -1), -1)+if(istext(AE80),if(REGEXMATCH(AE80, ""x2""),1))+if(istext(AE80),if(REGEXMATCH(AE80, ""x3""),2))+if(istext(AE80),if(REGEXMATCH(AE80, ""x4""),3))+if(istext(AE80),if(REGEXMATCH(AE80, ""x5""),4)"&amp;")"),0.0)</f>
        <v>0</v>
      </c>
      <c r="AE80" s="148"/>
      <c r="AF80" s="28"/>
      <c r="AG80" s="28"/>
      <c r="AH80" s="28"/>
      <c r="AI80" s="29"/>
      <c r="AJ80" s="52"/>
      <c r="AK80" s="544">
        <f>IFERROR(__xludf.DUMMYFUNCTION("1+if(istext(AL80),if(REGEXMATCH(AL80, ""Free Talent""), -1), -1)+if(istext(AL80),if(REGEXMATCH(AL80, ""x2""),1))+if(istext(AL80),if(REGEXMATCH(AL80, ""x3""),2))+if(istext(AL80),if(REGEXMATCH(AL80, ""x4""),3))+if(istext(AL80),if(REGEXMATCH(AL80, ""x5""),4)"&amp;")"),0.0)</f>
        <v>0</v>
      </c>
      <c r="AL80" s="148"/>
      <c r="AM80" s="28"/>
      <c r="AN80" s="28"/>
      <c r="AO80" s="28"/>
      <c r="AP80" s="29"/>
      <c r="AQ80" s="52"/>
      <c r="AR80" s="162"/>
      <c r="AS80" s="148"/>
      <c r="AT80" s="28"/>
      <c r="AU80" s="28"/>
      <c r="AV80" s="28"/>
      <c r="AW80" s="29"/>
      <c r="AX80" s="216"/>
      <c r="AY80" s="620"/>
      <c r="AZ80" s="114"/>
      <c r="BA80" s="114"/>
      <c r="BB80" s="114"/>
      <c r="BC80" s="114"/>
      <c r="BD80" s="114"/>
      <c r="BE80" s="114"/>
      <c r="BF80" s="114"/>
      <c r="BG80" s="114"/>
      <c r="BH80" s="114"/>
      <c r="BI80" s="114"/>
      <c r="BJ80" s="114"/>
      <c r="BK80" s="114"/>
      <c r="BL80" s="114"/>
      <c r="BM80" s="114"/>
      <c r="BN80" s="114"/>
      <c r="BO80" s="68"/>
    </row>
    <row r="81" hidden="1">
      <c r="A81" s="52"/>
      <c r="B81" s="52"/>
      <c r="C81" s="52"/>
      <c r="D81" s="52"/>
      <c r="E81" s="52"/>
      <c r="F81" s="52"/>
      <c r="G81" s="52"/>
      <c r="H81" s="52"/>
      <c r="I81" s="621">
        <f>if(I72=AK62,0,if(I72=P72,sum(sum(I73:I80),sum(P73:P80)), sum(I73:I80))+if(istext(I72),1,0))</f>
        <v>0</v>
      </c>
      <c r="J81" s="622"/>
      <c r="K81" s="622"/>
      <c r="L81" s="622"/>
      <c r="M81" s="622"/>
      <c r="N81" s="622"/>
      <c r="O81" s="623"/>
      <c r="P81" s="624">
        <f>if(I72=P72,0,if(P72=W72,sum(sum(P73:P80),sum(W73:W80))+if(istext(P72),1,0), sum(P73:P80)+if(istext(P72),1,0)))</f>
        <v>0</v>
      </c>
      <c r="Q81" s="622"/>
      <c r="R81" s="622"/>
      <c r="S81" s="622"/>
      <c r="T81" s="622"/>
      <c r="U81" s="622"/>
      <c r="V81" s="623"/>
      <c r="W81" s="624">
        <f>if(P72=W72,0,if(W72=AD72,sum(sum(W73:W80),sum(AD73:AD80))+if(istext(W72),1,0), sum(W73:W80)+if(istext(W72),1,0)))</f>
        <v>0</v>
      </c>
      <c r="X81" s="622"/>
      <c r="Y81" s="622"/>
      <c r="Z81" s="622"/>
      <c r="AA81" s="622"/>
      <c r="AB81" s="622"/>
      <c r="AC81" s="623"/>
      <c r="AD81" s="624">
        <f>if(W72=AD72,0,if(AD72=AK72,sum(sum(AD73:AD80),sum(AK73:AK80))+if(istext(AD72),1,0), sum(AD73:AD80)+if(istext(AD72),1,0)))</f>
        <v>0</v>
      </c>
      <c r="AE81" s="622"/>
      <c r="AF81" s="622"/>
      <c r="AG81" s="622"/>
      <c r="AH81" s="622"/>
      <c r="AI81" s="622"/>
      <c r="AJ81" s="623"/>
      <c r="AK81" s="624">
        <f>if(AD72=AK72,0,if(AK72=I82,sum(sum(AK73:AK80),sum(I83:I90))+if(istext(AK72),1,0), sum(AK73:AK80)+if(istext(AK72),1,0)))</f>
        <v>0</v>
      </c>
      <c r="AL81" s="52"/>
      <c r="AM81" s="52"/>
      <c r="AN81" s="52"/>
      <c r="AO81" s="52"/>
      <c r="AP81" s="52"/>
      <c r="AQ81" s="52"/>
      <c r="AR81" s="52"/>
      <c r="AS81" s="52"/>
      <c r="AT81" s="52"/>
      <c r="AU81" s="52"/>
      <c r="AV81" s="52"/>
      <c r="AW81" s="52"/>
      <c r="AX81" s="52"/>
      <c r="AY81" s="274"/>
      <c r="AZ81" s="274"/>
      <c r="BA81" s="274"/>
      <c r="BB81" s="274"/>
      <c r="BC81" s="274"/>
      <c r="BD81" s="274"/>
      <c r="BE81" s="274"/>
      <c r="BF81" s="274"/>
      <c r="BG81" s="274"/>
      <c r="BH81" s="274"/>
      <c r="BI81" s="274"/>
      <c r="BJ81" s="274"/>
      <c r="BK81" s="274"/>
      <c r="BL81" s="274"/>
      <c r="BM81" s="274"/>
      <c r="BN81" s="274"/>
      <c r="BO81" s="274"/>
    </row>
    <row r="82" hidden="1">
      <c r="A82" s="52"/>
      <c r="B82" s="56" t="s">
        <v>722</v>
      </c>
      <c r="C82" s="60"/>
      <c r="D82" s="60"/>
      <c r="E82" s="60"/>
      <c r="F82" s="60"/>
      <c r="G82" s="63"/>
      <c r="H82" s="70" t="s">
        <v>724</v>
      </c>
      <c r="I82" s="413"/>
      <c r="J82" s="413"/>
      <c r="K82" s="413"/>
      <c r="L82" s="413"/>
      <c r="M82" s="413"/>
      <c r="N82" s="413"/>
      <c r="O82" s="413"/>
      <c r="P82" s="413"/>
      <c r="Q82" s="413"/>
      <c r="R82" s="413"/>
      <c r="S82" s="413"/>
      <c r="T82" s="413"/>
      <c r="U82" s="413"/>
      <c r="V82" s="413"/>
      <c r="W82" s="413"/>
      <c r="X82" s="413"/>
      <c r="Y82" s="413"/>
      <c r="Z82" s="413"/>
      <c r="AA82" s="413"/>
      <c r="AB82" s="413"/>
      <c r="AC82" s="417" t="s">
        <v>48</v>
      </c>
      <c r="AD82" s="413"/>
      <c r="AE82" s="413"/>
      <c r="AF82" s="413"/>
      <c r="AG82" s="413"/>
      <c r="AH82" s="413"/>
      <c r="AI82" s="413"/>
      <c r="AJ82" s="413"/>
      <c r="AK82" s="413"/>
      <c r="AL82" s="413"/>
      <c r="AM82" s="413"/>
      <c r="AN82" s="413"/>
      <c r="AO82" s="413"/>
      <c r="AP82" s="413"/>
      <c r="AQ82" s="413"/>
      <c r="AR82" s="413"/>
      <c r="AS82" s="413"/>
      <c r="AT82" s="417"/>
      <c r="AU82" s="413"/>
      <c r="AV82" s="413"/>
      <c r="AW82" s="413"/>
      <c r="AX82" s="413"/>
      <c r="AY82" s="413"/>
      <c r="AZ82" s="413"/>
      <c r="BA82" s="413"/>
      <c r="BB82" s="413"/>
      <c r="BC82" s="413"/>
      <c r="BD82" s="413"/>
      <c r="BE82" s="413"/>
      <c r="BF82" s="413"/>
      <c r="BG82" s="413"/>
      <c r="BH82" s="413"/>
      <c r="BI82" s="413"/>
      <c r="BJ82" s="413"/>
      <c r="BK82" s="413"/>
      <c r="BL82" s="413"/>
      <c r="BM82" s="413"/>
      <c r="BN82" s="413"/>
      <c r="BO82" s="422"/>
    </row>
    <row r="83" hidden="1">
      <c r="A83" s="52"/>
      <c r="B83" s="52"/>
      <c r="C83" s="52"/>
      <c r="D83" s="52"/>
      <c r="E83" s="52"/>
      <c r="F83" s="52"/>
      <c r="G83" s="52"/>
      <c r="H83" s="52"/>
      <c r="I83" s="52"/>
      <c r="J83" s="52"/>
      <c r="K83" s="52"/>
      <c r="L83" s="52"/>
      <c r="M83" s="52"/>
      <c r="N83" s="52"/>
      <c r="O83" s="52"/>
      <c r="P83" s="52"/>
      <c r="Q83" s="52"/>
      <c r="R83" s="52"/>
      <c r="S83" s="52"/>
      <c r="T83" s="52"/>
      <c r="U83" s="52"/>
      <c r="V83" s="52"/>
      <c r="W83" s="52"/>
      <c r="X83" s="52"/>
      <c r="Y83" s="52"/>
      <c r="Z83" s="52"/>
      <c r="AA83" s="52"/>
      <c r="AB83" s="52"/>
      <c r="AC83" s="52"/>
      <c r="AD83" s="52"/>
      <c r="AE83" s="52"/>
      <c r="AF83" s="52"/>
      <c r="AG83" s="52"/>
      <c r="AH83" s="52"/>
      <c r="AI83" s="52"/>
      <c r="AJ83" s="52"/>
      <c r="AK83" s="52"/>
      <c r="AL83" s="52"/>
      <c r="AM83" s="52"/>
      <c r="AN83" s="52"/>
      <c r="AO83" s="52"/>
      <c r="AP83" s="52"/>
      <c r="AQ83" s="52"/>
      <c r="AR83" s="52"/>
      <c r="AS83" s="52"/>
      <c r="AT83" s="52"/>
      <c r="AU83" s="52"/>
      <c r="AV83" s="52"/>
      <c r="AW83" s="52"/>
      <c r="AX83" s="52"/>
      <c r="AY83" s="128"/>
      <c r="AZ83" s="128"/>
      <c r="BA83" s="128"/>
      <c r="BB83" s="128"/>
      <c r="BC83" s="128"/>
      <c r="BD83" s="128"/>
      <c r="BE83" s="128"/>
      <c r="BF83" s="130"/>
      <c r="BG83" s="130" t="s">
        <v>725</v>
      </c>
      <c r="BH83" s="131"/>
      <c r="BI83" s="131"/>
      <c r="BJ83" s="131"/>
      <c r="BK83" s="131"/>
      <c r="BL83" s="131"/>
      <c r="BM83" s="131"/>
      <c r="BN83" s="131"/>
      <c r="BO83" s="135"/>
    </row>
    <row r="84" hidden="1">
      <c r="A84" s="52"/>
      <c r="B84" s="138"/>
      <c r="C84" s="67"/>
      <c r="D84" s="67"/>
      <c r="E84" s="67"/>
      <c r="F84" s="67"/>
      <c r="G84" s="69"/>
      <c r="H84" s="52"/>
      <c r="I84" s="539"/>
      <c r="J84" s="28"/>
      <c r="K84" s="28"/>
      <c r="L84" s="28"/>
      <c r="M84" s="28"/>
      <c r="N84" s="29"/>
      <c r="O84" s="52"/>
      <c r="P84" s="539"/>
      <c r="Q84" s="28"/>
      <c r="R84" s="28"/>
      <c r="S84" s="28"/>
      <c r="T84" s="28"/>
      <c r="U84" s="29"/>
      <c r="V84" s="52"/>
      <c r="W84" s="539"/>
      <c r="X84" s="28"/>
      <c r="Y84" s="28"/>
      <c r="Z84" s="28"/>
      <c r="AA84" s="28"/>
      <c r="AB84" s="29"/>
      <c r="AC84" s="52"/>
      <c r="AD84" s="539"/>
      <c r="AE84" s="28"/>
      <c r="AF84" s="28"/>
      <c r="AG84" s="28"/>
      <c r="AH84" s="28"/>
      <c r="AI84" s="29"/>
      <c r="AJ84" s="52"/>
      <c r="AK84" s="539"/>
      <c r="AL84" s="28"/>
      <c r="AM84" s="28"/>
      <c r="AN84" s="28"/>
      <c r="AO84" s="28"/>
      <c r="AP84" s="29"/>
      <c r="AQ84" s="52"/>
      <c r="AR84" s="539"/>
      <c r="AS84" s="28"/>
      <c r="AT84" s="28"/>
      <c r="AU84" s="28"/>
      <c r="AV84" s="28"/>
      <c r="AW84" s="29"/>
      <c r="AX84" s="216"/>
      <c r="AY84" s="428"/>
      <c r="AZ84" s="159"/>
      <c r="BA84" s="159"/>
      <c r="BB84" s="159"/>
      <c r="BC84" s="159"/>
      <c r="BD84" s="159"/>
      <c r="BE84" s="159"/>
      <c r="BF84" s="159"/>
      <c r="BG84" s="159"/>
      <c r="BH84" s="159"/>
      <c r="BI84" s="159"/>
      <c r="BJ84" s="159"/>
      <c r="BK84" s="159"/>
      <c r="BL84" s="159"/>
      <c r="BM84" s="159"/>
      <c r="BN84" s="159"/>
      <c r="BO84" s="161"/>
    </row>
    <row r="85" hidden="1">
      <c r="A85" s="52"/>
      <c r="B85" s="111"/>
      <c r="C85" s="114"/>
      <c r="D85" s="114"/>
      <c r="E85" s="114"/>
      <c r="F85" s="114"/>
      <c r="G85" s="68"/>
      <c r="H85" s="52"/>
      <c r="I85" s="544">
        <f>IFERROR(__xludf.DUMMYFUNCTION("1+if(istext(J85),if(REGEXMATCH(J85, ""Free Talent""), -1), -1)+if(istext(J85),if(REGEXMATCH(J85, ""x2""),1))+if(istext(J85),if(REGEXMATCH(J85, ""x3""),2))+if(istext(J85),if(REGEXMATCH(J85, ""x4""),3))+if(istext(J85),if(REGEXMATCH(J85, ""x5""),4))"),0.0)</f>
        <v>0</v>
      </c>
      <c r="J85" s="148"/>
      <c r="K85" s="28"/>
      <c r="L85" s="28"/>
      <c r="M85" s="28"/>
      <c r="N85" s="29"/>
      <c r="O85" s="52"/>
      <c r="P85" s="544">
        <f>IFERROR(__xludf.DUMMYFUNCTION("1+if(istext(Q85),if(REGEXMATCH(Q85, ""Free Talent""), -1), -1)+if(istext(Q85),if(REGEXMATCH(Q85, ""x2""),1))+if(istext(Q85),if(REGEXMATCH(Q85, ""x3""),2))+if(istext(Q85),if(REGEXMATCH(Q85, ""x4""),3))+if(istext(Q85),if(REGEXMATCH(Q85, ""x5""),4))"),0.0)</f>
        <v>0</v>
      </c>
      <c r="Q85" s="148"/>
      <c r="R85" s="28"/>
      <c r="S85" s="28"/>
      <c r="T85" s="28"/>
      <c r="U85" s="29"/>
      <c r="V85" s="52"/>
      <c r="W85" s="544">
        <f>IFERROR(__xludf.DUMMYFUNCTION("1+if(istext(X85),if(REGEXMATCH(X85, ""Free Talent""), -1), -1)+if(istext(X85),if(REGEXMATCH(X85, ""x2""),1))+if(istext(X85),if(REGEXMATCH(X85, ""x3""),2))+if(istext(X85),if(REGEXMATCH(X85, ""x4""),3))+if(istext(X85),if(REGEXMATCH(X85, ""x5""),4))"),0.0)</f>
        <v>0</v>
      </c>
      <c r="X85" s="148"/>
      <c r="Y85" s="28"/>
      <c r="Z85" s="28"/>
      <c r="AA85" s="28"/>
      <c r="AB85" s="29"/>
      <c r="AC85" s="52"/>
      <c r="AD85" s="544">
        <f>IFERROR(__xludf.DUMMYFUNCTION("1+if(istext(AE85),if(REGEXMATCH(AE85, ""Free Talent""), -1), -1)+if(istext(AE85),if(REGEXMATCH(AE85, ""x2""),1))+if(istext(AE85),if(REGEXMATCH(AE85, ""x3""),2))+if(istext(AE85),if(REGEXMATCH(AE85, ""x4""),3))+if(istext(AE85),if(REGEXMATCH(AE85, ""x5""),4)"&amp;")"),0.0)</f>
        <v>0</v>
      </c>
      <c r="AE85" s="148"/>
      <c r="AF85" s="28"/>
      <c r="AG85" s="28"/>
      <c r="AH85" s="28"/>
      <c r="AI85" s="29"/>
      <c r="AJ85" s="52"/>
      <c r="AK85" s="544">
        <f>IFERROR(__xludf.DUMMYFUNCTION("1+if(istext(AL85),if(REGEXMATCH(AL85, ""Free Talent""), -1), -1)+if(istext(AL85),if(REGEXMATCH(AL85, ""x2""),1))+if(istext(AL85),if(REGEXMATCH(AL85, ""x3""),2))+if(istext(AL85),if(REGEXMATCH(AL85, ""x4""),3))+if(istext(AL85),if(REGEXMATCH(AL85, ""x5""),4)"&amp;")"),0.0)</f>
        <v>0</v>
      </c>
      <c r="AL85" s="148"/>
      <c r="AM85" s="28"/>
      <c r="AN85" s="28"/>
      <c r="AO85" s="28"/>
      <c r="AP85" s="29"/>
      <c r="AQ85" s="52"/>
      <c r="AR85" s="544">
        <f>IFERROR(__xludf.DUMMYFUNCTION("1+if(istext(AS85),if(REGEXMATCH(AS85, ""Free Talent""), -1), -1)+if(istext(AS85),if(REGEXMATCH(AS85, ""x2""),1))+if(istext(AS85),if(REGEXMATCH(AS85, ""x3""),2))+if(istext(AS85),if(REGEXMATCH(AS85, ""x4""),3))+if(istext(AS85),if(REGEXMATCH(AS85, ""x5""),4)"&amp;")"),0.0)</f>
        <v>0</v>
      </c>
      <c r="AS85" s="148"/>
      <c r="AT85" s="28"/>
      <c r="AU85" s="28"/>
      <c r="AV85" s="28"/>
      <c r="AW85" s="29"/>
      <c r="AX85" s="216"/>
      <c r="AY85" s="550"/>
      <c r="AZ85" s="552"/>
      <c r="BA85" s="552"/>
      <c r="BB85" s="552"/>
      <c r="BC85" s="552"/>
      <c r="BD85" s="552"/>
      <c r="BE85" s="552"/>
      <c r="BF85" s="552"/>
      <c r="BG85" s="552"/>
      <c r="BH85" s="552"/>
      <c r="BI85" s="552"/>
      <c r="BJ85" s="552"/>
      <c r="BK85" s="552"/>
      <c r="BL85" s="552"/>
      <c r="BM85" s="552"/>
      <c r="BN85" s="552"/>
      <c r="BO85" s="557"/>
    </row>
    <row r="86" hidden="1">
      <c r="A86" s="52"/>
      <c r="B86" s="173" t="s">
        <v>113</v>
      </c>
      <c r="C86" s="23"/>
      <c r="D86" s="173" t="s">
        <v>662</v>
      </c>
      <c r="E86" s="23"/>
      <c r="F86" s="24"/>
      <c r="G86" s="178">
        <f>VLOOKUP(D86,'Main Sheet'!$E$9:$G$14,3,false)</f>
        <v>0</v>
      </c>
      <c r="H86" s="52"/>
      <c r="I86" s="544">
        <f>IFERROR(__xludf.DUMMYFUNCTION("1+if(istext(J86),if(REGEXMATCH(J86, ""Free Talent""), -1), -1)+if(istext(J86),if(REGEXMATCH(J86, ""x2""),1))+if(istext(J86),if(REGEXMATCH(J86, ""x3""),2))+if(istext(J86),if(REGEXMATCH(J86, ""x4""),3))+if(istext(J86),if(REGEXMATCH(J86, ""x5""),4))"),0.0)</f>
        <v>0</v>
      </c>
      <c r="J86" s="148"/>
      <c r="K86" s="28"/>
      <c r="L86" s="28"/>
      <c r="M86" s="28"/>
      <c r="N86" s="29"/>
      <c r="O86" s="52"/>
      <c r="P86" s="544">
        <f>IFERROR(__xludf.DUMMYFUNCTION("1+if(istext(Q86),if(REGEXMATCH(Q86, ""Free Talent""), -1), -1)+if(istext(Q86),if(REGEXMATCH(Q86, ""x2""),1))+if(istext(Q86),if(REGEXMATCH(Q86, ""x3""),2))+if(istext(Q86),if(REGEXMATCH(Q86, ""x4""),3))+if(istext(Q86),if(REGEXMATCH(Q86, ""x5""),4))"),0.0)</f>
        <v>0</v>
      </c>
      <c r="Q86" s="148"/>
      <c r="R86" s="28"/>
      <c r="S86" s="28"/>
      <c r="T86" s="28"/>
      <c r="U86" s="29"/>
      <c r="V86" s="52"/>
      <c r="W86" s="544">
        <f>IFERROR(__xludf.DUMMYFUNCTION("1+if(istext(X86),if(REGEXMATCH(X86, ""Free Talent""), -1), -1)+if(istext(X86),if(REGEXMATCH(X86, ""x2""),1))+if(istext(X86),if(REGEXMATCH(X86, ""x3""),2))+if(istext(X86),if(REGEXMATCH(X86, ""x4""),3))+if(istext(X86),if(REGEXMATCH(X86, ""x5""),4))"),0.0)</f>
        <v>0</v>
      </c>
      <c r="X86" s="148"/>
      <c r="Y86" s="28"/>
      <c r="Z86" s="28"/>
      <c r="AA86" s="28"/>
      <c r="AB86" s="29"/>
      <c r="AC86" s="52"/>
      <c r="AD86" s="544">
        <f>IFERROR(__xludf.DUMMYFUNCTION("1+if(istext(AE86),if(REGEXMATCH(AE86, ""Free Talent""), -1), -1)+if(istext(AE86),if(REGEXMATCH(AE86, ""x2""),1))+if(istext(AE86),if(REGEXMATCH(AE86, ""x3""),2))+if(istext(AE86),if(REGEXMATCH(AE86, ""x4""),3))+if(istext(AE86),if(REGEXMATCH(AE86, ""x5""),4)"&amp;")"),0.0)</f>
        <v>0</v>
      </c>
      <c r="AE86" s="148"/>
      <c r="AF86" s="28"/>
      <c r="AG86" s="28"/>
      <c r="AH86" s="28"/>
      <c r="AI86" s="29"/>
      <c r="AJ86" s="52"/>
      <c r="AK86" s="544">
        <f>IFERROR(__xludf.DUMMYFUNCTION("1+if(istext(AL86),if(REGEXMATCH(AL86, ""Free Talent""), -1), -1)+if(istext(AL86),if(REGEXMATCH(AL86, ""x2""),1))+if(istext(AL86),if(REGEXMATCH(AL86, ""x3""),2))+if(istext(AL86),if(REGEXMATCH(AL86, ""x4""),3))+if(istext(AL86),if(REGEXMATCH(AL86, ""x5""),4)"&amp;")"),0.0)</f>
        <v>0</v>
      </c>
      <c r="AL86" s="148"/>
      <c r="AM86" s="28"/>
      <c r="AN86" s="28"/>
      <c r="AO86" s="28"/>
      <c r="AP86" s="29"/>
      <c r="AQ86" s="52"/>
      <c r="AR86" s="544">
        <f>IFERROR(__xludf.DUMMYFUNCTION("1+if(istext(AS86),if(REGEXMATCH(AS86, ""Free Talent""), -1), -1)+if(istext(AS86),if(REGEXMATCH(AS86, ""x2""),1))+if(istext(AS86),if(REGEXMATCH(AS86, ""x3""),2))+if(istext(AS86),if(REGEXMATCH(AS86, ""x4""),3))+if(istext(AS86),if(REGEXMATCH(AS86, ""x5""),4)"&amp;")"),0.0)</f>
        <v>0</v>
      </c>
      <c r="AS86" s="148"/>
      <c r="AT86" s="28"/>
      <c r="AU86" s="28"/>
      <c r="AV86" s="28"/>
      <c r="AW86" s="29"/>
      <c r="AX86" s="216"/>
      <c r="AY86" s="550"/>
      <c r="AZ86" s="552"/>
      <c r="BA86" s="552"/>
      <c r="BB86" s="552"/>
      <c r="BC86" s="552"/>
      <c r="BD86" s="552"/>
      <c r="BE86" s="552"/>
      <c r="BF86" s="552"/>
      <c r="BG86" s="552"/>
      <c r="BH86" s="552"/>
      <c r="BI86" s="552"/>
      <c r="BJ86" s="552"/>
      <c r="BK86" s="552"/>
      <c r="BL86" s="552"/>
      <c r="BM86" s="552"/>
      <c r="BN86" s="552"/>
      <c r="BO86" s="557"/>
    </row>
    <row r="87" hidden="1">
      <c r="A87" s="52"/>
      <c r="B87" s="173" t="s">
        <v>668</v>
      </c>
      <c r="C87" s="23"/>
      <c r="D87" s="23"/>
      <c r="E87" s="23"/>
      <c r="F87" s="23"/>
      <c r="G87" s="178">
        <f>SUM(I93:AR93,I103:AR103)</f>
        <v>0</v>
      </c>
      <c r="H87" s="52"/>
      <c r="I87" s="544">
        <f>IFERROR(__xludf.DUMMYFUNCTION("1+if(istext(J87),if(REGEXMATCH(J87, ""Free Talent""), -1), -1)+if(istext(J87),if(REGEXMATCH(J87, ""x2""),1))+if(istext(J87),if(REGEXMATCH(J87, ""x3""),2))+if(istext(J87),if(REGEXMATCH(J87, ""x4""),3))+if(istext(J87),if(REGEXMATCH(J87, ""x5""),4))"),0.0)</f>
        <v>0</v>
      </c>
      <c r="J87" s="148"/>
      <c r="K87" s="28"/>
      <c r="L87" s="28"/>
      <c r="M87" s="28"/>
      <c r="N87" s="29"/>
      <c r="O87" s="52"/>
      <c r="P87" s="544">
        <f>IFERROR(__xludf.DUMMYFUNCTION("1+if(istext(Q87),if(REGEXMATCH(Q87, ""Free Talent""), -1), -1)+if(istext(Q87),if(REGEXMATCH(Q87, ""x2""),1))+if(istext(Q87),if(REGEXMATCH(Q87, ""x3""),2))+if(istext(Q87),if(REGEXMATCH(Q87, ""x4""),3))+if(istext(Q87),if(REGEXMATCH(Q87, ""x5""),4))"),0.0)</f>
        <v>0</v>
      </c>
      <c r="Q87" s="148"/>
      <c r="R87" s="28"/>
      <c r="S87" s="28"/>
      <c r="T87" s="28"/>
      <c r="U87" s="29"/>
      <c r="V87" s="52"/>
      <c r="W87" s="544">
        <f>IFERROR(__xludf.DUMMYFUNCTION("1+if(istext(X87),if(REGEXMATCH(X87, ""Free Talent""), -1), -1)+if(istext(X87),if(REGEXMATCH(X87, ""x2""),1))+if(istext(X87),if(REGEXMATCH(X87, ""x3""),2))+if(istext(X87),if(REGEXMATCH(X87, ""x4""),3))+if(istext(X87),if(REGEXMATCH(X87, ""x5""),4))"),0.0)</f>
        <v>0</v>
      </c>
      <c r="X87" s="148"/>
      <c r="Y87" s="28"/>
      <c r="Z87" s="28"/>
      <c r="AA87" s="28"/>
      <c r="AB87" s="29"/>
      <c r="AC87" s="52"/>
      <c r="AD87" s="544">
        <f>IFERROR(__xludf.DUMMYFUNCTION("1+if(istext(AE87),if(REGEXMATCH(AE87, ""Free Talent""), -1), -1)+if(istext(AE87),if(REGEXMATCH(AE87, ""x2""),1))+if(istext(AE87),if(REGEXMATCH(AE87, ""x3""),2))+if(istext(AE87),if(REGEXMATCH(AE87, ""x4""),3))+if(istext(AE87),if(REGEXMATCH(AE87, ""x5""),4)"&amp;")"),0.0)</f>
        <v>0</v>
      </c>
      <c r="AE87" s="148"/>
      <c r="AF87" s="28"/>
      <c r="AG87" s="28"/>
      <c r="AH87" s="28"/>
      <c r="AI87" s="29"/>
      <c r="AJ87" s="52"/>
      <c r="AK87" s="544">
        <f>IFERROR(__xludf.DUMMYFUNCTION("1+if(istext(AL87),if(REGEXMATCH(AL87, ""Free Talent""), -1), -1)+if(istext(AL87),if(REGEXMATCH(AL87, ""x2""),1))+if(istext(AL87),if(REGEXMATCH(AL87, ""x3""),2))+if(istext(AL87),if(REGEXMATCH(AL87, ""x4""),3))+if(istext(AL87),if(REGEXMATCH(AL87, ""x5""),4)"&amp;")"),0.0)</f>
        <v>0</v>
      </c>
      <c r="AL87" s="148"/>
      <c r="AM87" s="28"/>
      <c r="AN87" s="28"/>
      <c r="AO87" s="28"/>
      <c r="AP87" s="29"/>
      <c r="AQ87" s="52"/>
      <c r="AR87" s="544">
        <f>IFERROR(__xludf.DUMMYFUNCTION("1+if(istext(AS87),if(REGEXMATCH(AS87, ""Free Talent""), -1), -1)+if(istext(AS87),if(REGEXMATCH(AS87, ""x2""),1))+if(istext(AS87),if(REGEXMATCH(AS87, ""x3""),2))+if(istext(AS87),if(REGEXMATCH(AS87, ""x4""),3))+if(istext(AS87),if(REGEXMATCH(AS87, ""x5""),4)"&amp;")"),0.0)</f>
        <v>0</v>
      </c>
      <c r="AS87" s="148"/>
      <c r="AT87" s="28"/>
      <c r="AU87" s="28"/>
      <c r="AV87" s="28"/>
      <c r="AW87" s="29"/>
      <c r="AX87" s="216"/>
      <c r="AY87" s="550"/>
      <c r="AZ87" s="552"/>
      <c r="BA87" s="552"/>
      <c r="BB87" s="552"/>
      <c r="BC87" s="552"/>
      <c r="BD87" s="552"/>
      <c r="BE87" s="552"/>
      <c r="BF87" s="552"/>
      <c r="BG87" s="552"/>
      <c r="BH87" s="552"/>
      <c r="BI87" s="552"/>
      <c r="BJ87" s="552"/>
      <c r="BK87" s="552"/>
      <c r="BL87" s="552"/>
      <c r="BM87" s="552"/>
      <c r="BN87" s="552"/>
      <c r="BO87" s="557"/>
    </row>
    <row r="88" hidden="1">
      <c r="A88" s="52"/>
      <c r="B88" s="349" t="s">
        <v>288</v>
      </c>
      <c r="D88" s="351" t="s">
        <v>141</v>
      </c>
      <c r="E88" s="352"/>
      <c r="F88" s="351" t="s">
        <v>17</v>
      </c>
      <c r="G88" s="351" t="s">
        <v>293</v>
      </c>
      <c r="H88" s="52"/>
      <c r="I88" s="544">
        <f>IFERROR(__xludf.DUMMYFUNCTION("1+if(istext(J88),if(REGEXMATCH(J88, ""Free Talent""), -1), -1)+if(istext(J88),if(REGEXMATCH(J88, ""x2""),1))+if(istext(J88),if(REGEXMATCH(J88, ""x3""),2))+if(istext(J88),if(REGEXMATCH(J88, ""x4""),3))+if(istext(J88),if(REGEXMATCH(J88, ""x5""),4))"),0.0)</f>
        <v>0</v>
      </c>
      <c r="J88" s="148"/>
      <c r="K88" s="28"/>
      <c r="L88" s="28"/>
      <c r="M88" s="28"/>
      <c r="N88" s="29"/>
      <c r="O88" s="52"/>
      <c r="P88" s="544">
        <f>IFERROR(__xludf.DUMMYFUNCTION("1+if(istext(Q88),if(REGEXMATCH(Q88, ""Free Talent""), -1), -1)+if(istext(Q88),if(REGEXMATCH(Q88, ""x2""),1))+if(istext(Q88),if(REGEXMATCH(Q88, ""x3""),2))+if(istext(Q88),if(REGEXMATCH(Q88, ""x4""),3))+if(istext(Q88),if(REGEXMATCH(Q88, ""x5""),4))"),0.0)</f>
        <v>0</v>
      </c>
      <c r="Q88" s="148"/>
      <c r="R88" s="28"/>
      <c r="S88" s="28"/>
      <c r="T88" s="28"/>
      <c r="U88" s="29"/>
      <c r="V88" s="52"/>
      <c r="W88" s="544">
        <f>IFERROR(__xludf.DUMMYFUNCTION("1+if(istext(X88),if(REGEXMATCH(X88, ""Free Talent""), -1), -1)+if(istext(X88),if(REGEXMATCH(X88, ""x2""),1))+if(istext(X88),if(REGEXMATCH(X88, ""x3""),2))+if(istext(X88),if(REGEXMATCH(X88, ""x4""),3))+if(istext(X88),if(REGEXMATCH(X88, ""x5""),4))"),0.0)</f>
        <v>0</v>
      </c>
      <c r="X88" s="148"/>
      <c r="Y88" s="28"/>
      <c r="Z88" s="28"/>
      <c r="AA88" s="28"/>
      <c r="AB88" s="29"/>
      <c r="AC88" s="52"/>
      <c r="AD88" s="544">
        <f>IFERROR(__xludf.DUMMYFUNCTION("1+if(istext(AE88),if(REGEXMATCH(AE88, ""Free Talent""), -1), -1)+if(istext(AE88),if(REGEXMATCH(AE88, ""x2""),1))+if(istext(AE88),if(REGEXMATCH(AE88, ""x3""),2))+if(istext(AE88),if(REGEXMATCH(AE88, ""x4""),3))+if(istext(AE88),if(REGEXMATCH(AE88, ""x5""),4)"&amp;")"),0.0)</f>
        <v>0</v>
      </c>
      <c r="AE88" s="148"/>
      <c r="AF88" s="28"/>
      <c r="AG88" s="28"/>
      <c r="AH88" s="28"/>
      <c r="AI88" s="29"/>
      <c r="AJ88" s="52"/>
      <c r="AK88" s="544">
        <f>IFERROR(__xludf.DUMMYFUNCTION("1+if(istext(AL88),if(REGEXMATCH(AL88, ""Free Talent""), -1), -1)+if(istext(AL88),if(REGEXMATCH(AL88, ""x2""),1))+if(istext(AL88),if(REGEXMATCH(AL88, ""x3""),2))+if(istext(AL88),if(REGEXMATCH(AL88, ""x4""),3))+if(istext(AL88),if(REGEXMATCH(AL88, ""x5""),4)"&amp;")"),0.0)</f>
        <v>0</v>
      </c>
      <c r="AL88" s="148"/>
      <c r="AM88" s="28"/>
      <c r="AN88" s="28"/>
      <c r="AO88" s="28"/>
      <c r="AP88" s="29"/>
      <c r="AQ88" s="52"/>
      <c r="AR88" s="544">
        <f>IFERROR(__xludf.DUMMYFUNCTION("1+if(istext(AS88),if(REGEXMATCH(AS88, ""Free Talent""), -1), -1)+if(istext(AS88),if(REGEXMATCH(AS88, ""x2""),1))+if(istext(AS88),if(REGEXMATCH(AS88, ""x3""),2))+if(istext(AS88),if(REGEXMATCH(AS88, ""x4""),3))+if(istext(AS88),if(REGEXMATCH(AS88, ""x5""),4)"&amp;")"),0.0)</f>
        <v>0</v>
      </c>
      <c r="AS88" s="148"/>
      <c r="AT88" s="28"/>
      <c r="AU88" s="28"/>
      <c r="AV88" s="28"/>
      <c r="AW88" s="29"/>
      <c r="AX88" s="216"/>
      <c r="AY88" s="550"/>
      <c r="AZ88" s="552"/>
      <c r="BA88" s="552"/>
      <c r="BB88" s="552"/>
      <c r="BC88" s="552"/>
      <c r="BD88" s="552"/>
      <c r="BE88" s="552"/>
      <c r="BF88" s="552"/>
      <c r="BG88" s="552"/>
      <c r="BH88" s="552"/>
      <c r="BI88" s="552"/>
      <c r="BJ88" s="552"/>
      <c r="BK88" s="552"/>
      <c r="BL88" s="552"/>
      <c r="BM88" s="552"/>
      <c r="BN88" s="552"/>
      <c r="BO88" s="557"/>
    </row>
    <row r="89" hidden="1">
      <c r="A89" s="52"/>
      <c r="B89" s="325"/>
      <c r="C89" s="325"/>
      <c r="D89" s="366">
        <f>MIN(20,SUM(F89:G89))</f>
        <v>0</v>
      </c>
      <c r="E89" s="369" t="s">
        <v>145</v>
      </c>
      <c r="F89" s="372" t="str">
        <f>iferror(VLOOKUP(B84,'Main Sheet'!AE2:AQ4,13,false),"")</f>
        <v/>
      </c>
      <c r="G89" s="374"/>
      <c r="H89" s="52"/>
      <c r="I89" s="544">
        <f>IFERROR(__xludf.DUMMYFUNCTION("1+if(istext(J89),if(REGEXMATCH(J89, ""Free Talent""), -1), -1)+if(istext(J89),if(REGEXMATCH(J89, ""x2""),1))+if(istext(J89),if(REGEXMATCH(J89, ""x3""),2))+if(istext(J89),if(REGEXMATCH(J89, ""x4""),3))+if(istext(J89),if(REGEXMATCH(J89, ""x5""),4))"),0.0)</f>
        <v>0</v>
      </c>
      <c r="J89" s="148"/>
      <c r="K89" s="28"/>
      <c r="L89" s="28"/>
      <c r="M89" s="28"/>
      <c r="N89" s="29"/>
      <c r="O89" s="52"/>
      <c r="P89" s="544">
        <f>IFERROR(__xludf.DUMMYFUNCTION("1+if(istext(Q89),if(REGEXMATCH(Q89, ""Free Talent""), -1), -1)+if(istext(Q89),if(REGEXMATCH(Q89, ""x2""),1))+if(istext(Q89),if(REGEXMATCH(Q89, ""x3""),2))+if(istext(Q89),if(REGEXMATCH(Q89, ""x4""),3))+if(istext(Q89),if(REGEXMATCH(Q89, ""x5""),4))"),0.0)</f>
        <v>0</v>
      </c>
      <c r="Q89" s="148"/>
      <c r="R89" s="28"/>
      <c r="S89" s="28"/>
      <c r="T89" s="28"/>
      <c r="U89" s="29"/>
      <c r="V89" s="52"/>
      <c r="W89" s="544">
        <f>IFERROR(__xludf.DUMMYFUNCTION("1+if(istext(X89),if(REGEXMATCH(X89, ""Free Talent""), -1), -1)+if(istext(X89),if(REGEXMATCH(X89, ""x2""),1))+if(istext(X89),if(REGEXMATCH(X89, ""x3""),2))+if(istext(X89),if(REGEXMATCH(X89, ""x4""),3))+if(istext(X89),if(REGEXMATCH(X89, ""x5""),4))"),0.0)</f>
        <v>0</v>
      </c>
      <c r="X89" s="148"/>
      <c r="Y89" s="28"/>
      <c r="Z89" s="28"/>
      <c r="AA89" s="28"/>
      <c r="AB89" s="29"/>
      <c r="AC89" s="52"/>
      <c r="AD89" s="544">
        <f>IFERROR(__xludf.DUMMYFUNCTION("1+if(istext(AE89),if(REGEXMATCH(AE89, ""Free Talent""), -1), -1)+if(istext(AE89),if(REGEXMATCH(AE89, ""x2""),1))+if(istext(AE89),if(REGEXMATCH(AE89, ""x3""),2))+if(istext(AE89),if(REGEXMATCH(AE89, ""x4""),3))+if(istext(AE89),if(REGEXMATCH(AE89, ""x5""),4)"&amp;")"),0.0)</f>
        <v>0</v>
      </c>
      <c r="AE89" s="148"/>
      <c r="AF89" s="28"/>
      <c r="AG89" s="28"/>
      <c r="AH89" s="28"/>
      <c r="AI89" s="29"/>
      <c r="AJ89" s="52"/>
      <c r="AK89" s="544">
        <f>IFERROR(__xludf.DUMMYFUNCTION("1+if(istext(AL89),if(REGEXMATCH(AL89, ""Free Talent""), -1), -1)+if(istext(AL89),if(REGEXMATCH(AL89, ""x2""),1))+if(istext(AL89),if(REGEXMATCH(AL89, ""x3""),2))+if(istext(AL89),if(REGEXMATCH(AL89, ""x4""),3))+if(istext(AL89),if(REGEXMATCH(AL89, ""x5""),4)"&amp;")"),0.0)</f>
        <v>0</v>
      </c>
      <c r="AL89" s="148"/>
      <c r="AM89" s="28"/>
      <c r="AN89" s="28"/>
      <c r="AO89" s="28"/>
      <c r="AP89" s="29"/>
      <c r="AQ89" s="52"/>
      <c r="AR89" s="544">
        <f>IFERROR(__xludf.DUMMYFUNCTION("1+if(istext(AS89),if(REGEXMATCH(AS89, ""Free Talent""), -1), -1)+if(istext(AS89),if(REGEXMATCH(AS89, ""x2""),1))+if(istext(AS89),if(REGEXMATCH(AS89, ""x3""),2))+if(istext(AS89),if(REGEXMATCH(AS89, ""x4""),3))+if(istext(AS89),if(REGEXMATCH(AS89, ""x5""),4)"&amp;")"),0.0)</f>
        <v>0</v>
      </c>
      <c r="AS89" s="148"/>
      <c r="AT89" s="28"/>
      <c r="AU89" s="28"/>
      <c r="AV89" s="28"/>
      <c r="AW89" s="29"/>
      <c r="AX89" s="216"/>
      <c r="AY89" s="550"/>
      <c r="AZ89" s="552"/>
      <c r="BA89" s="552"/>
      <c r="BB89" s="552"/>
      <c r="BC89" s="552"/>
      <c r="BD89" s="552"/>
      <c r="BE89" s="552"/>
      <c r="BF89" s="552"/>
      <c r="BG89" s="552"/>
      <c r="BH89" s="552"/>
      <c r="BI89" s="552"/>
      <c r="BJ89" s="552"/>
      <c r="BK89" s="552"/>
      <c r="BL89" s="552"/>
      <c r="BM89" s="552"/>
      <c r="BN89" s="552"/>
      <c r="BO89" s="557"/>
    </row>
    <row r="90" hidden="1">
      <c r="A90" s="52"/>
      <c r="B90" s="581" t="s">
        <v>727</v>
      </c>
      <c r="C90" s="464"/>
      <c r="D90" s="351" t="s">
        <v>141</v>
      </c>
      <c r="E90" s="383"/>
      <c r="F90" s="351" t="s">
        <v>17</v>
      </c>
      <c r="G90" s="351" t="s">
        <v>293</v>
      </c>
      <c r="H90" s="52"/>
      <c r="I90" s="544">
        <f>IFERROR(__xludf.DUMMYFUNCTION("1+if(istext(J90),if(REGEXMATCH(J90, ""Free Talent""), -1), -1)+if(istext(J90),if(REGEXMATCH(J90, ""x2""),1))+if(istext(J90),if(REGEXMATCH(J90, ""x3""),2))+if(istext(J90),if(REGEXMATCH(J90, ""x4""),3))+if(istext(J90),if(REGEXMATCH(J90, ""x5""),4))"),0.0)</f>
        <v>0</v>
      </c>
      <c r="J90" s="148"/>
      <c r="K90" s="28"/>
      <c r="L90" s="28"/>
      <c r="M90" s="28"/>
      <c r="N90" s="29"/>
      <c r="O90" s="52"/>
      <c r="P90" s="544">
        <f>IFERROR(__xludf.DUMMYFUNCTION("1+if(istext(Q90),if(REGEXMATCH(Q90, ""Free Talent""), -1), -1)+if(istext(Q90),if(REGEXMATCH(Q90, ""x2""),1))+if(istext(Q90),if(REGEXMATCH(Q90, ""x3""),2))+if(istext(Q90),if(REGEXMATCH(Q90, ""x4""),3))+if(istext(Q90),if(REGEXMATCH(Q90, ""x5""),4))"),0.0)</f>
        <v>0</v>
      </c>
      <c r="Q90" s="148"/>
      <c r="R90" s="28"/>
      <c r="S90" s="28"/>
      <c r="T90" s="28"/>
      <c r="U90" s="29"/>
      <c r="V90" s="52"/>
      <c r="W90" s="544">
        <f>IFERROR(__xludf.DUMMYFUNCTION("1+if(istext(X90),if(REGEXMATCH(X90, ""Free Talent""), -1), -1)+if(istext(X90),if(REGEXMATCH(X90, ""x2""),1))+if(istext(X90),if(REGEXMATCH(X90, ""x3""),2))+if(istext(X90),if(REGEXMATCH(X90, ""x4""),3))+if(istext(X90),if(REGEXMATCH(X90, ""x5""),4))"),0.0)</f>
        <v>0</v>
      </c>
      <c r="X90" s="148"/>
      <c r="Y90" s="28"/>
      <c r="Z90" s="28"/>
      <c r="AA90" s="28"/>
      <c r="AB90" s="29"/>
      <c r="AC90" s="52"/>
      <c r="AD90" s="544">
        <f>IFERROR(__xludf.DUMMYFUNCTION("1+if(istext(AE90),if(REGEXMATCH(AE90, ""Free Talent""), -1), -1)+if(istext(AE90),if(REGEXMATCH(AE90, ""x2""),1))+if(istext(AE90),if(REGEXMATCH(AE90, ""x3""),2))+if(istext(AE90),if(REGEXMATCH(AE90, ""x4""),3))+if(istext(AE90),if(REGEXMATCH(AE90, ""x5""),4)"&amp;")"),0.0)</f>
        <v>0</v>
      </c>
      <c r="AE90" s="148"/>
      <c r="AF90" s="28"/>
      <c r="AG90" s="28"/>
      <c r="AH90" s="28"/>
      <c r="AI90" s="29"/>
      <c r="AJ90" s="52"/>
      <c r="AK90" s="544">
        <f>IFERROR(__xludf.DUMMYFUNCTION("1+if(istext(AL90),if(REGEXMATCH(AL90, ""Free Talent""), -1), -1)+if(istext(AL90),if(REGEXMATCH(AL90, ""x2""),1))+if(istext(AL90),if(REGEXMATCH(AL90, ""x3""),2))+if(istext(AL90),if(REGEXMATCH(AL90, ""x4""),3))+if(istext(AL90),if(REGEXMATCH(AL90, ""x5""),4)"&amp;")"),0.0)</f>
        <v>0</v>
      </c>
      <c r="AL90" s="148"/>
      <c r="AM90" s="28"/>
      <c r="AN90" s="28"/>
      <c r="AO90" s="28"/>
      <c r="AP90" s="29"/>
      <c r="AQ90" s="52"/>
      <c r="AR90" s="544">
        <f>IFERROR(__xludf.DUMMYFUNCTION("1+if(istext(AS90),if(REGEXMATCH(AS90, ""Free Talent""), -1), -1)+if(istext(AS90),if(REGEXMATCH(AS90, ""x2""),1))+if(istext(AS90),if(REGEXMATCH(AS90, ""x3""),2))+if(istext(AS90),if(REGEXMATCH(AS90, ""x4""),3))+if(istext(AS90),if(REGEXMATCH(AS90, ""x5""),4)"&amp;")"),0.0)</f>
        <v>0</v>
      </c>
      <c r="AS90" s="148"/>
      <c r="AT90" s="28"/>
      <c r="AU90" s="28"/>
      <c r="AV90" s="28"/>
      <c r="AW90" s="29"/>
      <c r="AX90" s="216"/>
      <c r="AY90" s="550"/>
      <c r="AZ90" s="552"/>
      <c r="BA90" s="552"/>
      <c r="BB90" s="552"/>
      <c r="BC90" s="552"/>
      <c r="BD90" s="552"/>
      <c r="BE90" s="552"/>
      <c r="BF90" s="552"/>
      <c r="BG90" s="552"/>
      <c r="BH90" s="552"/>
      <c r="BI90" s="552"/>
      <c r="BJ90" s="552"/>
      <c r="BK90" s="552"/>
      <c r="BL90" s="552"/>
      <c r="BM90" s="552"/>
      <c r="BN90" s="552"/>
      <c r="BO90" s="557"/>
    </row>
    <row r="91" hidden="1">
      <c r="A91" s="52"/>
      <c r="B91" s="325"/>
      <c r="C91" s="502"/>
      <c r="D91" s="366">
        <f>SUM(F91:G91)-iferror(abs('Main Sheet'!$Y$39),"")</f>
        <v>0</v>
      </c>
      <c r="E91" s="369" t="s">
        <v>145</v>
      </c>
      <c r="F91" s="372"/>
      <c r="G91" s="396"/>
      <c r="H91" s="52"/>
      <c r="I91" s="544">
        <f>IFERROR(__xludf.DUMMYFUNCTION("1+if(istext(J91),if(REGEXMATCH(J91, ""Free Talent""), -1), -1)+if(istext(J91),if(REGEXMATCH(J91, ""x2""),1))+if(istext(J91),if(REGEXMATCH(J91, ""x3""),2))+if(istext(J91),if(REGEXMATCH(J91, ""x4""),3))+if(istext(J91),if(REGEXMATCH(J91, ""x5""),4))"),0.0)</f>
        <v>0</v>
      </c>
      <c r="J91" s="148"/>
      <c r="K91" s="28"/>
      <c r="L91" s="28"/>
      <c r="M91" s="28"/>
      <c r="N91" s="29"/>
      <c r="O91" s="52"/>
      <c r="P91" s="544">
        <f>IFERROR(__xludf.DUMMYFUNCTION("1+if(istext(Q91),if(REGEXMATCH(Q91, ""Free Talent""), -1), -1)+if(istext(Q91),if(REGEXMATCH(Q91, ""x2""),1))+if(istext(Q91),if(REGEXMATCH(Q91, ""x3""),2))+if(istext(Q91),if(REGEXMATCH(Q91, ""x4""),3))+if(istext(Q91),if(REGEXMATCH(Q91, ""x5""),4))"),0.0)</f>
        <v>0</v>
      </c>
      <c r="Q91" s="148"/>
      <c r="R91" s="28"/>
      <c r="S91" s="28"/>
      <c r="T91" s="28"/>
      <c r="U91" s="29"/>
      <c r="V91" s="52"/>
      <c r="W91" s="544">
        <f>IFERROR(__xludf.DUMMYFUNCTION("1+if(istext(X91),if(REGEXMATCH(X91, ""Free Talent""), -1), -1)+if(istext(X91),if(REGEXMATCH(X91, ""x2""),1))+if(istext(X91),if(REGEXMATCH(X91, ""x3""),2))+if(istext(X91),if(REGEXMATCH(X91, ""x4""),3))+if(istext(X91),if(REGEXMATCH(X91, ""x5""),4))"),0.0)</f>
        <v>0</v>
      </c>
      <c r="X91" s="148"/>
      <c r="Y91" s="28"/>
      <c r="Z91" s="28"/>
      <c r="AA91" s="28"/>
      <c r="AB91" s="29"/>
      <c r="AC91" s="52"/>
      <c r="AD91" s="544">
        <f>IFERROR(__xludf.DUMMYFUNCTION("1+if(istext(AE91),if(REGEXMATCH(AE91, ""Free Talent""), -1), -1)+if(istext(AE91),if(REGEXMATCH(AE91, ""x2""),1))+if(istext(AE91),if(REGEXMATCH(AE91, ""x3""),2))+if(istext(AE91),if(REGEXMATCH(AE91, ""x4""),3))+if(istext(AE91),if(REGEXMATCH(AE91, ""x5""),4)"&amp;")"),0.0)</f>
        <v>0</v>
      </c>
      <c r="AE91" s="148"/>
      <c r="AF91" s="28"/>
      <c r="AG91" s="28"/>
      <c r="AH91" s="28"/>
      <c r="AI91" s="29"/>
      <c r="AJ91" s="52"/>
      <c r="AK91" s="544">
        <f>IFERROR(__xludf.DUMMYFUNCTION("1+if(istext(AL91),if(REGEXMATCH(AL91, ""Free Talent""), -1), -1)+if(istext(AL91),if(REGEXMATCH(AL91, ""x2""),1))+if(istext(AL91),if(REGEXMATCH(AL91, ""x3""),2))+if(istext(AL91),if(REGEXMATCH(AL91, ""x4""),3))+if(istext(AL91),if(REGEXMATCH(AL91, ""x5""),4)"&amp;")"),0.0)</f>
        <v>0</v>
      </c>
      <c r="AL91" s="148"/>
      <c r="AM91" s="28"/>
      <c r="AN91" s="28"/>
      <c r="AO91" s="28"/>
      <c r="AP91" s="29"/>
      <c r="AQ91" s="52"/>
      <c r="AR91" s="544">
        <f>IFERROR(__xludf.DUMMYFUNCTION("1+if(istext(AS91),if(REGEXMATCH(AS91, ""Free Talent""), -1), -1)+if(istext(AS91),if(REGEXMATCH(AS91, ""x2""),1))+if(istext(AS91),if(REGEXMATCH(AS91, ""x3""),2))+if(istext(AS91),if(REGEXMATCH(AS91, ""x4""),3))+if(istext(AS91),if(REGEXMATCH(AS91, ""x5""),4)"&amp;")"),0.0)</f>
        <v>0</v>
      </c>
      <c r="AS91" s="148"/>
      <c r="AT91" s="28"/>
      <c r="AU91" s="28"/>
      <c r="AV91" s="28"/>
      <c r="AW91" s="29"/>
      <c r="AX91" s="216"/>
      <c r="AY91" s="550"/>
      <c r="AZ91" s="552"/>
      <c r="BA91" s="552"/>
      <c r="BB91" s="552"/>
      <c r="BC91" s="552"/>
      <c r="BD91" s="552"/>
      <c r="BE91" s="552"/>
      <c r="BF91" s="552"/>
      <c r="BG91" s="552"/>
      <c r="BH91" s="552"/>
      <c r="BI91" s="552"/>
      <c r="BJ91" s="552"/>
      <c r="BK91" s="552"/>
      <c r="BL91" s="552"/>
      <c r="BM91" s="552"/>
      <c r="BN91" s="552"/>
      <c r="BO91" s="557"/>
    </row>
    <row r="92" hidden="1">
      <c r="A92" s="52"/>
      <c r="B92" s="381" t="s">
        <v>681</v>
      </c>
      <c r="C92" s="195"/>
      <c r="D92" s="86"/>
      <c r="E92" s="52"/>
      <c r="F92" s="52"/>
      <c r="G92" s="588"/>
      <c r="H92" s="52"/>
      <c r="I92" s="544">
        <f>IFERROR(__xludf.DUMMYFUNCTION("1+if(istext(J92),if(REGEXMATCH(J92, ""Free Talent""), -1), -1)+if(istext(J92),if(REGEXMATCH(J92, ""x2""),1))+if(istext(J92),if(REGEXMATCH(J92, ""x3""),2))+if(istext(J92),if(REGEXMATCH(J92, ""x4""),3))+if(istext(J92),if(REGEXMATCH(J92, ""x5""),4))"),0.0)</f>
        <v>0</v>
      </c>
      <c r="J92" s="148"/>
      <c r="K92" s="28"/>
      <c r="L92" s="28"/>
      <c r="M92" s="28"/>
      <c r="N92" s="29"/>
      <c r="O92" s="52"/>
      <c r="P92" s="544">
        <f>IFERROR(__xludf.DUMMYFUNCTION("1+if(istext(Q92),if(REGEXMATCH(Q92, ""Free Talent""), -1), -1)+if(istext(Q92),if(REGEXMATCH(Q92, ""x2""),1))+if(istext(Q92),if(REGEXMATCH(Q92, ""x3""),2))+if(istext(Q92),if(REGEXMATCH(Q92, ""x4""),3))+if(istext(Q92),if(REGEXMATCH(Q92, ""x5""),4))"),0.0)</f>
        <v>0</v>
      </c>
      <c r="Q92" s="148"/>
      <c r="R92" s="28"/>
      <c r="S92" s="28"/>
      <c r="T92" s="28"/>
      <c r="U92" s="29"/>
      <c r="V92" s="52"/>
      <c r="W92" s="544">
        <f>IFERROR(__xludf.DUMMYFUNCTION("1+if(istext(X92),if(REGEXMATCH(X92, ""Free Talent""), -1), -1)+if(istext(X92),if(REGEXMATCH(X92, ""x2""),1))+if(istext(X92),if(REGEXMATCH(X92, ""x3""),2))+if(istext(X92),if(REGEXMATCH(X92, ""x4""),3))+if(istext(X92),if(REGEXMATCH(X92, ""x5""),4))"),0.0)</f>
        <v>0</v>
      </c>
      <c r="X92" s="148"/>
      <c r="Y92" s="28"/>
      <c r="Z92" s="28"/>
      <c r="AA92" s="28"/>
      <c r="AB92" s="29"/>
      <c r="AC92" s="52"/>
      <c r="AD92" s="544">
        <f>IFERROR(__xludf.DUMMYFUNCTION("1+if(istext(AE92),if(REGEXMATCH(AE92, ""Free Talent""), -1), -1)+if(istext(AE92),if(REGEXMATCH(AE92, ""x2""),1))+if(istext(AE92),if(REGEXMATCH(AE92, ""x3""),2))+if(istext(AE92),if(REGEXMATCH(AE92, ""x4""),3))+if(istext(AE92),if(REGEXMATCH(AE92, ""x5""),4)"&amp;")"),0.0)</f>
        <v>0</v>
      </c>
      <c r="AE92" s="148"/>
      <c r="AF92" s="28"/>
      <c r="AG92" s="28"/>
      <c r="AH92" s="28"/>
      <c r="AI92" s="29"/>
      <c r="AJ92" s="52"/>
      <c r="AK92" s="544">
        <f>IFERROR(__xludf.DUMMYFUNCTION("1+if(istext(AL92),if(REGEXMATCH(AL92, ""Free Talent""), -1), -1)+if(istext(AL92),if(REGEXMATCH(AL92, ""x2""),1))+if(istext(AL92),if(REGEXMATCH(AL92, ""x3""),2))+if(istext(AL92),if(REGEXMATCH(AL92, ""x4""),3))+if(istext(AL92),if(REGEXMATCH(AL92, ""x5""),4)"&amp;")"),0.0)</f>
        <v>0</v>
      </c>
      <c r="AL92" s="148"/>
      <c r="AM92" s="28"/>
      <c r="AN92" s="28"/>
      <c r="AO92" s="28"/>
      <c r="AP92" s="29"/>
      <c r="AQ92" s="52"/>
      <c r="AR92" s="544">
        <f>IFERROR(__xludf.DUMMYFUNCTION("1+if(istext(AS92),if(REGEXMATCH(AS92, ""Free Talent""), -1), -1)+if(istext(AS92),if(REGEXMATCH(AS92, ""x2""),1))+if(istext(AS92),if(REGEXMATCH(AS92, ""x3""),2))+if(istext(AS92),if(REGEXMATCH(AS92, ""x4""),3))+if(istext(AS92),if(REGEXMATCH(AS92, ""x5""),4)"&amp;")"),0.0)</f>
        <v>0</v>
      </c>
      <c r="AS92" s="148"/>
      <c r="AT92" s="28"/>
      <c r="AU92" s="28"/>
      <c r="AV92" s="28"/>
      <c r="AW92" s="29"/>
      <c r="AX92" s="216"/>
      <c r="AY92" s="550"/>
      <c r="AZ92" s="552"/>
      <c r="BA92" s="552"/>
      <c r="BB92" s="552"/>
      <c r="BC92" s="552"/>
      <c r="BD92" s="552"/>
      <c r="BE92" s="552"/>
      <c r="BF92" s="552"/>
      <c r="BG92" s="552"/>
      <c r="BH92" s="552"/>
      <c r="BI92" s="552"/>
      <c r="BJ92" s="552"/>
      <c r="BK92" s="552"/>
      <c r="BL92" s="552"/>
      <c r="BM92" s="552"/>
      <c r="BN92" s="552"/>
      <c r="BO92" s="557"/>
    </row>
    <row r="93" hidden="1">
      <c r="A93" s="52"/>
      <c r="B93" s="325"/>
      <c r="C93" s="325"/>
      <c r="D93" s="366">
        <f>10+floor(D91/2,1)+G86</f>
        <v>10</v>
      </c>
      <c r="E93" s="142"/>
      <c r="F93" s="52"/>
      <c r="G93" s="52"/>
      <c r="H93" s="52"/>
      <c r="I93" s="642">
        <f>if(I84=P84,sum(sum(I85:I92),sum(P85:P92)), sum(I85:I92))+if(istext(I84),if(I84="Equipment",0,1),0)</f>
        <v>0</v>
      </c>
      <c r="J93" s="642"/>
      <c r="K93" s="642"/>
      <c r="L93" s="642"/>
      <c r="M93" s="642"/>
      <c r="N93" s="642"/>
      <c r="O93" s="642"/>
      <c r="P93" s="642">
        <f>if(I84=P84,0,if(P84=W84,sum(sum(P85:P92),sum(W85:W92))+if(istext(P84),if(P84="Equipment",0,1),0), sum(P85:P92)+if(istext(P84),if(P84="Equipment",0,1),0)))</f>
        <v>0</v>
      </c>
      <c r="Q93" s="642"/>
      <c r="R93" s="642"/>
      <c r="S93" s="642"/>
      <c r="T93" s="642"/>
      <c r="U93" s="642"/>
      <c r="V93" s="642"/>
      <c r="W93" s="642">
        <f>if(P84=W84,0,if(W84=AD84,sum(sum(W85:W92),sum(AD85:AD92))+if(istext(W84),if(W84="Equipment",0,1),0), sum(W85:W92)+if(istext(W84),if(W84="Equipment",0,1),0)))</f>
        <v>0</v>
      </c>
      <c r="X93" s="642"/>
      <c r="Y93" s="642"/>
      <c r="Z93" s="642"/>
      <c r="AA93" s="642"/>
      <c r="AB93" s="642"/>
      <c r="AC93" s="642"/>
      <c r="AD93" s="642">
        <f>if(W84=AD84,0,if(AD84=AK84,sum(sum(AD85:AD92),sum(AK85:AK92))+if(istext(AD84),if(AD84="Equipment",0,1),0), sum(AD85:AD92)+if(istext(AD84),if(AD84="Equipment",0,1),0)))</f>
        <v>0</v>
      </c>
      <c r="AE93" s="642"/>
      <c r="AF93" s="642"/>
      <c r="AG93" s="642"/>
      <c r="AH93" s="642"/>
      <c r="AI93" s="642"/>
      <c r="AJ93" s="642"/>
      <c r="AK93" s="642">
        <f>if(AD84=AK84,0,if(AK84=AR84,sum(sum(AK85:AK92),sum(AR85:AR92))+if(istext(AK84),if(AK84="Equipment",0,1),0), sum(AK85:AK92)+if(istext(AK84),if(AK84="Equipment",0,1),0)))</f>
        <v>0</v>
      </c>
      <c r="AL93" s="642"/>
      <c r="AM93" s="642"/>
      <c r="AN93" s="642"/>
      <c r="AO93" s="642"/>
      <c r="AP93" s="642"/>
      <c r="AQ93" s="642"/>
      <c r="AR93" s="642">
        <f>if(AK84=AR84,0,if(AR84=I94,sum(sum(AR85:AR92),sum(I95:I102))+if(istext(AR84),if(AR84="Equipment",0,1),0), sum(AR85:AR92)+if(istext(AR84),if(AR84="Equipment",0,1),0)))</f>
        <v>0</v>
      </c>
      <c r="AS93" s="52"/>
      <c r="AT93" s="52"/>
      <c r="AU93" s="52"/>
      <c r="AV93" s="52"/>
      <c r="AW93" s="52"/>
      <c r="AX93" s="216"/>
      <c r="AY93" s="550"/>
      <c r="AZ93" s="552"/>
      <c r="BA93" s="552"/>
      <c r="BB93" s="552"/>
      <c r="BC93" s="552"/>
      <c r="BD93" s="552"/>
      <c r="BE93" s="552"/>
      <c r="BF93" s="552"/>
      <c r="BG93" s="552"/>
      <c r="BH93" s="552"/>
      <c r="BI93" s="552"/>
      <c r="BJ93" s="552"/>
      <c r="BK93" s="552"/>
      <c r="BL93" s="552"/>
      <c r="BM93" s="552"/>
      <c r="BN93" s="552"/>
      <c r="BO93" s="557"/>
    </row>
    <row r="94" hidden="1">
      <c r="A94" s="52"/>
      <c r="B94" s="272"/>
      <c r="C94" s="52"/>
      <c r="D94" s="274"/>
      <c r="E94" s="52"/>
      <c r="F94" s="216"/>
      <c r="G94" s="469"/>
      <c r="H94" s="52"/>
      <c r="I94" s="539"/>
      <c r="J94" s="28"/>
      <c r="K94" s="28"/>
      <c r="L94" s="28"/>
      <c r="M94" s="28"/>
      <c r="N94" s="29"/>
      <c r="O94" s="52"/>
      <c r="P94" s="539"/>
      <c r="Q94" s="28"/>
      <c r="R94" s="28"/>
      <c r="S94" s="28"/>
      <c r="T94" s="28"/>
      <c r="U94" s="29"/>
      <c r="V94" s="52"/>
      <c r="W94" s="539"/>
      <c r="X94" s="28"/>
      <c r="Y94" s="28"/>
      <c r="Z94" s="28"/>
      <c r="AA94" s="28"/>
      <c r="AB94" s="29"/>
      <c r="AC94" s="52"/>
      <c r="AD94" s="539"/>
      <c r="AE94" s="28"/>
      <c r="AF94" s="28"/>
      <c r="AG94" s="28"/>
      <c r="AH94" s="28"/>
      <c r="AI94" s="29"/>
      <c r="AJ94" s="52"/>
      <c r="AK94" s="539"/>
      <c r="AL94" s="28"/>
      <c r="AM94" s="28"/>
      <c r="AN94" s="28"/>
      <c r="AO94" s="28"/>
      <c r="AP94" s="29"/>
      <c r="AQ94" s="52"/>
      <c r="AR94" s="539"/>
      <c r="AS94" s="28"/>
      <c r="AT94" s="28"/>
      <c r="AU94" s="28"/>
      <c r="AV94" s="28"/>
      <c r="AW94" s="29"/>
      <c r="AX94" s="216"/>
      <c r="AY94" s="550"/>
      <c r="AZ94" s="552"/>
      <c r="BA94" s="552"/>
      <c r="BB94" s="552"/>
      <c r="BC94" s="552"/>
      <c r="BD94" s="552"/>
      <c r="BE94" s="552"/>
      <c r="BF94" s="552"/>
      <c r="BG94" s="552"/>
      <c r="BH94" s="552"/>
      <c r="BI94" s="552"/>
      <c r="BJ94" s="552"/>
      <c r="BK94" s="552"/>
      <c r="BL94" s="552"/>
      <c r="BM94" s="552"/>
      <c r="BN94" s="552"/>
      <c r="BO94" s="557"/>
    </row>
    <row r="95" hidden="1">
      <c r="A95" s="52"/>
      <c r="B95" s="272"/>
      <c r="C95" s="52"/>
      <c r="D95" s="52"/>
      <c r="E95" s="52"/>
      <c r="F95" s="216"/>
      <c r="G95" s="469"/>
      <c r="H95" s="52"/>
      <c r="I95" s="544">
        <f>IFERROR(__xludf.DUMMYFUNCTION("1+if(istext(J95),if(REGEXMATCH(J95, ""Free Talent""), -1), -1)+if(istext(J95),if(REGEXMATCH(J95, ""x2""),1))+if(istext(J95),if(REGEXMATCH(J95, ""x3""),2))+if(istext(J95),if(REGEXMATCH(J95, ""x4""),3))+if(istext(J95),if(REGEXMATCH(J95, ""x5""),4))"),0.0)</f>
        <v>0</v>
      </c>
      <c r="J95" s="148"/>
      <c r="K95" s="28"/>
      <c r="L95" s="28"/>
      <c r="M95" s="28"/>
      <c r="N95" s="29"/>
      <c r="O95" s="52"/>
      <c r="P95" s="544">
        <f>IFERROR(__xludf.DUMMYFUNCTION("1+if(istext(Q95),if(REGEXMATCH(Q95, ""Free Talent""), -1), -1)+if(istext(Q95),if(REGEXMATCH(Q95, ""x2""),1))+if(istext(Q95),if(REGEXMATCH(Q95, ""x3""),2))+if(istext(Q95),if(REGEXMATCH(Q95, ""x4""),3))+if(istext(Q95),if(REGEXMATCH(Q95, ""x5""),4))"),0.0)</f>
        <v>0</v>
      </c>
      <c r="Q95" s="148"/>
      <c r="R95" s="28"/>
      <c r="S95" s="28"/>
      <c r="T95" s="28"/>
      <c r="U95" s="29"/>
      <c r="V95" s="52"/>
      <c r="W95" s="544">
        <f>IFERROR(__xludf.DUMMYFUNCTION("1+if(istext(X95),if(REGEXMATCH(X95, ""Free Talent""), -1), -1)+if(istext(X95),if(REGEXMATCH(X95, ""x2""),1))+if(istext(X95),if(REGEXMATCH(X95, ""x3""),2))+if(istext(X95),if(REGEXMATCH(X95, ""x4""),3))+if(istext(X95),if(REGEXMATCH(X95, ""x5""),4))"),0.0)</f>
        <v>0</v>
      </c>
      <c r="X95" s="148"/>
      <c r="Y95" s="28"/>
      <c r="Z95" s="28"/>
      <c r="AA95" s="28"/>
      <c r="AB95" s="29"/>
      <c r="AC95" s="52"/>
      <c r="AD95" s="544">
        <f>IFERROR(__xludf.DUMMYFUNCTION("1+if(istext(AE95),if(REGEXMATCH(AE95, ""Free Talent""), -1), -1)+if(istext(AE95),if(REGEXMATCH(AE95, ""x2""),1))+if(istext(AE95),if(REGEXMATCH(AE95, ""x3""),2))+if(istext(AE95),if(REGEXMATCH(AE95, ""x4""),3))+if(istext(AE95),if(REGEXMATCH(AE95, ""x5""),4)"&amp;")"),0.0)</f>
        <v>0</v>
      </c>
      <c r="AE95" s="148"/>
      <c r="AF95" s="28"/>
      <c r="AG95" s="28"/>
      <c r="AH95" s="28"/>
      <c r="AI95" s="29"/>
      <c r="AJ95" s="52"/>
      <c r="AK95" s="544">
        <f>IFERROR(__xludf.DUMMYFUNCTION("1+if(istext(AL95),if(REGEXMATCH(AL95, ""Free Talent""), -1), -1)+if(istext(AL95),if(REGEXMATCH(AL95, ""x2""),1))+if(istext(AL95),if(REGEXMATCH(AL95, ""x3""),2))+if(istext(AL95),if(REGEXMATCH(AL95, ""x4""),3))+if(istext(AL95),if(REGEXMATCH(AL95, ""x5""),4)"&amp;")"),0.0)</f>
        <v>0</v>
      </c>
      <c r="AL95" s="148"/>
      <c r="AM95" s="28"/>
      <c r="AN95" s="28"/>
      <c r="AO95" s="28"/>
      <c r="AP95" s="29"/>
      <c r="AQ95" s="52"/>
      <c r="AR95" s="544">
        <f>IFERROR(__xludf.DUMMYFUNCTION("1+if(istext(AS95),if(REGEXMATCH(AS95, ""Free Talent""), -1), -1)+if(istext(AS95),if(REGEXMATCH(AS95, ""x2""),1))+if(istext(AS95),if(REGEXMATCH(AS95, ""x3""),2))+if(istext(AS95),if(REGEXMATCH(AS95, ""x4""),3))+if(istext(AS95),if(REGEXMATCH(AS95, ""x5""),4)"&amp;")"),0.0)</f>
        <v>0</v>
      </c>
      <c r="AS95" s="148"/>
      <c r="AT95" s="28"/>
      <c r="AU95" s="28"/>
      <c r="AV95" s="28"/>
      <c r="AW95" s="29"/>
      <c r="AX95" s="216"/>
      <c r="AY95" s="550"/>
      <c r="AZ95" s="552"/>
      <c r="BA95" s="552"/>
      <c r="BB95" s="552"/>
      <c r="BC95" s="552"/>
      <c r="BD95" s="552"/>
      <c r="BE95" s="552"/>
      <c r="BF95" s="552"/>
      <c r="BG95" s="552"/>
      <c r="BH95" s="552"/>
      <c r="BI95" s="552"/>
      <c r="BJ95" s="552"/>
      <c r="BK95" s="552"/>
      <c r="BL95" s="552"/>
      <c r="BM95" s="552"/>
      <c r="BN95" s="552"/>
      <c r="BO95" s="557"/>
    </row>
    <row r="96" hidden="1">
      <c r="A96" s="52"/>
      <c r="B96" s="272"/>
      <c r="C96" s="52"/>
      <c r="D96" s="52"/>
      <c r="E96" s="52"/>
      <c r="F96" s="216"/>
      <c r="G96" s="469"/>
      <c r="H96" s="52"/>
      <c r="I96" s="544">
        <f>IFERROR(__xludf.DUMMYFUNCTION("1+if(istext(J96),if(REGEXMATCH(J96, ""Free Talent""), -1), -1)+if(istext(J96),if(REGEXMATCH(J96, ""x2""),1))+if(istext(J96),if(REGEXMATCH(J96, ""x3""),2))+if(istext(J96),if(REGEXMATCH(J96, ""x4""),3))+if(istext(J96),if(REGEXMATCH(J96, ""x5""),4))"),0.0)</f>
        <v>0</v>
      </c>
      <c r="J96" s="148"/>
      <c r="K96" s="28"/>
      <c r="L96" s="28"/>
      <c r="M96" s="28"/>
      <c r="N96" s="29"/>
      <c r="O96" s="52"/>
      <c r="P96" s="544">
        <f>IFERROR(__xludf.DUMMYFUNCTION("1+if(istext(Q96),if(REGEXMATCH(Q96, ""Free Talent""), -1), -1)+if(istext(Q96),if(REGEXMATCH(Q96, ""x2""),1))+if(istext(Q96),if(REGEXMATCH(Q96, ""x3""),2))+if(istext(Q96),if(REGEXMATCH(Q96, ""x4""),3))+if(istext(Q96),if(REGEXMATCH(Q96, ""x5""),4))"),0.0)</f>
        <v>0</v>
      </c>
      <c r="Q96" s="148"/>
      <c r="R96" s="28"/>
      <c r="S96" s="28"/>
      <c r="T96" s="28"/>
      <c r="U96" s="29"/>
      <c r="V96" s="52"/>
      <c r="W96" s="544">
        <f>IFERROR(__xludf.DUMMYFUNCTION("1+if(istext(X96),if(REGEXMATCH(X96, ""Free Talent""), -1), -1)+if(istext(X96),if(REGEXMATCH(X96, ""x2""),1))+if(istext(X96),if(REGEXMATCH(X96, ""x3""),2))+if(istext(X96),if(REGEXMATCH(X96, ""x4""),3))+if(istext(X96),if(REGEXMATCH(X96, ""x5""),4))"),0.0)</f>
        <v>0</v>
      </c>
      <c r="X96" s="148"/>
      <c r="Y96" s="28"/>
      <c r="Z96" s="28"/>
      <c r="AA96" s="28"/>
      <c r="AB96" s="29"/>
      <c r="AC96" s="52"/>
      <c r="AD96" s="544">
        <f>IFERROR(__xludf.DUMMYFUNCTION("1+if(istext(AE96),if(REGEXMATCH(AE96, ""Free Talent""), -1), -1)+if(istext(AE96),if(REGEXMATCH(AE96, ""x2""),1))+if(istext(AE96),if(REGEXMATCH(AE96, ""x3""),2))+if(istext(AE96),if(REGEXMATCH(AE96, ""x4""),3))+if(istext(AE96),if(REGEXMATCH(AE96, ""x5""),4)"&amp;")"),0.0)</f>
        <v>0</v>
      </c>
      <c r="AE96" s="148"/>
      <c r="AF96" s="28"/>
      <c r="AG96" s="28"/>
      <c r="AH96" s="28"/>
      <c r="AI96" s="29"/>
      <c r="AJ96" s="52"/>
      <c r="AK96" s="544">
        <f>IFERROR(__xludf.DUMMYFUNCTION("1+if(istext(AL96),if(REGEXMATCH(AL96, ""Free Talent""), -1), -1)+if(istext(AL96),if(REGEXMATCH(AL96, ""x2""),1))+if(istext(AL96),if(REGEXMATCH(AL96, ""x3""),2))+if(istext(AL96),if(REGEXMATCH(AL96, ""x4""),3))+if(istext(AL96),if(REGEXMATCH(AL96, ""x5""),4)"&amp;")"),0.0)</f>
        <v>0</v>
      </c>
      <c r="AL96" s="148"/>
      <c r="AM96" s="28"/>
      <c r="AN96" s="28"/>
      <c r="AO96" s="28"/>
      <c r="AP96" s="29"/>
      <c r="AQ96" s="52"/>
      <c r="AR96" s="544">
        <f>IFERROR(__xludf.DUMMYFUNCTION("1+if(istext(AS96),if(REGEXMATCH(AS96, ""Free Talent""), -1), -1)+if(istext(AS96),if(REGEXMATCH(AS96, ""x2""),1))+if(istext(AS96),if(REGEXMATCH(AS96, ""x3""),2))+if(istext(AS96),if(REGEXMATCH(AS96, ""x4""),3))+if(istext(AS96),if(REGEXMATCH(AS96, ""x5""),4)"&amp;")"),0.0)</f>
        <v>0</v>
      </c>
      <c r="AS96" s="148"/>
      <c r="AT96" s="28"/>
      <c r="AU96" s="28"/>
      <c r="AV96" s="28"/>
      <c r="AW96" s="29"/>
      <c r="AX96" s="216"/>
      <c r="AY96" s="550"/>
      <c r="AZ96" s="552"/>
      <c r="BA96" s="552"/>
      <c r="BB96" s="552"/>
      <c r="BC96" s="552"/>
      <c r="BD96" s="552"/>
      <c r="BE96" s="552"/>
      <c r="BF96" s="552"/>
      <c r="BG96" s="552"/>
      <c r="BH96" s="552"/>
      <c r="BI96" s="552"/>
      <c r="BJ96" s="552"/>
      <c r="BK96" s="552"/>
      <c r="BL96" s="552"/>
      <c r="BM96" s="552"/>
      <c r="BN96" s="552"/>
      <c r="BO96" s="557"/>
    </row>
    <row r="97" hidden="1">
      <c r="A97" s="52"/>
      <c r="B97" s="272"/>
      <c r="C97" s="52"/>
      <c r="D97" s="52"/>
      <c r="E97" s="52"/>
      <c r="F97" s="216"/>
      <c r="G97" s="469"/>
      <c r="H97" s="592"/>
      <c r="I97" s="544">
        <f>IFERROR(__xludf.DUMMYFUNCTION("1+if(istext(J97),if(REGEXMATCH(J97, ""Free Talent""), -1), -1)+if(istext(J97),if(REGEXMATCH(J97, ""x2""),1))+if(istext(J97),if(REGEXMATCH(J97, ""x3""),2))+if(istext(J97),if(REGEXMATCH(J97, ""x4""),3))+if(istext(J97),if(REGEXMATCH(J97, ""x5""),4))"),0.0)</f>
        <v>0</v>
      </c>
      <c r="J97" s="148"/>
      <c r="K97" s="28"/>
      <c r="L97" s="28"/>
      <c r="M97" s="28"/>
      <c r="N97" s="29"/>
      <c r="O97" s="52"/>
      <c r="P97" s="544">
        <f>IFERROR(__xludf.DUMMYFUNCTION("1+if(istext(Q97),if(REGEXMATCH(Q97, ""Free Talent""), -1), -1)+if(istext(Q97),if(REGEXMATCH(Q97, ""x2""),1))+if(istext(Q97),if(REGEXMATCH(Q97, ""x3""),2))+if(istext(Q97),if(REGEXMATCH(Q97, ""x4""),3))+if(istext(Q97),if(REGEXMATCH(Q97, ""x5""),4))"),0.0)</f>
        <v>0</v>
      </c>
      <c r="Q97" s="148"/>
      <c r="R97" s="28"/>
      <c r="S97" s="28"/>
      <c r="T97" s="28"/>
      <c r="U97" s="29"/>
      <c r="V97" s="52"/>
      <c r="W97" s="544">
        <f>IFERROR(__xludf.DUMMYFUNCTION("1+if(istext(X97),if(REGEXMATCH(X97, ""Free Talent""), -1), -1)+if(istext(X97),if(REGEXMATCH(X97, ""x2""),1))+if(istext(X97),if(REGEXMATCH(X97, ""x3""),2))+if(istext(X97),if(REGEXMATCH(X97, ""x4""),3))+if(istext(X97),if(REGEXMATCH(X97, ""x5""),4))"),0.0)</f>
        <v>0</v>
      </c>
      <c r="X97" s="148"/>
      <c r="Y97" s="28"/>
      <c r="Z97" s="28"/>
      <c r="AA97" s="28"/>
      <c r="AB97" s="29"/>
      <c r="AC97" s="52"/>
      <c r="AD97" s="544">
        <f>IFERROR(__xludf.DUMMYFUNCTION("1+if(istext(AE97),if(REGEXMATCH(AE97, ""Free Talent""), -1), -1)+if(istext(AE97),if(REGEXMATCH(AE97, ""x2""),1))+if(istext(AE97),if(REGEXMATCH(AE97, ""x3""),2))+if(istext(AE97),if(REGEXMATCH(AE97, ""x4""),3))+if(istext(AE97),if(REGEXMATCH(AE97, ""x5""),4)"&amp;")"),0.0)</f>
        <v>0</v>
      </c>
      <c r="AE97" s="148"/>
      <c r="AF97" s="28"/>
      <c r="AG97" s="28"/>
      <c r="AH97" s="28"/>
      <c r="AI97" s="29"/>
      <c r="AJ97" s="52"/>
      <c r="AK97" s="544">
        <f>IFERROR(__xludf.DUMMYFUNCTION("1+if(istext(AL97),if(REGEXMATCH(AL97, ""Free Talent""), -1), -1)+if(istext(AL97),if(REGEXMATCH(AL97, ""x2""),1))+if(istext(AL97),if(REGEXMATCH(AL97, ""x3""),2))+if(istext(AL97),if(REGEXMATCH(AL97, ""x4""),3))+if(istext(AL97),if(REGEXMATCH(AL97, ""x5""),4)"&amp;")"),0.0)</f>
        <v>0</v>
      </c>
      <c r="AL97" s="148"/>
      <c r="AM97" s="28"/>
      <c r="AN97" s="28"/>
      <c r="AO97" s="28"/>
      <c r="AP97" s="29"/>
      <c r="AQ97" s="52"/>
      <c r="AR97" s="544">
        <f>IFERROR(__xludf.DUMMYFUNCTION("1+if(istext(AS97),if(REGEXMATCH(AS97, ""Free Talent""), -1), -1)+if(istext(AS97),if(REGEXMATCH(AS97, ""x2""),1))+if(istext(AS97),if(REGEXMATCH(AS97, ""x3""),2))+if(istext(AS97),if(REGEXMATCH(AS97, ""x4""),3))+if(istext(AS97),if(REGEXMATCH(AS97, ""x5""),4)"&amp;")"),0.0)</f>
        <v>0</v>
      </c>
      <c r="AS97" s="148"/>
      <c r="AT97" s="28"/>
      <c r="AU97" s="28"/>
      <c r="AV97" s="28"/>
      <c r="AW97" s="29"/>
      <c r="AX97" s="216"/>
      <c r="AY97" s="550"/>
      <c r="AZ97" s="552"/>
      <c r="BA97" s="552"/>
      <c r="BB97" s="552"/>
      <c r="BC97" s="552"/>
      <c r="BD97" s="552"/>
      <c r="BE97" s="552"/>
      <c r="BF97" s="552"/>
      <c r="BG97" s="552"/>
      <c r="BH97" s="552"/>
      <c r="BI97" s="552"/>
      <c r="BJ97" s="552"/>
      <c r="BK97" s="552"/>
      <c r="BL97" s="552"/>
      <c r="BM97" s="552"/>
      <c r="BN97" s="552"/>
      <c r="BO97" s="557"/>
    </row>
    <row r="98" hidden="1">
      <c r="A98" s="52"/>
      <c r="B98" s="272"/>
      <c r="C98" s="52"/>
      <c r="D98" s="52"/>
      <c r="E98" s="52"/>
      <c r="F98" s="216"/>
      <c r="G98" s="469"/>
      <c r="H98" s="592"/>
      <c r="I98" s="544">
        <f>IFERROR(__xludf.DUMMYFUNCTION("1+if(istext(J98),if(REGEXMATCH(J98, ""Free Talent""), -1), -1)+if(istext(J98),if(REGEXMATCH(J98, ""x2""),1))+if(istext(J98),if(REGEXMATCH(J98, ""x3""),2))+if(istext(J98),if(REGEXMATCH(J98, ""x4""),3))+if(istext(J98),if(REGEXMATCH(J98, ""x5""),4))"),0.0)</f>
        <v>0</v>
      </c>
      <c r="J98" s="148"/>
      <c r="K98" s="28"/>
      <c r="L98" s="28"/>
      <c r="M98" s="28"/>
      <c r="N98" s="29"/>
      <c r="O98" s="52"/>
      <c r="P98" s="544">
        <f>IFERROR(__xludf.DUMMYFUNCTION("1+if(istext(Q98),if(REGEXMATCH(Q98, ""Free Talent""), -1), -1)+if(istext(Q98),if(REGEXMATCH(Q98, ""x2""),1))+if(istext(Q98),if(REGEXMATCH(Q98, ""x3""),2))+if(istext(Q98),if(REGEXMATCH(Q98, ""x4""),3))+if(istext(Q98),if(REGEXMATCH(Q98, ""x5""),4))"),0.0)</f>
        <v>0</v>
      </c>
      <c r="Q98" s="148"/>
      <c r="R98" s="28"/>
      <c r="S98" s="28"/>
      <c r="T98" s="28"/>
      <c r="U98" s="29"/>
      <c r="V98" s="52"/>
      <c r="W98" s="544">
        <f>IFERROR(__xludf.DUMMYFUNCTION("1+if(istext(X98),if(REGEXMATCH(X98, ""Free Talent""), -1), -1)+if(istext(X98),if(REGEXMATCH(X98, ""x2""),1))+if(istext(X98),if(REGEXMATCH(X98, ""x3""),2))+if(istext(X98),if(REGEXMATCH(X98, ""x4""),3))+if(istext(X98),if(REGEXMATCH(X98, ""x5""),4))"),0.0)</f>
        <v>0</v>
      </c>
      <c r="X98" s="148"/>
      <c r="Y98" s="28"/>
      <c r="Z98" s="28"/>
      <c r="AA98" s="28"/>
      <c r="AB98" s="29"/>
      <c r="AC98" s="52"/>
      <c r="AD98" s="544">
        <f>IFERROR(__xludf.DUMMYFUNCTION("1+if(istext(AE98),if(REGEXMATCH(AE98, ""Free Talent""), -1), -1)+if(istext(AE98),if(REGEXMATCH(AE98, ""x2""),1))+if(istext(AE98),if(REGEXMATCH(AE98, ""x3""),2))+if(istext(AE98),if(REGEXMATCH(AE98, ""x4""),3))+if(istext(AE98),if(REGEXMATCH(AE98, ""x5""),4)"&amp;")"),0.0)</f>
        <v>0</v>
      </c>
      <c r="AE98" s="148"/>
      <c r="AF98" s="28"/>
      <c r="AG98" s="28"/>
      <c r="AH98" s="28"/>
      <c r="AI98" s="29"/>
      <c r="AJ98" s="52"/>
      <c r="AK98" s="544">
        <f>IFERROR(__xludf.DUMMYFUNCTION("1+if(istext(AL98),if(REGEXMATCH(AL98, ""Free Talent""), -1), -1)+if(istext(AL98),if(REGEXMATCH(AL98, ""x2""),1))+if(istext(AL98),if(REGEXMATCH(AL98, ""x3""),2))+if(istext(AL98),if(REGEXMATCH(AL98, ""x4""),3))+if(istext(AL98),if(REGEXMATCH(AL98, ""x5""),4)"&amp;")"),0.0)</f>
        <v>0</v>
      </c>
      <c r="AL98" s="148"/>
      <c r="AM98" s="28"/>
      <c r="AN98" s="28"/>
      <c r="AO98" s="28"/>
      <c r="AP98" s="29"/>
      <c r="AQ98" s="52"/>
      <c r="AR98" s="544">
        <f>IFERROR(__xludf.DUMMYFUNCTION("1+if(istext(AS98),if(REGEXMATCH(AS98, ""Free Talent""), -1), -1)+if(istext(AS98),if(REGEXMATCH(AS98, ""x2""),1))+if(istext(AS98),if(REGEXMATCH(AS98, ""x3""),2))+if(istext(AS98),if(REGEXMATCH(AS98, ""x4""),3))+if(istext(AS98),if(REGEXMATCH(AS98, ""x5""),4)"&amp;")"),0.0)</f>
        <v>0</v>
      </c>
      <c r="AS98" s="148"/>
      <c r="AT98" s="28"/>
      <c r="AU98" s="28"/>
      <c r="AV98" s="28"/>
      <c r="AW98" s="29"/>
      <c r="AX98" s="216"/>
      <c r="AY98" s="550"/>
      <c r="AZ98" s="552"/>
      <c r="BA98" s="552"/>
      <c r="BB98" s="552"/>
      <c r="BC98" s="552"/>
      <c r="BD98" s="552"/>
      <c r="BE98" s="552"/>
      <c r="BF98" s="552"/>
      <c r="BG98" s="552"/>
      <c r="BH98" s="552"/>
      <c r="BI98" s="552"/>
      <c r="BJ98" s="552"/>
      <c r="BK98" s="552"/>
      <c r="BL98" s="552"/>
      <c r="BM98" s="552"/>
      <c r="BN98" s="552"/>
      <c r="BO98" s="557"/>
    </row>
    <row r="99" hidden="1">
      <c r="A99" s="52"/>
      <c r="B99" s="272"/>
      <c r="C99" s="52"/>
      <c r="D99" s="52"/>
      <c r="E99" s="52"/>
      <c r="F99" s="216"/>
      <c r="G99" s="469"/>
      <c r="H99" s="592"/>
      <c r="I99" s="544">
        <f>IFERROR(__xludf.DUMMYFUNCTION("1+if(istext(J99),if(REGEXMATCH(J99, ""Free Talent""), -1), -1)+if(istext(J99),if(REGEXMATCH(J99, ""x2""),1))+if(istext(J99),if(REGEXMATCH(J99, ""x3""),2))+if(istext(J99),if(REGEXMATCH(J99, ""x4""),3))+if(istext(J99),if(REGEXMATCH(J99, ""x5""),4))"),0.0)</f>
        <v>0</v>
      </c>
      <c r="J99" s="148"/>
      <c r="K99" s="28"/>
      <c r="L99" s="28"/>
      <c r="M99" s="28"/>
      <c r="N99" s="29"/>
      <c r="O99" s="52"/>
      <c r="P99" s="544">
        <f>IFERROR(__xludf.DUMMYFUNCTION("1+if(istext(Q99),if(REGEXMATCH(Q99, ""Free Talent""), -1), -1)+if(istext(Q99),if(REGEXMATCH(Q99, ""x2""),1))+if(istext(Q99),if(REGEXMATCH(Q99, ""x3""),2))+if(istext(Q99),if(REGEXMATCH(Q99, ""x4""),3))+if(istext(Q99),if(REGEXMATCH(Q99, ""x5""),4))"),0.0)</f>
        <v>0</v>
      </c>
      <c r="Q99" s="148"/>
      <c r="R99" s="28"/>
      <c r="S99" s="28"/>
      <c r="T99" s="28"/>
      <c r="U99" s="29"/>
      <c r="V99" s="52"/>
      <c r="W99" s="544">
        <f>IFERROR(__xludf.DUMMYFUNCTION("1+if(istext(X99),if(REGEXMATCH(X99, ""Free Talent""), -1), -1)+if(istext(X99),if(REGEXMATCH(X99, ""x2""),1))+if(istext(X99),if(REGEXMATCH(X99, ""x3""),2))+if(istext(X99),if(REGEXMATCH(X99, ""x4""),3))+if(istext(X99),if(REGEXMATCH(X99, ""x5""),4))"),0.0)</f>
        <v>0</v>
      </c>
      <c r="X99" s="148"/>
      <c r="Y99" s="28"/>
      <c r="Z99" s="28"/>
      <c r="AA99" s="28"/>
      <c r="AB99" s="29"/>
      <c r="AC99" s="52"/>
      <c r="AD99" s="544">
        <f>IFERROR(__xludf.DUMMYFUNCTION("1+if(istext(AE99),if(REGEXMATCH(AE99, ""Free Talent""), -1), -1)+if(istext(AE99),if(REGEXMATCH(AE99, ""x2""),1))+if(istext(AE99),if(REGEXMATCH(AE99, ""x3""),2))+if(istext(AE99),if(REGEXMATCH(AE99, ""x4""),3))+if(istext(AE99),if(REGEXMATCH(AE99, ""x5""),4)"&amp;")"),0.0)</f>
        <v>0</v>
      </c>
      <c r="AE99" s="148"/>
      <c r="AF99" s="28"/>
      <c r="AG99" s="28"/>
      <c r="AH99" s="28"/>
      <c r="AI99" s="29"/>
      <c r="AJ99" s="52"/>
      <c r="AK99" s="544">
        <f>IFERROR(__xludf.DUMMYFUNCTION("1+if(istext(AL99),if(REGEXMATCH(AL99, ""Free Talent""), -1), -1)+if(istext(AL99),if(REGEXMATCH(AL99, ""x2""),1))+if(istext(AL99),if(REGEXMATCH(AL99, ""x3""),2))+if(istext(AL99),if(REGEXMATCH(AL99, ""x4""),3))+if(istext(AL99),if(REGEXMATCH(AL99, ""x5""),4)"&amp;")"),0.0)</f>
        <v>0</v>
      </c>
      <c r="AL99" s="148"/>
      <c r="AM99" s="28"/>
      <c r="AN99" s="28"/>
      <c r="AO99" s="28"/>
      <c r="AP99" s="29"/>
      <c r="AQ99" s="52"/>
      <c r="AR99" s="544">
        <f>IFERROR(__xludf.DUMMYFUNCTION("1+if(istext(AS99),if(REGEXMATCH(AS99, ""Free Talent""), -1), -1)+if(istext(AS99),if(REGEXMATCH(AS99, ""x2""),1))+if(istext(AS99),if(REGEXMATCH(AS99, ""x3""),2))+if(istext(AS99),if(REGEXMATCH(AS99, ""x4""),3))+if(istext(AS99),if(REGEXMATCH(AS99, ""x5""),4)"&amp;")"),0.0)</f>
        <v>0</v>
      </c>
      <c r="AS99" s="148"/>
      <c r="AT99" s="28"/>
      <c r="AU99" s="28"/>
      <c r="AV99" s="28"/>
      <c r="AW99" s="29"/>
      <c r="AX99" s="216"/>
      <c r="AY99" s="550"/>
      <c r="AZ99" s="552"/>
      <c r="BA99" s="552"/>
      <c r="BB99" s="552"/>
      <c r="BC99" s="552"/>
      <c r="BD99" s="552"/>
      <c r="BE99" s="552"/>
      <c r="BF99" s="552"/>
      <c r="BG99" s="552"/>
      <c r="BH99" s="552"/>
      <c r="BI99" s="552"/>
      <c r="BJ99" s="552"/>
      <c r="BK99" s="552"/>
      <c r="BL99" s="552"/>
      <c r="BM99" s="552"/>
      <c r="BN99" s="552"/>
      <c r="BO99" s="557"/>
    </row>
    <row r="100" hidden="1">
      <c r="A100" s="52"/>
      <c r="B100" s="272"/>
      <c r="C100" s="52"/>
      <c r="D100" s="52"/>
      <c r="E100" s="52"/>
      <c r="F100" s="216"/>
      <c r="G100" s="469"/>
      <c r="H100" s="592"/>
      <c r="I100" s="544">
        <f>IFERROR(__xludf.DUMMYFUNCTION("1+if(istext(J100),if(REGEXMATCH(J100, ""Free Talent""), -1), -1)+if(istext(J100),if(REGEXMATCH(J100, ""x2""),1))+if(istext(J100),if(REGEXMATCH(J100, ""x3""),2))+if(istext(J100),if(REGEXMATCH(J100, ""x4""),3))+if(istext(J100),if(REGEXMATCH(J100, ""x5""),4)"&amp;")"),0.0)</f>
        <v>0</v>
      </c>
      <c r="J100" s="148"/>
      <c r="K100" s="28"/>
      <c r="L100" s="28"/>
      <c r="M100" s="28"/>
      <c r="N100" s="29"/>
      <c r="O100" s="52"/>
      <c r="P100" s="544">
        <f>IFERROR(__xludf.DUMMYFUNCTION("1+if(istext(Q100),if(REGEXMATCH(Q100, ""Free Talent""), -1), -1)+if(istext(Q100),if(REGEXMATCH(Q100, ""x2""),1))+if(istext(Q100),if(REGEXMATCH(Q100, ""x3""),2))+if(istext(Q100),if(REGEXMATCH(Q100, ""x4""),3))+if(istext(Q100),if(REGEXMATCH(Q100, ""x5""),4)"&amp;")"),0.0)</f>
        <v>0</v>
      </c>
      <c r="Q100" s="148"/>
      <c r="R100" s="28"/>
      <c r="S100" s="28"/>
      <c r="T100" s="28"/>
      <c r="U100" s="29"/>
      <c r="V100" s="52"/>
      <c r="W100" s="544">
        <f>IFERROR(__xludf.DUMMYFUNCTION("1+if(istext(X100),if(REGEXMATCH(X100, ""Free Talent""), -1), -1)+if(istext(X100),if(REGEXMATCH(X100, ""x2""),1))+if(istext(X100),if(REGEXMATCH(X100, ""x3""),2))+if(istext(X100),if(REGEXMATCH(X100, ""x4""),3))+if(istext(X100),if(REGEXMATCH(X100, ""x5""),4)"&amp;")"),0.0)</f>
        <v>0</v>
      </c>
      <c r="X100" s="148"/>
      <c r="Y100" s="28"/>
      <c r="Z100" s="28"/>
      <c r="AA100" s="28"/>
      <c r="AB100" s="29"/>
      <c r="AC100" s="52"/>
      <c r="AD100" s="544">
        <f>IFERROR(__xludf.DUMMYFUNCTION("1+if(istext(AE100),if(REGEXMATCH(AE100, ""Free Talent""), -1), -1)+if(istext(AE100),if(REGEXMATCH(AE100, ""x2""),1))+if(istext(AE100),if(REGEXMATCH(AE100, ""x3""),2))+if(istext(AE100),if(REGEXMATCH(AE100, ""x4""),3))+if(istext(AE100),if(REGEXMATCH(AE100, "&amp;"""x5""),4))"),0.0)</f>
        <v>0</v>
      </c>
      <c r="AE100" s="148"/>
      <c r="AF100" s="28"/>
      <c r="AG100" s="28"/>
      <c r="AH100" s="28"/>
      <c r="AI100" s="29"/>
      <c r="AJ100" s="52"/>
      <c r="AK100" s="544">
        <f>IFERROR(__xludf.DUMMYFUNCTION("1+if(istext(AL100),if(REGEXMATCH(AL100, ""Free Talent""), -1), -1)+if(istext(AL100),if(REGEXMATCH(AL100, ""x2""),1))+if(istext(AL100),if(REGEXMATCH(AL100, ""x3""),2))+if(istext(AL100),if(REGEXMATCH(AL100, ""x4""),3))+if(istext(AL100),if(REGEXMATCH(AL100, "&amp;"""x5""),4))"),0.0)</f>
        <v>0</v>
      </c>
      <c r="AL100" s="148"/>
      <c r="AM100" s="28"/>
      <c r="AN100" s="28"/>
      <c r="AO100" s="28"/>
      <c r="AP100" s="29"/>
      <c r="AQ100" s="52"/>
      <c r="AR100" s="544">
        <f>IFERROR(__xludf.DUMMYFUNCTION("1+if(istext(AS100),if(REGEXMATCH(AS100, ""Free Talent""), -1), -1)+if(istext(AS100),if(REGEXMATCH(AS100, ""x2""),1))+if(istext(AS100),if(REGEXMATCH(AS100, ""x3""),2))+if(istext(AS100),if(REGEXMATCH(AS100, ""x4""),3))+if(istext(AS100),if(REGEXMATCH(AS100, "&amp;"""x5""),4))"),0.0)</f>
        <v>0</v>
      </c>
      <c r="AS100" s="148"/>
      <c r="AT100" s="28"/>
      <c r="AU100" s="28"/>
      <c r="AV100" s="28"/>
      <c r="AW100" s="29"/>
      <c r="AX100" s="216"/>
      <c r="AY100" s="550"/>
      <c r="AZ100" s="552"/>
      <c r="BA100" s="552"/>
      <c r="BB100" s="552"/>
      <c r="BC100" s="552"/>
      <c r="BD100" s="552"/>
      <c r="BE100" s="552"/>
      <c r="BF100" s="552"/>
      <c r="BG100" s="552"/>
      <c r="BH100" s="552"/>
      <c r="BI100" s="552"/>
      <c r="BJ100" s="552"/>
      <c r="BK100" s="552"/>
      <c r="BL100" s="552"/>
      <c r="BM100" s="552"/>
      <c r="BN100" s="552"/>
      <c r="BO100" s="557"/>
    </row>
    <row r="101" hidden="1">
      <c r="A101" s="52"/>
      <c r="B101" s="272"/>
      <c r="C101" s="52"/>
      <c r="D101" s="52"/>
      <c r="E101" s="52"/>
      <c r="F101" s="216"/>
      <c r="G101" s="469"/>
      <c r="H101" s="592"/>
      <c r="I101" s="544">
        <f>IFERROR(__xludf.DUMMYFUNCTION("1+if(istext(J101),if(REGEXMATCH(J101, ""Free Talent""), -1), -1)+if(istext(J101),if(REGEXMATCH(J101, ""x2""),1))+if(istext(J101),if(REGEXMATCH(J101, ""x3""),2))+if(istext(J101),if(REGEXMATCH(J101, ""x4""),3))+if(istext(J101),if(REGEXMATCH(J101, ""x5""),4)"&amp;")"),0.0)</f>
        <v>0</v>
      </c>
      <c r="J101" s="148"/>
      <c r="K101" s="28"/>
      <c r="L101" s="28"/>
      <c r="M101" s="28"/>
      <c r="N101" s="29"/>
      <c r="O101" s="52"/>
      <c r="P101" s="544">
        <f>IFERROR(__xludf.DUMMYFUNCTION("1+if(istext(Q101),if(REGEXMATCH(Q101, ""Free Talent""), -1), -1)+if(istext(Q101),if(REGEXMATCH(Q101, ""x2""),1))+if(istext(Q101),if(REGEXMATCH(Q101, ""x3""),2))+if(istext(Q101),if(REGEXMATCH(Q101, ""x4""),3))+if(istext(Q101),if(REGEXMATCH(Q101, ""x5""),4)"&amp;")"),0.0)</f>
        <v>0</v>
      </c>
      <c r="Q101" s="148"/>
      <c r="R101" s="28"/>
      <c r="S101" s="28"/>
      <c r="T101" s="28"/>
      <c r="U101" s="29"/>
      <c r="V101" s="52"/>
      <c r="W101" s="544">
        <f>IFERROR(__xludf.DUMMYFUNCTION("1+if(istext(X101),if(REGEXMATCH(X101, ""Free Talent""), -1), -1)+if(istext(X101),if(REGEXMATCH(X101, ""x2""),1))+if(istext(X101),if(REGEXMATCH(X101, ""x3""),2))+if(istext(X101),if(REGEXMATCH(X101, ""x4""),3))+if(istext(X101),if(REGEXMATCH(X101, ""x5""),4)"&amp;")"),0.0)</f>
        <v>0</v>
      </c>
      <c r="X101" s="148"/>
      <c r="Y101" s="28"/>
      <c r="Z101" s="28"/>
      <c r="AA101" s="28"/>
      <c r="AB101" s="29"/>
      <c r="AC101" s="52"/>
      <c r="AD101" s="544">
        <f>IFERROR(__xludf.DUMMYFUNCTION("1+if(istext(AE101),if(REGEXMATCH(AE101, ""Free Talent""), -1), -1)+if(istext(AE101),if(REGEXMATCH(AE101, ""x2""),1))+if(istext(AE101),if(REGEXMATCH(AE101, ""x3""),2))+if(istext(AE101),if(REGEXMATCH(AE101, ""x4""),3))+if(istext(AE101),if(REGEXMATCH(AE101, "&amp;"""x5""),4))"),0.0)</f>
        <v>0</v>
      </c>
      <c r="AE101" s="148"/>
      <c r="AF101" s="28"/>
      <c r="AG101" s="28"/>
      <c r="AH101" s="28"/>
      <c r="AI101" s="29"/>
      <c r="AJ101" s="52"/>
      <c r="AK101" s="544">
        <f>IFERROR(__xludf.DUMMYFUNCTION("1+if(istext(AL101),if(REGEXMATCH(AL101, ""Free Talent""), -1), -1)+if(istext(AL101),if(REGEXMATCH(AL101, ""x2""),1))+if(istext(AL101),if(REGEXMATCH(AL101, ""x3""),2))+if(istext(AL101),if(REGEXMATCH(AL101, ""x4""),3))+if(istext(AL101),if(REGEXMATCH(AL101, "&amp;"""x5""),4))"),0.0)</f>
        <v>0</v>
      </c>
      <c r="AL101" s="148"/>
      <c r="AM101" s="28"/>
      <c r="AN101" s="28"/>
      <c r="AO101" s="28"/>
      <c r="AP101" s="29"/>
      <c r="AQ101" s="52"/>
      <c r="AR101" s="544">
        <f>IFERROR(__xludf.DUMMYFUNCTION("1+if(istext(AS101),if(REGEXMATCH(AS101, ""Free Talent""), -1), -1)+if(istext(AS101),if(REGEXMATCH(AS101, ""x2""),1))+if(istext(AS101),if(REGEXMATCH(AS101, ""x3""),2))+if(istext(AS101),if(REGEXMATCH(AS101, ""x4""),3))+if(istext(AS101),if(REGEXMATCH(AS101, "&amp;"""x5""),4))"),0.0)</f>
        <v>0</v>
      </c>
      <c r="AS101" s="148"/>
      <c r="AT101" s="28"/>
      <c r="AU101" s="28"/>
      <c r="AV101" s="28"/>
      <c r="AW101" s="29"/>
      <c r="AX101" s="216"/>
      <c r="AY101" s="550"/>
      <c r="AZ101" s="552"/>
      <c r="BA101" s="552"/>
      <c r="BB101" s="552"/>
      <c r="BC101" s="552"/>
      <c r="BD101" s="552"/>
      <c r="BE101" s="552"/>
      <c r="BF101" s="552"/>
      <c r="BG101" s="552"/>
      <c r="BH101" s="552"/>
      <c r="BI101" s="552"/>
      <c r="BJ101" s="552"/>
      <c r="BK101" s="552"/>
      <c r="BL101" s="552"/>
      <c r="BM101" s="552"/>
      <c r="BN101" s="552"/>
      <c r="BO101" s="557"/>
    </row>
    <row r="102" hidden="1">
      <c r="A102" s="52"/>
      <c r="B102" s="272"/>
      <c r="C102" s="52"/>
      <c r="D102" s="52"/>
      <c r="E102" s="52"/>
      <c r="F102" s="216"/>
      <c r="G102" s="469"/>
      <c r="H102" s="592"/>
      <c r="I102" s="544">
        <f>IFERROR(__xludf.DUMMYFUNCTION("1+if(istext(J102),if(REGEXMATCH(J102, ""Free Talent""), -1), -1)+if(istext(J102),if(REGEXMATCH(J102, ""x2""),1))+if(istext(J102),if(REGEXMATCH(J102, ""x3""),2))+if(istext(J102),if(REGEXMATCH(J102, ""x4""),3))+if(istext(J102),if(REGEXMATCH(J102, ""x5""),4)"&amp;")"),0.0)</f>
        <v>0</v>
      </c>
      <c r="J102" s="148"/>
      <c r="K102" s="28"/>
      <c r="L102" s="28"/>
      <c r="M102" s="28"/>
      <c r="N102" s="29"/>
      <c r="O102" s="52"/>
      <c r="P102" s="544">
        <f>IFERROR(__xludf.DUMMYFUNCTION("1+if(istext(Q102),if(REGEXMATCH(Q102, ""Free Talent""), -1), -1)+if(istext(Q102),if(REGEXMATCH(Q102, ""x2""),1))+if(istext(Q102),if(REGEXMATCH(Q102, ""x3""),2))+if(istext(Q102),if(REGEXMATCH(Q102, ""x4""),3))+if(istext(Q102),if(REGEXMATCH(Q102, ""x5""),4)"&amp;")"),0.0)</f>
        <v>0</v>
      </c>
      <c r="Q102" s="148"/>
      <c r="R102" s="28"/>
      <c r="S102" s="28"/>
      <c r="T102" s="28"/>
      <c r="U102" s="29"/>
      <c r="V102" s="52"/>
      <c r="W102" s="544">
        <f>IFERROR(__xludf.DUMMYFUNCTION("1+if(istext(X102),if(REGEXMATCH(X102, ""Free Talent""), -1), -1)+if(istext(X102),if(REGEXMATCH(X102, ""x2""),1))+if(istext(X102),if(REGEXMATCH(X102, ""x3""),2))+if(istext(X102),if(REGEXMATCH(X102, ""x4""),3))+if(istext(X102),if(REGEXMATCH(X102, ""x5""),4)"&amp;")"),0.0)</f>
        <v>0</v>
      </c>
      <c r="X102" s="148"/>
      <c r="Y102" s="28"/>
      <c r="Z102" s="28"/>
      <c r="AA102" s="28"/>
      <c r="AB102" s="29"/>
      <c r="AC102" s="52"/>
      <c r="AD102" s="544">
        <f>IFERROR(__xludf.DUMMYFUNCTION("1+if(istext(AE102),if(REGEXMATCH(AE102, ""Free Talent""), -1), -1)+if(istext(AE102),if(REGEXMATCH(AE102, ""x2""),1))+if(istext(AE102),if(REGEXMATCH(AE102, ""x3""),2))+if(istext(AE102),if(REGEXMATCH(AE102, ""x4""),3))+if(istext(AE102),if(REGEXMATCH(AE102, "&amp;"""x5""),4))"),0.0)</f>
        <v>0</v>
      </c>
      <c r="AE102" s="148"/>
      <c r="AF102" s="28"/>
      <c r="AG102" s="28"/>
      <c r="AH102" s="28"/>
      <c r="AI102" s="29"/>
      <c r="AJ102" s="52"/>
      <c r="AK102" s="544">
        <f>IFERROR(__xludf.DUMMYFUNCTION("1+if(istext(AL102),if(REGEXMATCH(AL102, ""Free Talent""), -1), -1)+if(istext(AL102),if(REGEXMATCH(AL102, ""x2""),1))+if(istext(AL102),if(REGEXMATCH(AL102, ""x3""),2))+if(istext(AL102),if(REGEXMATCH(AL102, ""x4""),3))+if(istext(AL102),if(REGEXMATCH(AL102, "&amp;"""x5""),4))"),0.0)</f>
        <v>0</v>
      </c>
      <c r="AL102" s="148"/>
      <c r="AM102" s="28"/>
      <c r="AN102" s="28"/>
      <c r="AO102" s="28"/>
      <c r="AP102" s="29"/>
      <c r="AQ102" s="52"/>
      <c r="AR102" s="544">
        <f>IFERROR(__xludf.DUMMYFUNCTION("1+if(istext(AS102),if(REGEXMATCH(AS102, ""Free Talent""), -1), -1)+if(istext(AS102),if(REGEXMATCH(AS102, ""x2""),1))+if(istext(AS102),if(REGEXMATCH(AS102, ""x3""),2))+if(istext(AS102),if(REGEXMATCH(AS102, ""x4""),3))+if(istext(AS102),if(REGEXMATCH(AS102, "&amp;"""x5""),4))"),0.0)</f>
        <v>0</v>
      </c>
      <c r="AS102" s="148"/>
      <c r="AT102" s="28"/>
      <c r="AU102" s="28"/>
      <c r="AV102" s="28"/>
      <c r="AW102" s="29"/>
      <c r="AX102" s="216"/>
      <c r="AY102" s="620"/>
      <c r="AZ102" s="114"/>
      <c r="BA102" s="114"/>
      <c r="BB102" s="114"/>
      <c r="BC102" s="114"/>
      <c r="BD102" s="114"/>
      <c r="BE102" s="114"/>
      <c r="BF102" s="114"/>
      <c r="BG102" s="114"/>
      <c r="BH102" s="114"/>
      <c r="BI102" s="114"/>
      <c r="BJ102" s="114"/>
      <c r="BK102" s="114"/>
      <c r="BL102" s="114"/>
      <c r="BM102" s="114"/>
      <c r="BN102" s="114"/>
      <c r="BO102" s="68"/>
    </row>
    <row r="103" hidden="1">
      <c r="A103" s="52"/>
      <c r="B103" s="52"/>
      <c r="C103" s="52"/>
      <c r="D103" s="52"/>
      <c r="E103" s="52"/>
      <c r="F103" s="52"/>
      <c r="G103" s="52"/>
      <c r="H103" s="52"/>
      <c r="I103" s="694">
        <f>if(I94=AR84,0,if(I94=P94,sum(sum(I95:I102),sum(P95:P102))+if(istext(I94),if(I84="Equipment",0,1),0), sum(I95:I102)+if(istext(I94),if(I84="Equipment",0,1),0)))</f>
        <v>0</v>
      </c>
      <c r="J103" s="694"/>
      <c r="K103" s="694"/>
      <c r="L103" s="694"/>
      <c r="M103" s="694"/>
      <c r="N103" s="694"/>
      <c r="O103" s="694"/>
      <c r="P103" s="694">
        <f>if(I94=P94,0,if(P94=W94,sum(sum(P95:P102),sum(W95:W102))+if(istext(P94),if(P94="Equipment",0,1),0), sum(P95:P102)+if(istext(P94),if(P94="Equipment",0,1),0)))</f>
        <v>0</v>
      </c>
      <c r="Q103" s="694"/>
      <c r="R103" s="694"/>
      <c r="S103" s="694"/>
      <c r="T103" s="694"/>
      <c r="U103" s="694"/>
      <c r="V103" s="694"/>
      <c r="W103" s="694">
        <f>if(P94=W94,0,if(W94=AD94,sum(sum(W95:W102),sum(AD95:AD102))+if(istext(W94),if(W94="Equipment",0,1),0), sum(W95:W102)+if(istext(W94),if(W94="Equipment",0,1),0)))</f>
        <v>0</v>
      </c>
      <c r="X103" s="694"/>
      <c r="Y103" s="694"/>
      <c r="Z103" s="694"/>
      <c r="AA103" s="694"/>
      <c r="AB103" s="694"/>
      <c r="AC103" s="694"/>
      <c r="AD103" s="694">
        <f>if(W94=AD94,0,if(AD94=AK94,sum(sum(AD95:AD102),sum(AK95:AK102))+if(istext(AD94),if(AD94="Equipment",0,1),0), sum(AD95:AD102)+if(istext(AD94),if(AD94="Equipment",0,1),0)))</f>
        <v>0</v>
      </c>
      <c r="AE103" s="694"/>
      <c r="AF103" s="694"/>
      <c r="AG103" s="694"/>
      <c r="AH103" s="694"/>
      <c r="AI103" s="694"/>
      <c r="AJ103" s="694"/>
      <c r="AK103" s="694">
        <f>if(AD94=AK94,0,if(AK94=AR94,sum(sum(AK95:AK102),sum(AR95:AR102))+if(istext(AK94),if(AK94="Equipment",0,1),0), sum(AK95:AK102)+if(istext(AK94),if(AK94="Equipment",0,1),0)))</f>
        <v>0</v>
      </c>
      <c r="AL103" s="694"/>
      <c r="AM103" s="694"/>
      <c r="AN103" s="694"/>
      <c r="AO103" s="694"/>
      <c r="AP103" s="694"/>
      <c r="AQ103" s="694"/>
      <c r="AR103" s="694">
        <f>if(AK94=AR94,0,sum(AR95:AR102)+if(istext(AR94),if(AR94="Equipment",0,1),0))</f>
        <v>0</v>
      </c>
      <c r="AS103" s="52"/>
      <c r="AT103" s="52"/>
      <c r="AU103" s="52"/>
      <c r="AV103" s="52"/>
      <c r="AW103" s="52"/>
      <c r="AX103" s="52"/>
      <c r="AY103" s="274"/>
      <c r="AZ103" s="274"/>
      <c r="BA103" s="274"/>
      <c r="BB103" s="274"/>
      <c r="BC103" s="274"/>
      <c r="BD103" s="274"/>
      <c r="BE103" s="274"/>
      <c r="BF103" s="274"/>
      <c r="BG103" s="274"/>
      <c r="BH103" s="274"/>
      <c r="BI103" s="274"/>
      <c r="BJ103" s="274"/>
      <c r="BK103" s="274"/>
      <c r="BL103" s="274"/>
      <c r="BM103" s="274"/>
      <c r="BN103" s="274"/>
      <c r="BO103" s="274"/>
    </row>
    <row r="104" hidden="1">
      <c r="A104" s="52"/>
      <c r="B104" s="56" t="s">
        <v>809</v>
      </c>
      <c r="C104" s="60"/>
      <c r="D104" s="60"/>
      <c r="E104" s="60"/>
      <c r="F104" s="60"/>
      <c r="G104" s="63"/>
      <c r="H104" s="70" t="s">
        <v>810</v>
      </c>
      <c r="I104" s="72"/>
      <c r="J104" s="72"/>
      <c r="K104" s="72"/>
      <c r="L104" s="72"/>
      <c r="M104" s="72"/>
      <c r="N104" s="72"/>
      <c r="O104" s="72"/>
      <c r="P104" s="72"/>
      <c r="Q104" s="72"/>
      <c r="R104" s="72"/>
      <c r="S104" s="72"/>
      <c r="T104" s="72"/>
      <c r="U104" s="72"/>
      <c r="V104" s="72"/>
      <c r="W104" s="72"/>
      <c r="X104" s="72"/>
      <c r="Y104" s="72"/>
      <c r="Z104" s="72"/>
      <c r="AA104" s="72"/>
      <c r="AB104" s="72"/>
      <c r="AC104" s="76" t="s">
        <v>48</v>
      </c>
      <c r="AD104" s="72"/>
      <c r="AE104" s="72"/>
      <c r="AF104" s="72"/>
      <c r="AG104" s="72"/>
      <c r="AH104" s="72"/>
      <c r="AI104" s="72"/>
      <c r="AJ104" s="72"/>
      <c r="AK104" s="72"/>
      <c r="AL104" s="72"/>
      <c r="AM104" s="72"/>
      <c r="AN104" s="72"/>
      <c r="AO104" s="72"/>
      <c r="AP104" s="72"/>
      <c r="AQ104" s="72"/>
      <c r="AR104" s="72"/>
      <c r="AS104" s="72"/>
      <c r="AT104" s="76"/>
      <c r="AU104" s="72"/>
      <c r="AV104" s="72"/>
      <c r="AW104" s="72"/>
      <c r="AX104" s="72"/>
      <c r="AY104" s="72"/>
      <c r="AZ104" s="72"/>
      <c r="BA104" s="72"/>
      <c r="BB104" s="72"/>
      <c r="BC104" s="72"/>
      <c r="BD104" s="72"/>
      <c r="BE104" s="72"/>
      <c r="BF104" s="72"/>
      <c r="BG104" s="72"/>
      <c r="BH104" s="72"/>
      <c r="BI104" s="72"/>
      <c r="BJ104" s="72"/>
      <c r="BK104" s="72"/>
      <c r="BL104" s="72"/>
      <c r="BM104" s="72"/>
      <c r="BN104" s="72"/>
      <c r="BO104" s="83"/>
    </row>
    <row r="105" hidden="1">
      <c r="A105" s="52"/>
      <c r="B105" s="86"/>
      <c r="C105" s="86"/>
      <c r="D105" s="86"/>
      <c r="E105" s="86"/>
      <c r="F105" s="86"/>
      <c r="G105" s="86"/>
      <c r="H105" s="52"/>
      <c r="I105" s="710" t="s">
        <v>811</v>
      </c>
      <c r="J105" s="96"/>
      <c r="K105" s="96"/>
      <c r="L105" s="96"/>
      <c r="M105" s="96"/>
      <c r="N105" s="103" t="str">
        <f>"DC "&amp;10+$G108</f>
        <v>DC 18</v>
      </c>
      <c r="O105" s="105"/>
      <c r="P105" s="95" t="s">
        <v>66</v>
      </c>
      <c r="Q105" s="96"/>
      <c r="R105" s="96"/>
      <c r="S105" s="96"/>
      <c r="T105" s="96"/>
      <c r="U105" s="113" t="str">
        <f>"DC "&amp;10+$G108+1</f>
        <v>DC 19</v>
      </c>
      <c r="V105" s="105"/>
      <c r="W105" s="95" t="s">
        <v>70</v>
      </c>
      <c r="X105" s="96"/>
      <c r="Y105" s="96"/>
      <c r="Z105" s="96"/>
      <c r="AA105" s="96"/>
      <c r="AB105" s="113" t="str">
        <f>"DC "&amp;10+$G108+2</f>
        <v>DC 20</v>
      </c>
      <c r="AC105" s="105"/>
      <c r="AD105" s="95" t="s">
        <v>74</v>
      </c>
      <c r="AE105" s="96"/>
      <c r="AF105" s="96"/>
      <c r="AG105" s="96"/>
      <c r="AH105" s="96"/>
      <c r="AI105" s="113" t="str">
        <f>"DC "&amp;10+$G108+3</f>
        <v>DC 21</v>
      </c>
      <c r="AJ105" s="105"/>
      <c r="AK105" s="95" t="s">
        <v>77</v>
      </c>
      <c r="AL105" s="96"/>
      <c r="AM105" s="96"/>
      <c r="AN105" s="96"/>
      <c r="AO105" s="96"/>
      <c r="AP105" s="113" t="str">
        <f>"DC "&amp;10+$G108+4</f>
        <v>DC 22</v>
      </c>
      <c r="AQ105" s="105"/>
      <c r="AR105" s="126" t="s">
        <v>82</v>
      </c>
      <c r="AS105" s="128"/>
      <c r="AT105" s="128"/>
      <c r="AU105" s="128"/>
      <c r="AV105" s="128"/>
      <c r="AW105" s="128"/>
      <c r="AX105" s="105"/>
      <c r="AY105" s="130"/>
      <c r="AZ105" s="131"/>
      <c r="BA105" s="131"/>
      <c r="BB105" s="131"/>
      <c r="BC105" s="131"/>
      <c r="BD105" s="131"/>
      <c r="BE105" s="131"/>
      <c r="BF105" s="130"/>
      <c r="BG105" s="130" t="s">
        <v>86</v>
      </c>
      <c r="BH105" s="131"/>
      <c r="BI105" s="131"/>
      <c r="BJ105" s="131"/>
      <c r="BK105" s="131"/>
      <c r="BL105" s="131"/>
      <c r="BM105" s="131"/>
      <c r="BN105" s="131"/>
      <c r="BO105" s="135"/>
    </row>
    <row r="106" hidden="1">
      <c r="A106" s="52"/>
      <c r="B106" s="138"/>
      <c r="C106" s="67"/>
      <c r="D106" s="67"/>
      <c r="E106" s="67"/>
      <c r="F106" s="67"/>
      <c r="G106" s="69"/>
      <c r="H106" s="142"/>
      <c r="I106" s="143"/>
      <c r="J106" s="148"/>
      <c r="K106" s="28"/>
      <c r="L106" s="28"/>
      <c r="M106" s="28"/>
      <c r="N106" s="29"/>
      <c r="O106" s="142"/>
      <c r="P106" s="143"/>
      <c r="Q106" s="148"/>
      <c r="R106" s="28"/>
      <c r="S106" s="28"/>
      <c r="T106" s="28"/>
      <c r="U106" s="29"/>
      <c r="V106" s="142"/>
      <c r="W106" s="143"/>
      <c r="X106" s="148"/>
      <c r="Y106" s="28"/>
      <c r="Z106" s="28"/>
      <c r="AA106" s="28"/>
      <c r="AB106" s="29"/>
      <c r="AC106" s="142"/>
      <c r="AD106" s="143"/>
      <c r="AE106" s="148"/>
      <c r="AF106" s="28"/>
      <c r="AG106" s="28"/>
      <c r="AH106" s="28"/>
      <c r="AI106" s="29"/>
      <c r="AJ106" s="142"/>
      <c r="AK106" s="143"/>
      <c r="AL106" s="148"/>
      <c r="AM106" s="28"/>
      <c r="AN106" s="28"/>
      <c r="AO106" s="28"/>
      <c r="AP106" s="29"/>
      <c r="AQ106" s="142"/>
      <c r="AR106" s="157" t="s">
        <v>106</v>
      </c>
      <c r="AS106" s="28"/>
      <c r="AT106" s="28"/>
      <c r="AU106" s="28"/>
      <c r="AV106" s="28"/>
      <c r="AW106" s="29"/>
      <c r="AX106" s="142"/>
      <c r="AY106" s="428"/>
      <c r="AZ106" s="159"/>
      <c r="BA106" s="159"/>
      <c r="BB106" s="159"/>
      <c r="BC106" s="159"/>
      <c r="BD106" s="159"/>
      <c r="BE106" s="159"/>
      <c r="BF106" s="159"/>
      <c r="BG106" s="159"/>
      <c r="BH106" s="159"/>
      <c r="BI106" s="159"/>
      <c r="BJ106" s="159"/>
      <c r="BK106" s="159"/>
      <c r="BL106" s="159"/>
      <c r="BM106" s="159"/>
      <c r="BN106" s="159"/>
      <c r="BO106" s="161"/>
    </row>
    <row r="107" hidden="1">
      <c r="A107" s="52"/>
      <c r="B107" s="111"/>
      <c r="C107" s="114"/>
      <c r="D107" s="114"/>
      <c r="E107" s="114"/>
      <c r="F107" s="114"/>
      <c r="G107" s="68"/>
      <c r="H107" s="142"/>
      <c r="I107" s="143"/>
      <c r="J107" s="148"/>
      <c r="K107" s="28"/>
      <c r="L107" s="28"/>
      <c r="M107" s="28"/>
      <c r="N107" s="29"/>
      <c r="O107" s="142"/>
      <c r="P107" s="143"/>
      <c r="Q107" s="148"/>
      <c r="R107" s="28"/>
      <c r="S107" s="28"/>
      <c r="T107" s="28"/>
      <c r="U107" s="29"/>
      <c r="V107" s="142"/>
      <c r="W107" s="143"/>
      <c r="X107" s="148"/>
      <c r="Y107" s="28"/>
      <c r="Z107" s="28"/>
      <c r="AA107" s="28"/>
      <c r="AB107" s="29"/>
      <c r="AC107" s="142"/>
      <c r="AD107" s="143"/>
      <c r="AE107" s="148"/>
      <c r="AF107" s="28"/>
      <c r="AG107" s="28"/>
      <c r="AH107" s="28"/>
      <c r="AI107" s="29"/>
      <c r="AJ107" s="142"/>
      <c r="AK107" s="143"/>
      <c r="AL107" s="148"/>
      <c r="AM107" s="28"/>
      <c r="AN107" s="28"/>
      <c r="AO107" s="28"/>
      <c r="AP107" s="29"/>
      <c r="AQ107" s="142"/>
      <c r="AR107" s="162"/>
      <c r="AS107" s="148"/>
      <c r="AT107" s="28"/>
      <c r="AU107" s="28"/>
      <c r="AV107" s="28"/>
      <c r="AW107" s="29"/>
      <c r="AX107" s="142"/>
      <c r="AY107" s="169"/>
      <c r="AZ107" s="170"/>
      <c r="BA107" s="170"/>
      <c r="BB107" s="170"/>
      <c r="BC107" s="170"/>
      <c r="BD107" s="170"/>
      <c r="BE107" s="170"/>
      <c r="BF107" s="170"/>
      <c r="BG107" s="170"/>
      <c r="BH107" s="170"/>
      <c r="BI107" s="170"/>
      <c r="BJ107" s="170"/>
      <c r="BK107" s="170"/>
      <c r="BL107" s="170"/>
      <c r="BM107" s="170"/>
      <c r="BN107" s="170"/>
      <c r="BO107" s="172"/>
    </row>
    <row r="108" hidden="1">
      <c r="A108" s="52"/>
      <c r="B108" s="173" t="s">
        <v>113</v>
      </c>
      <c r="C108" s="23"/>
      <c r="D108" s="173" t="s">
        <v>114</v>
      </c>
      <c r="E108" s="23"/>
      <c r="F108" s="24"/>
      <c r="G108" s="178">
        <f>VLOOKUP(D108,'Main Sheet'!$E$9:$G$14,3,false)</f>
        <v>8</v>
      </c>
      <c r="H108" s="142"/>
      <c r="I108" s="143"/>
      <c r="J108" s="148"/>
      <c r="K108" s="28"/>
      <c r="L108" s="28"/>
      <c r="M108" s="28"/>
      <c r="N108" s="29"/>
      <c r="O108" s="142"/>
      <c r="P108" s="143"/>
      <c r="Q108" s="148"/>
      <c r="R108" s="28"/>
      <c r="S108" s="28"/>
      <c r="T108" s="28"/>
      <c r="U108" s="29"/>
      <c r="V108" s="142"/>
      <c r="W108" s="143"/>
      <c r="X108" s="148"/>
      <c r="Y108" s="28"/>
      <c r="Z108" s="28"/>
      <c r="AA108" s="28"/>
      <c r="AB108" s="29"/>
      <c r="AC108" s="142"/>
      <c r="AD108" s="143"/>
      <c r="AE108" s="148"/>
      <c r="AF108" s="28"/>
      <c r="AG108" s="28"/>
      <c r="AH108" s="28"/>
      <c r="AI108" s="29"/>
      <c r="AJ108" s="142"/>
      <c r="AK108" s="143"/>
      <c r="AL108" s="148"/>
      <c r="AM108" s="28"/>
      <c r="AN108" s="28"/>
      <c r="AO108" s="28"/>
      <c r="AP108" s="29"/>
      <c r="AQ108" s="142"/>
      <c r="AR108" s="162"/>
      <c r="AS108" s="148"/>
      <c r="AT108" s="28"/>
      <c r="AU108" s="28"/>
      <c r="AV108" s="28"/>
      <c r="AW108" s="29"/>
      <c r="AX108" s="142"/>
      <c r="AY108" s="169"/>
      <c r="AZ108" s="170"/>
      <c r="BA108" s="170"/>
      <c r="BB108" s="170"/>
      <c r="BC108" s="170"/>
      <c r="BD108" s="170"/>
      <c r="BE108" s="170"/>
      <c r="BF108" s="170"/>
      <c r="BG108" s="170"/>
      <c r="BH108" s="170"/>
      <c r="BI108" s="170"/>
      <c r="BJ108" s="170"/>
      <c r="BK108" s="170"/>
      <c r="BL108" s="170"/>
      <c r="BM108" s="170"/>
      <c r="BN108" s="170"/>
      <c r="BO108" s="172"/>
    </row>
    <row r="109" hidden="1">
      <c r="A109" s="52"/>
      <c r="B109" s="128"/>
      <c r="C109" s="128"/>
      <c r="D109" s="128"/>
      <c r="E109" s="128"/>
      <c r="F109" s="128"/>
      <c r="G109" s="128"/>
      <c r="H109" s="52"/>
      <c r="I109" s="143"/>
      <c r="J109" s="148"/>
      <c r="K109" s="28"/>
      <c r="L109" s="28"/>
      <c r="M109" s="28"/>
      <c r="N109" s="29"/>
      <c r="O109" s="142"/>
      <c r="P109" s="143"/>
      <c r="Q109" s="148"/>
      <c r="R109" s="28"/>
      <c r="S109" s="28"/>
      <c r="T109" s="28"/>
      <c r="U109" s="29"/>
      <c r="V109" s="142"/>
      <c r="W109" s="143"/>
      <c r="X109" s="148"/>
      <c r="Y109" s="28"/>
      <c r="Z109" s="28"/>
      <c r="AA109" s="28"/>
      <c r="AB109" s="29"/>
      <c r="AC109" s="142"/>
      <c r="AD109" s="143"/>
      <c r="AE109" s="148"/>
      <c r="AF109" s="28"/>
      <c r="AG109" s="28"/>
      <c r="AH109" s="28"/>
      <c r="AI109" s="29"/>
      <c r="AJ109" s="142"/>
      <c r="AK109" s="143"/>
      <c r="AL109" s="148"/>
      <c r="AM109" s="28"/>
      <c r="AN109" s="28"/>
      <c r="AO109" s="28"/>
      <c r="AP109" s="29"/>
      <c r="AQ109" s="142"/>
      <c r="AR109" s="162"/>
      <c r="AS109" s="148"/>
      <c r="AT109" s="28"/>
      <c r="AU109" s="28"/>
      <c r="AV109" s="28"/>
      <c r="AW109" s="29"/>
      <c r="AX109" s="142"/>
      <c r="AY109" s="169"/>
      <c r="AZ109" s="170"/>
      <c r="BA109" s="170"/>
      <c r="BB109" s="170"/>
      <c r="BC109" s="170"/>
      <c r="BD109" s="170"/>
      <c r="BE109" s="170"/>
      <c r="BF109" s="170"/>
      <c r="BG109" s="170"/>
      <c r="BH109" s="170"/>
      <c r="BI109" s="170"/>
      <c r="BJ109" s="170"/>
      <c r="BK109" s="170"/>
      <c r="BL109" s="170"/>
      <c r="BM109" s="170"/>
      <c r="BN109" s="170"/>
      <c r="BO109" s="172"/>
    </row>
    <row r="110" hidden="1">
      <c r="A110" s="216"/>
      <c r="B110" s="729" t="s">
        <v>817</v>
      </c>
      <c r="C110" s="23"/>
      <c r="D110" s="23"/>
      <c r="E110" s="23"/>
      <c r="F110" s="23"/>
      <c r="G110" s="24"/>
      <c r="H110" s="142"/>
      <c r="I110" s="143"/>
      <c r="J110" s="148"/>
      <c r="K110" s="28"/>
      <c r="L110" s="28"/>
      <c r="M110" s="28"/>
      <c r="N110" s="29"/>
      <c r="O110" s="142"/>
      <c r="P110" s="143"/>
      <c r="Q110" s="148"/>
      <c r="R110" s="28"/>
      <c r="S110" s="28"/>
      <c r="T110" s="28"/>
      <c r="U110" s="29"/>
      <c r="V110" s="142"/>
      <c r="W110" s="143"/>
      <c r="X110" s="148"/>
      <c r="Y110" s="28"/>
      <c r="Z110" s="28"/>
      <c r="AA110" s="28"/>
      <c r="AB110" s="29"/>
      <c r="AC110" s="142"/>
      <c r="AD110" s="143"/>
      <c r="AE110" s="148"/>
      <c r="AF110" s="28"/>
      <c r="AG110" s="28"/>
      <c r="AH110" s="28"/>
      <c r="AI110" s="29"/>
      <c r="AJ110" s="142"/>
      <c r="AK110" s="143"/>
      <c r="AL110" s="148"/>
      <c r="AM110" s="28"/>
      <c r="AN110" s="28"/>
      <c r="AO110" s="28"/>
      <c r="AP110" s="29"/>
      <c r="AQ110" s="142"/>
      <c r="AR110" s="162"/>
      <c r="AS110" s="148"/>
      <c r="AT110" s="28"/>
      <c r="AU110" s="28"/>
      <c r="AV110" s="28"/>
      <c r="AW110" s="29"/>
      <c r="AX110" s="142"/>
      <c r="AY110" s="169"/>
      <c r="AZ110" s="170"/>
      <c r="BA110" s="170"/>
      <c r="BB110" s="170"/>
      <c r="BC110" s="170"/>
      <c r="BD110" s="170"/>
      <c r="BE110" s="170"/>
      <c r="BF110" s="170"/>
      <c r="BG110" s="170"/>
      <c r="BH110" s="170"/>
      <c r="BI110" s="170"/>
      <c r="BJ110" s="170"/>
      <c r="BK110" s="170"/>
      <c r="BL110" s="170"/>
      <c r="BM110" s="170"/>
      <c r="BN110" s="170"/>
      <c r="BO110" s="172"/>
    </row>
    <row r="111" hidden="1">
      <c r="A111" s="216"/>
      <c r="B111" s="732">
        <f>VLOOKUP(G108,'Class Charts'!X519:AR534,D113+1,false)+if(VLOOKUP($B106,'Class Charts'!$B:$N,9,False)="$B$518",VLOOKUP(D113,'Class Charts'!A518:D538,2,false),if(VLOOKUP($B106,'Class Charts'!$B:$N,9,False)="$C$518",VLOOKUP(D113,'Class Charts'!A519:D538,3,false), if(VLOOKUP($B106,'Class Charts'!$B:$N,9,False)="$D$518",VLOOKUP(D113,'Class Charts'!A519:D538,4,false),0)))</f>
        <v>8</v>
      </c>
      <c r="C111" s="23"/>
      <c r="D111" s="23"/>
      <c r="E111" s="23"/>
      <c r="F111" s="23"/>
      <c r="G111" s="24"/>
      <c r="H111" s="142"/>
      <c r="I111" s="143"/>
      <c r="J111" s="148"/>
      <c r="K111" s="28"/>
      <c r="L111" s="28"/>
      <c r="M111" s="28"/>
      <c r="N111" s="29"/>
      <c r="O111" s="142"/>
      <c r="P111" s="143"/>
      <c r="Q111" s="148"/>
      <c r="R111" s="28"/>
      <c r="S111" s="28"/>
      <c r="T111" s="28"/>
      <c r="U111" s="29"/>
      <c r="V111" s="142"/>
      <c r="W111" s="143"/>
      <c r="X111" s="148"/>
      <c r="Y111" s="28"/>
      <c r="Z111" s="28"/>
      <c r="AA111" s="28"/>
      <c r="AB111" s="29"/>
      <c r="AC111" s="142"/>
      <c r="AD111" s="143"/>
      <c r="AE111" s="148"/>
      <c r="AF111" s="28"/>
      <c r="AG111" s="28"/>
      <c r="AH111" s="28"/>
      <c r="AI111" s="29"/>
      <c r="AJ111" s="142"/>
      <c r="AK111" s="143"/>
      <c r="AL111" s="148"/>
      <c r="AM111" s="28"/>
      <c r="AN111" s="28"/>
      <c r="AO111" s="28"/>
      <c r="AP111" s="29"/>
      <c r="AQ111" s="142"/>
      <c r="AR111" s="157" t="s">
        <v>148</v>
      </c>
      <c r="AS111" s="28"/>
      <c r="AT111" s="28"/>
      <c r="AU111" s="28"/>
      <c r="AV111" s="28"/>
      <c r="AW111" s="29"/>
      <c r="AX111" s="142"/>
      <c r="AY111" s="169"/>
      <c r="AZ111" s="170"/>
      <c r="BA111" s="170"/>
      <c r="BB111" s="170"/>
      <c r="BC111" s="170"/>
      <c r="BD111" s="170"/>
      <c r="BE111" s="170"/>
      <c r="BF111" s="170"/>
      <c r="BG111" s="170"/>
      <c r="BH111" s="170"/>
      <c r="BI111" s="170"/>
      <c r="BJ111" s="170"/>
      <c r="BK111" s="170"/>
      <c r="BL111" s="170"/>
      <c r="BM111" s="170"/>
      <c r="BN111" s="170"/>
      <c r="BO111" s="172"/>
    </row>
    <row r="112" hidden="1">
      <c r="A112" s="272"/>
      <c r="B112" s="349" t="s">
        <v>288</v>
      </c>
      <c r="D112" s="351" t="s">
        <v>141</v>
      </c>
      <c r="E112" s="352"/>
      <c r="F112" s="351" t="s">
        <v>17</v>
      </c>
      <c r="G112" s="733" t="s">
        <v>293</v>
      </c>
      <c r="H112" s="142"/>
      <c r="I112" s="143"/>
      <c r="J112" s="148"/>
      <c r="K112" s="28"/>
      <c r="L112" s="28"/>
      <c r="M112" s="28"/>
      <c r="N112" s="29"/>
      <c r="O112" s="142"/>
      <c r="P112" s="143"/>
      <c r="Q112" s="148"/>
      <c r="R112" s="28"/>
      <c r="S112" s="28"/>
      <c r="T112" s="28"/>
      <c r="U112" s="29"/>
      <c r="V112" s="142"/>
      <c r="W112" s="143"/>
      <c r="X112" s="148"/>
      <c r="Y112" s="28"/>
      <c r="Z112" s="28"/>
      <c r="AA112" s="28"/>
      <c r="AB112" s="29"/>
      <c r="AC112" s="142"/>
      <c r="AD112" s="143"/>
      <c r="AE112" s="148"/>
      <c r="AF112" s="28"/>
      <c r="AG112" s="28"/>
      <c r="AH112" s="28"/>
      <c r="AI112" s="29"/>
      <c r="AJ112" s="142"/>
      <c r="AK112" s="143"/>
      <c r="AL112" s="148"/>
      <c r="AM112" s="28"/>
      <c r="AN112" s="28"/>
      <c r="AO112" s="28"/>
      <c r="AP112" s="29"/>
      <c r="AQ112" s="142"/>
      <c r="AR112" s="162"/>
      <c r="AS112" s="148"/>
      <c r="AT112" s="28"/>
      <c r="AU112" s="28"/>
      <c r="AV112" s="28"/>
      <c r="AW112" s="29"/>
      <c r="AX112" s="142"/>
      <c r="AY112" s="169"/>
      <c r="AZ112" s="170"/>
      <c r="BA112" s="170"/>
      <c r="BB112" s="170"/>
      <c r="BC112" s="170"/>
      <c r="BD112" s="170"/>
      <c r="BE112" s="170"/>
      <c r="BF112" s="170"/>
      <c r="BG112" s="170"/>
      <c r="BH112" s="170"/>
      <c r="BI112" s="170"/>
      <c r="BJ112" s="170"/>
      <c r="BK112" s="170"/>
      <c r="BL112" s="170"/>
      <c r="BM112" s="170"/>
      <c r="BN112" s="170"/>
      <c r="BO112" s="172"/>
    </row>
    <row r="113" hidden="1">
      <c r="A113" s="272"/>
      <c r="D113" s="366">
        <f>MIN(20,SUM(F113:G113))</f>
        <v>0</v>
      </c>
      <c r="E113" s="369" t="s">
        <v>145</v>
      </c>
      <c r="F113" s="372" t="str">
        <f>iferror(VLOOKUP(B106,'Main Sheet'!$AE$2:$AQ$4,13,false),"")</f>
        <v/>
      </c>
      <c r="G113" s="374"/>
      <c r="H113" s="142"/>
      <c r="I113" s="143"/>
      <c r="J113" s="148"/>
      <c r="K113" s="28"/>
      <c r="L113" s="28"/>
      <c r="M113" s="28"/>
      <c r="N113" s="29"/>
      <c r="O113" s="142"/>
      <c r="P113" s="143"/>
      <c r="Q113" s="148"/>
      <c r="R113" s="28"/>
      <c r="S113" s="28"/>
      <c r="T113" s="28"/>
      <c r="U113" s="29"/>
      <c r="V113" s="142"/>
      <c r="W113" s="143"/>
      <c r="X113" s="148"/>
      <c r="Y113" s="28"/>
      <c r="Z113" s="28"/>
      <c r="AA113" s="28"/>
      <c r="AB113" s="29"/>
      <c r="AC113" s="142"/>
      <c r="AD113" s="143"/>
      <c r="AE113" s="148"/>
      <c r="AF113" s="28"/>
      <c r="AG113" s="28"/>
      <c r="AH113" s="28"/>
      <c r="AI113" s="29"/>
      <c r="AJ113" s="142"/>
      <c r="AK113" s="143"/>
      <c r="AL113" s="148"/>
      <c r="AM113" s="28"/>
      <c r="AN113" s="28"/>
      <c r="AO113" s="28"/>
      <c r="AP113" s="29"/>
      <c r="AQ113" s="142"/>
      <c r="AR113" s="162"/>
      <c r="AS113" s="148"/>
      <c r="AT113" s="28"/>
      <c r="AU113" s="28"/>
      <c r="AV113" s="28"/>
      <c r="AW113" s="29"/>
      <c r="AX113" s="142"/>
      <c r="AY113" s="169"/>
      <c r="AZ113" s="170"/>
      <c r="BA113" s="170"/>
      <c r="BB113" s="170"/>
      <c r="BC113" s="170"/>
      <c r="BD113" s="170"/>
      <c r="BE113" s="170"/>
      <c r="BF113" s="170"/>
      <c r="BG113" s="170"/>
      <c r="BH113" s="170"/>
      <c r="BI113" s="170"/>
      <c r="BJ113" s="170"/>
      <c r="BK113" s="170"/>
      <c r="BL113" s="170"/>
      <c r="BM113" s="170"/>
      <c r="BN113" s="170"/>
      <c r="BO113" s="172"/>
    </row>
    <row r="114" hidden="1">
      <c r="A114" s="272"/>
      <c r="B114" s="381" t="s">
        <v>318</v>
      </c>
      <c r="C114" s="195"/>
      <c r="D114" s="351" t="s">
        <v>141</v>
      </c>
      <c r="E114" s="383"/>
      <c r="F114" s="351" t="s">
        <v>17</v>
      </c>
      <c r="G114" s="351" t="s">
        <v>293</v>
      </c>
      <c r="H114" s="142"/>
      <c r="I114" s="143"/>
      <c r="J114" s="148"/>
      <c r="K114" s="28"/>
      <c r="L114" s="28"/>
      <c r="M114" s="28"/>
      <c r="N114" s="29"/>
      <c r="O114" s="142"/>
      <c r="P114" s="143"/>
      <c r="Q114" s="148"/>
      <c r="R114" s="28"/>
      <c r="S114" s="28"/>
      <c r="T114" s="28"/>
      <c r="U114" s="29"/>
      <c r="V114" s="142"/>
      <c r="W114" s="143"/>
      <c r="X114" s="148"/>
      <c r="Y114" s="28"/>
      <c r="Z114" s="28"/>
      <c r="AA114" s="28"/>
      <c r="AB114" s="29"/>
      <c r="AC114" s="142"/>
      <c r="AD114" s="143"/>
      <c r="AE114" s="148"/>
      <c r="AF114" s="28"/>
      <c r="AG114" s="28"/>
      <c r="AH114" s="28"/>
      <c r="AI114" s="29"/>
      <c r="AJ114" s="142"/>
      <c r="AK114" s="143"/>
      <c r="AL114" s="148"/>
      <c r="AM114" s="28"/>
      <c r="AN114" s="28"/>
      <c r="AO114" s="28"/>
      <c r="AP114" s="29"/>
      <c r="AQ114" s="142"/>
      <c r="AR114" s="162"/>
      <c r="AS114" s="148"/>
      <c r="AT114" s="28"/>
      <c r="AU114" s="28"/>
      <c r="AV114" s="28"/>
      <c r="AW114" s="29"/>
      <c r="AX114" s="142"/>
      <c r="AY114" s="169"/>
      <c r="AZ114" s="170"/>
      <c r="BA114" s="170"/>
      <c r="BB114" s="170"/>
      <c r="BC114" s="170"/>
      <c r="BD114" s="170"/>
      <c r="BE114" s="170"/>
      <c r="BF114" s="170"/>
      <c r="BG114" s="170"/>
      <c r="BH114" s="170"/>
      <c r="BI114" s="170"/>
      <c r="BJ114" s="170"/>
      <c r="BK114" s="170"/>
      <c r="BL114" s="170"/>
      <c r="BM114" s="170"/>
      <c r="BN114" s="170"/>
      <c r="BO114" s="172"/>
    </row>
    <row r="115" hidden="1">
      <c r="A115" s="272"/>
      <c r="D115" s="366">
        <f>SUM(F115:G115)-iferror(abs('Main Sheet'!$Y$39),"")</f>
        <v>0</v>
      </c>
      <c r="E115" s="369" t="s">
        <v>145</v>
      </c>
      <c r="F115" s="395"/>
      <c r="G115" s="396"/>
      <c r="H115" s="272"/>
      <c r="I115" s="274"/>
      <c r="J115" s="274"/>
      <c r="K115" s="274"/>
      <c r="L115" s="274"/>
      <c r="M115" s="274"/>
      <c r="N115" s="274"/>
      <c r="O115" s="52"/>
      <c r="P115" s="274"/>
      <c r="Q115" s="274"/>
      <c r="R115" s="274"/>
      <c r="S115" s="274"/>
      <c r="T115" s="274"/>
      <c r="U115" s="274"/>
      <c r="V115" s="52"/>
      <c r="W115" s="274"/>
      <c r="X115" s="274"/>
      <c r="Y115" s="274"/>
      <c r="Z115" s="274"/>
      <c r="AA115" s="274"/>
      <c r="AB115" s="274"/>
      <c r="AC115" s="52"/>
      <c r="AD115" s="274"/>
      <c r="AE115" s="274"/>
      <c r="AF115" s="274"/>
      <c r="AG115" s="274"/>
      <c r="AH115" s="274"/>
      <c r="AI115" s="274"/>
      <c r="AJ115" s="52"/>
      <c r="AK115" s="274"/>
      <c r="AL115" s="274"/>
      <c r="AM115" s="274"/>
      <c r="AN115" s="274"/>
      <c r="AO115" s="274"/>
      <c r="AP115" s="274"/>
      <c r="AQ115" s="52"/>
      <c r="AR115" s="162"/>
      <c r="AS115" s="148"/>
      <c r="AT115" s="28"/>
      <c r="AU115" s="28"/>
      <c r="AV115" s="28"/>
      <c r="AW115" s="29"/>
      <c r="AX115" s="52"/>
      <c r="AY115" s="169"/>
      <c r="AZ115" s="170"/>
      <c r="BA115" s="170"/>
      <c r="BB115" s="170"/>
      <c r="BC115" s="170"/>
      <c r="BD115" s="170"/>
      <c r="BE115" s="170"/>
      <c r="BF115" s="170"/>
      <c r="BG115" s="170"/>
      <c r="BH115" s="170"/>
      <c r="BI115" s="170"/>
      <c r="BJ115" s="170"/>
      <c r="BK115" s="170"/>
      <c r="BL115" s="170"/>
      <c r="BM115" s="170"/>
      <c r="BN115" s="170"/>
      <c r="BO115" s="172"/>
    </row>
    <row r="116" hidden="1">
      <c r="A116" s="272"/>
      <c r="B116" s="272"/>
      <c r="C116" s="272"/>
      <c r="D116" s="272"/>
      <c r="E116" s="272"/>
      <c r="F116" s="272"/>
      <c r="G116" s="128"/>
      <c r="H116" s="272"/>
      <c r="I116" s="126" t="s">
        <v>200</v>
      </c>
      <c r="J116" s="292"/>
      <c r="K116" s="292"/>
      <c r="L116" s="131"/>
      <c r="M116" s="292"/>
      <c r="N116" s="113" t="str">
        <f>"DC "&amp;10+$G108+5</f>
        <v>DC 23</v>
      </c>
      <c r="O116" s="105"/>
      <c r="P116" s="95" t="s">
        <v>208</v>
      </c>
      <c r="Q116" s="96"/>
      <c r="R116" s="96"/>
      <c r="S116" s="96"/>
      <c r="T116" s="96"/>
      <c r="U116" s="113" t="str">
        <f>"DC "&amp;10+$G108+6</f>
        <v>DC 24</v>
      </c>
      <c r="V116" s="105"/>
      <c r="W116" s="95" t="s">
        <v>210</v>
      </c>
      <c r="X116" s="96"/>
      <c r="Y116" s="96"/>
      <c r="Z116" s="96"/>
      <c r="AA116" s="96"/>
      <c r="AB116" s="113" t="str">
        <f>"DC "&amp;10+$G108+7</f>
        <v>DC 25</v>
      </c>
      <c r="AC116" s="105"/>
      <c r="AD116" s="95" t="s">
        <v>212</v>
      </c>
      <c r="AE116" s="96"/>
      <c r="AF116" s="96"/>
      <c r="AG116" s="96"/>
      <c r="AH116" s="96"/>
      <c r="AI116" s="113" t="str">
        <f>"DC "&amp;10+$G108+8</f>
        <v>DC 26</v>
      </c>
      <c r="AJ116" s="105"/>
      <c r="AK116" s="95" t="s">
        <v>217</v>
      </c>
      <c r="AL116" s="96"/>
      <c r="AM116" s="96"/>
      <c r="AN116" s="96"/>
      <c r="AO116" s="96"/>
      <c r="AP116" s="113" t="str">
        <f>"DC "&amp;10+$G108+9</f>
        <v>DC 27</v>
      </c>
      <c r="AQ116" s="105"/>
      <c r="AR116" s="157" t="s">
        <v>223</v>
      </c>
      <c r="AS116" s="28"/>
      <c r="AT116" s="28"/>
      <c r="AU116" s="28"/>
      <c r="AV116" s="28"/>
      <c r="AW116" s="29"/>
      <c r="AX116" s="105"/>
      <c r="AY116" s="169"/>
      <c r="AZ116" s="170"/>
      <c r="BA116" s="170"/>
      <c r="BB116" s="170"/>
      <c r="BC116" s="170"/>
      <c r="BD116" s="170"/>
      <c r="BE116" s="170"/>
      <c r="BF116" s="170"/>
      <c r="BG116" s="170"/>
      <c r="BH116" s="170"/>
      <c r="BI116" s="170"/>
      <c r="BJ116" s="170"/>
      <c r="BK116" s="170"/>
      <c r="BL116" s="170"/>
      <c r="BM116" s="170"/>
      <c r="BN116" s="170"/>
      <c r="BO116" s="172"/>
    </row>
    <row r="117" hidden="1">
      <c r="A117" s="272"/>
      <c r="B117" s="272"/>
      <c r="C117" s="272"/>
      <c r="D117" s="272"/>
      <c r="E117" s="272"/>
      <c r="F117" s="272"/>
      <c r="G117" s="128"/>
      <c r="H117" s="142"/>
      <c r="I117" s="143"/>
      <c r="J117" s="148"/>
      <c r="K117" s="28"/>
      <c r="L117" s="28"/>
      <c r="M117" s="28"/>
      <c r="N117" s="29"/>
      <c r="O117" s="142"/>
      <c r="P117" s="143"/>
      <c r="Q117" s="148"/>
      <c r="R117" s="28"/>
      <c r="S117" s="28"/>
      <c r="T117" s="28"/>
      <c r="U117" s="29"/>
      <c r="V117" s="142"/>
      <c r="W117" s="143"/>
      <c r="X117" s="148"/>
      <c r="Y117" s="28"/>
      <c r="Z117" s="28"/>
      <c r="AA117" s="28"/>
      <c r="AB117" s="29"/>
      <c r="AC117" s="142"/>
      <c r="AD117" s="143"/>
      <c r="AE117" s="148"/>
      <c r="AF117" s="28"/>
      <c r="AG117" s="28"/>
      <c r="AH117" s="28"/>
      <c r="AI117" s="29"/>
      <c r="AJ117" s="142"/>
      <c r="AK117" s="143"/>
      <c r="AL117" s="148"/>
      <c r="AM117" s="28"/>
      <c r="AN117" s="28"/>
      <c r="AO117" s="28"/>
      <c r="AP117" s="29"/>
      <c r="AQ117" s="142"/>
      <c r="AR117" s="162"/>
      <c r="AS117" s="148"/>
      <c r="AT117" s="28"/>
      <c r="AU117" s="28"/>
      <c r="AV117" s="28"/>
      <c r="AW117" s="29"/>
      <c r="AX117" s="142"/>
      <c r="AY117" s="169"/>
      <c r="AZ117" s="170"/>
      <c r="BA117" s="170"/>
      <c r="BB117" s="170"/>
      <c r="BC117" s="170"/>
      <c r="BD117" s="170"/>
      <c r="BE117" s="170"/>
      <c r="BF117" s="170"/>
      <c r="BG117" s="170"/>
      <c r="BH117" s="170"/>
      <c r="BI117" s="170"/>
      <c r="BJ117" s="170"/>
      <c r="BK117" s="170"/>
      <c r="BL117" s="170"/>
      <c r="BM117" s="170"/>
      <c r="BN117" s="170"/>
      <c r="BO117" s="172"/>
    </row>
    <row r="118" hidden="1">
      <c r="A118" s="272"/>
      <c r="B118" s="272"/>
      <c r="C118" s="272"/>
      <c r="D118" s="272"/>
      <c r="E118" s="272"/>
      <c r="F118" s="272"/>
      <c r="G118" s="128"/>
      <c r="H118" s="142"/>
      <c r="I118" s="143"/>
      <c r="J118" s="148"/>
      <c r="K118" s="28"/>
      <c r="L118" s="28"/>
      <c r="M118" s="28"/>
      <c r="N118" s="29"/>
      <c r="O118" s="142"/>
      <c r="P118" s="143"/>
      <c r="Q118" s="148"/>
      <c r="R118" s="28"/>
      <c r="S118" s="28"/>
      <c r="T118" s="28"/>
      <c r="U118" s="29"/>
      <c r="V118" s="142"/>
      <c r="W118" s="143"/>
      <c r="X118" s="148"/>
      <c r="Y118" s="28"/>
      <c r="Z118" s="28"/>
      <c r="AA118" s="28"/>
      <c r="AB118" s="29"/>
      <c r="AC118" s="142"/>
      <c r="AD118" s="143"/>
      <c r="AE118" s="148"/>
      <c r="AF118" s="28"/>
      <c r="AG118" s="28"/>
      <c r="AH118" s="28"/>
      <c r="AI118" s="29"/>
      <c r="AJ118" s="142"/>
      <c r="AK118" s="143"/>
      <c r="AL118" s="148"/>
      <c r="AM118" s="28"/>
      <c r="AN118" s="28"/>
      <c r="AO118" s="28"/>
      <c r="AP118" s="29"/>
      <c r="AQ118" s="142"/>
      <c r="AR118" s="162"/>
      <c r="AS118" s="148" t="s">
        <v>259</v>
      </c>
      <c r="AT118" s="28"/>
      <c r="AU118" s="28"/>
      <c r="AV118" s="28"/>
      <c r="AW118" s="29"/>
      <c r="AX118" s="142"/>
      <c r="AY118" s="169"/>
      <c r="AZ118" s="170"/>
      <c r="BA118" s="170"/>
      <c r="BB118" s="170"/>
      <c r="BC118" s="170"/>
      <c r="BD118" s="170"/>
      <c r="BE118" s="170"/>
      <c r="BF118" s="170"/>
      <c r="BG118" s="170"/>
      <c r="BH118" s="170"/>
      <c r="BI118" s="170"/>
      <c r="BJ118" s="170"/>
      <c r="BK118" s="170"/>
      <c r="BL118" s="170"/>
      <c r="BM118" s="170"/>
      <c r="BN118" s="170"/>
      <c r="BO118" s="172"/>
    </row>
    <row r="119" hidden="1">
      <c r="A119" s="272"/>
      <c r="B119" s="272"/>
      <c r="C119" s="272"/>
      <c r="D119" s="272"/>
      <c r="E119" s="272"/>
      <c r="F119" s="272"/>
      <c r="G119" s="128"/>
      <c r="H119" s="142"/>
      <c r="I119" s="143"/>
      <c r="J119" s="148"/>
      <c r="K119" s="28"/>
      <c r="L119" s="28"/>
      <c r="M119" s="28"/>
      <c r="N119" s="29"/>
      <c r="O119" s="142"/>
      <c r="P119" s="143"/>
      <c r="Q119" s="148"/>
      <c r="R119" s="28"/>
      <c r="S119" s="28"/>
      <c r="T119" s="28"/>
      <c r="U119" s="29"/>
      <c r="V119" s="142"/>
      <c r="W119" s="143"/>
      <c r="X119" s="148"/>
      <c r="Y119" s="28"/>
      <c r="Z119" s="28"/>
      <c r="AA119" s="28"/>
      <c r="AB119" s="29"/>
      <c r="AC119" s="142"/>
      <c r="AD119" s="143"/>
      <c r="AE119" s="148"/>
      <c r="AF119" s="28"/>
      <c r="AG119" s="28"/>
      <c r="AH119" s="28"/>
      <c r="AI119" s="29"/>
      <c r="AJ119" s="142"/>
      <c r="AK119" s="143"/>
      <c r="AL119" s="148"/>
      <c r="AM119" s="28"/>
      <c r="AN119" s="28"/>
      <c r="AO119" s="28"/>
      <c r="AP119" s="29"/>
      <c r="AQ119" s="142"/>
      <c r="AR119" s="162"/>
      <c r="AS119" s="148" t="s">
        <v>272</v>
      </c>
      <c r="AT119" s="28"/>
      <c r="AU119" s="28"/>
      <c r="AV119" s="28"/>
      <c r="AW119" s="29"/>
      <c r="AX119" s="142"/>
      <c r="AY119" s="169"/>
      <c r="AZ119" s="170"/>
      <c r="BA119" s="170"/>
      <c r="BB119" s="170"/>
      <c r="BC119" s="170"/>
      <c r="BD119" s="170"/>
      <c r="BE119" s="170"/>
      <c r="BF119" s="170"/>
      <c r="BG119" s="170"/>
      <c r="BH119" s="170"/>
      <c r="BI119" s="170"/>
      <c r="BJ119" s="170"/>
      <c r="BK119" s="170"/>
      <c r="BL119" s="170"/>
      <c r="BM119" s="170"/>
      <c r="BN119" s="170"/>
      <c r="BO119" s="172"/>
    </row>
    <row r="120" hidden="1">
      <c r="A120" s="272"/>
      <c r="B120" s="272"/>
      <c r="C120" s="272"/>
      <c r="D120" s="272"/>
      <c r="E120" s="272"/>
      <c r="F120" s="272"/>
      <c r="G120" s="128"/>
      <c r="H120" s="216"/>
      <c r="I120" s="143"/>
      <c r="J120" s="148"/>
      <c r="K120" s="28"/>
      <c r="L120" s="28"/>
      <c r="M120" s="28"/>
      <c r="N120" s="29"/>
      <c r="O120" s="142"/>
      <c r="P120" s="143"/>
      <c r="Q120" s="148"/>
      <c r="R120" s="28"/>
      <c r="S120" s="28"/>
      <c r="T120" s="28"/>
      <c r="U120" s="29"/>
      <c r="V120" s="142"/>
      <c r="W120" s="143"/>
      <c r="X120" s="148"/>
      <c r="Y120" s="28"/>
      <c r="Z120" s="28"/>
      <c r="AA120" s="28"/>
      <c r="AB120" s="29"/>
      <c r="AC120" s="142"/>
      <c r="AD120" s="143"/>
      <c r="AE120" s="148"/>
      <c r="AF120" s="28"/>
      <c r="AG120" s="28"/>
      <c r="AH120" s="28"/>
      <c r="AI120" s="29"/>
      <c r="AJ120" s="142"/>
      <c r="AK120" s="143"/>
      <c r="AL120" s="148"/>
      <c r="AM120" s="28"/>
      <c r="AN120" s="28"/>
      <c r="AO120" s="28"/>
      <c r="AP120" s="29"/>
      <c r="AQ120" s="142"/>
      <c r="AR120" s="162"/>
      <c r="AS120" s="148" t="s">
        <v>285</v>
      </c>
      <c r="AT120" s="28"/>
      <c r="AU120" s="28"/>
      <c r="AV120" s="28"/>
      <c r="AW120" s="29"/>
      <c r="AX120" s="142"/>
      <c r="AY120" s="169"/>
      <c r="AZ120" s="170"/>
      <c r="BA120" s="170"/>
      <c r="BB120" s="170"/>
      <c r="BC120" s="170"/>
      <c r="BD120" s="170"/>
      <c r="BE120" s="170"/>
      <c r="BF120" s="170"/>
      <c r="BG120" s="170"/>
      <c r="BH120" s="170"/>
      <c r="BI120" s="170"/>
      <c r="BJ120" s="170"/>
      <c r="BK120" s="170"/>
      <c r="BL120" s="170"/>
      <c r="BM120" s="170"/>
      <c r="BN120" s="170"/>
      <c r="BO120" s="172"/>
    </row>
    <row r="121" hidden="1">
      <c r="A121" s="272"/>
      <c r="B121" s="272"/>
      <c r="C121" s="272"/>
      <c r="D121" s="272"/>
      <c r="E121" s="272"/>
      <c r="F121" s="272"/>
      <c r="G121" s="128"/>
      <c r="H121" s="216"/>
      <c r="I121" s="143"/>
      <c r="J121" s="148"/>
      <c r="K121" s="28"/>
      <c r="L121" s="28"/>
      <c r="M121" s="28"/>
      <c r="N121" s="29"/>
      <c r="O121" s="142"/>
      <c r="P121" s="143"/>
      <c r="Q121" s="148"/>
      <c r="R121" s="28"/>
      <c r="S121" s="28"/>
      <c r="T121" s="28"/>
      <c r="U121" s="29"/>
      <c r="V121" s="142"/>
      <c r="W121" s="143"/>
      <c r="X121" s="148"/>
      <c r="Y121" s="28"/>
      <c r="Z121" s="28"/>
      <c r="AA121" s="28"/>
      <c r="AB121" s="29"/>
      <c r="AC121" s="142"/>
      <c r="AD121" s="143"/>
      <c r="AE121" s="148"/>
      <c r="AF121" s="28"/>
      <c r="AG121" s="28"/>
      <c r="AH121" s="28"/>
      <c r="AI121" s="29"/>
      <c r="AJ121" s="142"/>
      <c r="AK121" s="143"/>
      <c r="AL121" s="148"/>
      <c r="AM121" s="28"/>
      <c r="AN121" s="28"/>
      <c r="AO121" s="28"/>
      <c r="AP121" s="29"/>
      <c r="AQ121" s="142"/>
      <c r="AR121" s="157" t="s">
        <v>301</v>
      </c>
      <c r="AS121" s="28"/>
      <c r="AT121" s="28"/>
      <c r="AU121" s="28"/>
      <c r="AV121" s="28"/>
      <c r="AW121" s="29"/>
      <c r="AX121" s="142"/>
      <c r="AY121" s="169"/>
      <c r="AZ121" s="170"/>
      <c r="BA121" s="170"/>
      <c r="BB121" s="170"/>
      <c r="BC121" s="170"/>
      <c r="BD121" s="170"/>
      <c r="BE121" s="170"/>
      <c r="BF121" s="170"/>
      <c r="BG121" s="170"/>
      <c r="BH121" s="170"/>
      <c r="BI121" s="170"/>
      <c r="BJ121" s="170"/>
      <c r="BK121" s="170"/>
      <c r="BL121" s="170"/>
      <c r="BM121" s="170"/>
      <c r="BN121" s="170"/>
      <c r="BO121" s="172"/>
    </row>
    <row r="122" hidden="1">
      <c r="A122" s="272"/>
      <c r="B122" s="272"/>
      <c r="C122" s="272"/>
      <c r="D122" s="272"/>
      <c r="E122" s="272"/>
      <c r="F122" s="272"/>
      <c r="G122" s="128"/>
      <c r="H122" s="142"/>
      <c r="I122" s="143"/>
      <c r="J122" s="148"/>
      <c r="K122" s="28"/>
      <c r="L122" s="28"/>
      <c r="M122" s="28"/>
      <c r="N122" s="29"/>
      <c r="O122" s="142"/>
      <c r="P122" s="143"/>
      <c r="Q122" s="148"/>
      <c r="R122" s="28"/>
      <c r="S122" s="28"/>
      <c r="T122" s="28"/>
      <c r="U122" s="29"/>
      <c r="V122" s="142"/>
      <c r="W122" s="143"/>
      <c r="X122" s="148"/>
      <c r="Y122" s="28"/>
      <c r="Z122" s="28"/>
      <c r="AA122" s="28"/>
      <c r="AB122" s="29"/>
      <c r="AC122" s="142"/>
      <c r="AD122" s="143"/>
      <c r="AE122" s="148"/>
      <c r="AF122" s="28"/>
      <c r="AG122" s="28"/>
      <c r="AH122" s="28"/>
      <c r="AI122" s="29"/>
      <c r="AJ122" s="142"/>
      <c r="AK122" s="143"/>
      <c r="AL122" s="148"/>
      <c r="AM122" s="28"/>
      <c r="AN122" s="28"/>
      <c r="AO122" s="28"/>
      <c r="AP122" s="29"/>
      <c r="AQ122" s="142"/>
      <c r="AR122" s="162"/>
      <c r="AS122" s="148"/>
      <c r="AT122" s="28"/>
      <c r="AU122" s="28"/>
      <c r="AV122" s="28"/>
      <c r="AW122" s="29"/>
      <c r="AX122" s="142"/>
      <c r="AY122" s="169"/>
      <c r="AZ122" s="170"/>
      <c r="BA122" s="170"/>
      <c r="BB122" s="170"/>
      <c r="BC122" s="170"/>
      <c r="BD122" s="170"/>
      <c r="BE122" s="170"/>
      <c r="BF122" s="170"/>
      <c r="BG122" s="170"/>
      <c r="BH122" s="170"/>
      <c r="BI122" s="170"/>
      <c r="BJ122" s="170"/>
      <c r="BK122" s="170"/>
      <c r="BL122" s="170"/>
      <c r="BM122" s="170"/>
      <c r="BN122" s="170"/>
      <c r="BO122" s="172"/>
    </row>
    <row r="123" hidden="1">
      <c r="A123" s="272"/>
      <c r="B123" s="272"/>
      <c r="C123" s="272"/>
      <c r="D123" s="272"/>
      <c r="E123" s="272"/>
      <c r="F123" s="272"/>
      <c r="G123" s="128"/>
      <c r="H123" s="142"/>
      <c r="I123" s="143"/>
      <c r="J123" s="148"/>
      <c r="K123" s="28"/>
      <c r="L123" s="28"/>
      <c r="M123" s="28"/>
      <c r="N123" s="29"/>
      <c r="O123" s="142"/>
      <c r="P123" s="143"/>
      <c r="Q123" s="148"/>
      <c r="R123" s="28"/>
      <c r="S123" s="28"/>
      <c r="T123" s="28"/>
      <c r="U123" s="29"/>
      <c r="V123" s="142"/>
      <c r="W123" s="143"/>
      <c r="X123" s="148"/>
      <c r="Y123" s="28"/>
      <c r="Z123" s="28"/>
      <c r="AA123" s="28"/>
      <c r="AB123" s="29"/>
      <c r="AC123" s="142"/>
      <c r="AD123" s="143"/>
      <c r="AE123" s="148"/>
      <c r="AF123" s="28"/>
      <c r="AG123" s="28"/>
      <c r="AH123" s="28"/>
      <c r="AI123" s="29"/>
      <c r="AJ123" s="142"/>
      <c r="AK123" s="143"/>
      <c r="AL123" s="148"/>
      <c r="AM123" s="28"/>
      <c r="AN123" s="28"/>
      <c r="AO123" s="28"/>
      <c r="AP123" s="29"/>
      <c r="AQ123" s="142"/>
      <c r="AR123" s="162"/>
      <c r="AS123" s="148"/>
      <c r="AT123" s="28"/>
      <c r="AU123" s="28"/>
      <c r="AV123" s="28"/>
      <c r="AW123" s="29"/>
      <c r="AX123" s="142"/>
      <c r="AY123" s="169"/>
      <c r="AZ123" s="170"/>
      <c r="BA123" s="170"/>
      <c r="BB123" s="170"/>
      <c r="BC123" s="170"/>
      <c r="BD123" s="170"/>
      <c r="BE123" s="170"/>
      <c r="BF123" s="170"/>
      <c r="BG123" s="170"/>
      <c r="BH123" s="170"/>
      <c r="BI123" s="170"/>
      <c r="BJ123" s="170"/>
      <c r="BK123" s="170"/>
      <c r="BL123" s="170"/>
      <c r="BM123" s="170"/>
      <c r="BN123" s="170"/>
      <c r="BO123" s="172"/>
    </row>
    <row r="124" hidden="1">
      <c r="A124" s="272"/>
      <c r="B124" s="272"/>
      <c r="C124" s="272"/>
      <c r="D124" s="272"/>
      <c r="E124" s="272"/>
      <c r="F124" s="272"/>
      <c r="G124" s="128"/>
      <c r="H124" s="142"/>
      <c r="I124" s="143"/>
      <c r="J124" s="148"/>
      <c r="K124" s="28"/>
      <c r="L124" s="28"/>
      <c r="M124" s="28"/>
      <c r="N124" s="29"/>
      <c r="O124" s="142"/>
      <c r="P124" s="143"/>
      <c r="Q124" s="148"/>
      <c r="R124" s="28"/>
      <c r="S124" s="28"/>
      <c r="T124" s="28"/>
      <c r="U124" s="29"/>
      <c r="V124" s="142"/>
      <c r="W124" s="143"/>
      <c r="X124" s="148"/>
      <c r="Y124" s="28"/>
      <c r="Z124" s="28"/>
      <c r="AA124" s="28"/>
      <c r="AB124" s="29"/>
      <c r="AC124" s="142"/>
      <c r="AD124" s="143"/>
      <c r="AE124" s="148"/>
      <c r="AF124" s="28"/>
      <c r="AG124" s="28"/>
      <c r="AH124" s="28"/>
      <c r="AI124" s="29"/>
      <c r="AJ124" s="142"/>
      <c r="AK124" s="143"/>
      <c r="AL124" s="148"/>
      <c r="AM124" s="28"/>
      <c r="AN124" s="28"/>
      <c r="AO124" s="28"/>
      <c r="AP124" s="29"/>
      <c r="AQ124" s="142"/>
      <c r="AR124" s="162"/>
      <c r="AS124" s="148"/>
      <c r="AT124" s="28"/>
      <c r="AU124" s="28"/>
      <c r="AV124" s="28"/>
      <c r="AW124" s="29"/>
      <c r="AX124" s="142"/>
      <c r="AY124" s="400"/>
      <c r="AZ124" s="401"/>
      <c r="BA124" s="401"/>
      <c r="BB124" s="401"/>
      <c r="BC124" s="401"/>
      <c r="BD124" s="401"/>
      <c r="BE124" s="401"/>
      <c r="BF124" s="401"/>
      <c r="BG124" s="401"/>
      <c r="BH124" s="401"/>
      <c r="BI124" s="401"/>
      <c r="BJ124" s="401"/>
      <c r="BK124" s="401"/>
      <c r="BL124" s="401"/>
      <c r="BM124" s="401"/>
      <c r="BN124" s="401"/>
      <c r="BO124" s="403"/>
    </row>
    <row r="125" hidden="1">
      <c r="A125" s="272"/>
      <c r="B125" s="272"/>
      <c r="C125" s="272"/>
      <c r="D125" s="272"/>
      <c r="E125" s="272"/>
      <c r="F125" s="272"/>
      <c r="G125" s="128"/>
      <c r="H125" s="404"/>
      <c r="I125" s="404"/>
      <c r="J125" s="404"/>
      <c r="K125" s="404"/>
      <c r="L125" s="86"/>
      <c r="M125" s="86"/>
      <c r="N125" s="86"/>
      <c r="O125" s="128"/>
      <c r="P125" s="86"/>
      <c r="Q125" s="86"/>
      <c r="R125" s="86"/>
      <c r="S125" s="86"/>
      <c r="T125" s="86"/>
      <c r="U125" s="86"/>
      <c r="V125" s="128"/>
      <c r="W125" s="86"/>
      <c r="X125" s="86"/>
      <c r="Y125" s="86"/>
      <c r="Z125" s="86"/>
      <c r="AA125" s="86"/>
      <c r="AB125" s="86"/>
      <c r="AC125" s="128"/>
      <c r="AD125" s="86"/>
      <c r="AE125" s="86"/>
      <c r="AF125" s="86"/>
      <c r="AG125" s="86"/>
      <c r="AH125" s="86"/>
      <c r="AI125" s="86"/>
      <c r="AJ125" s="128"/>
      <c r="AK125" s="86"/>
      <c r="AL125" s="86"/>
      <c r="AM125" s="86"/>
      <c r="AN125" s="86"/>
      <c r="AO125" s="86"/>
      <c r="AP125" s="86"/>
      <c r="AQ125" s="128"/>
      <c r="AR125" s="86"/>
      <c r="AS125" s="86"/>
      <c r="AT125" s="86"/>
      <c r="AU125" s="86"/>
      <c r="AV125" s="86"/>
      <c r="AW125" s="86"/>
      <c r="AX125" s="86"/>
      <c r="AY125" s="86"/>
      <c r="AZ125" s="86"/>
      <c r="BA125" s="86"/>
      <c r="BB125" s="86"/>
      <c r="BC125" s="86"/>
      <c r="BD125" s="86"/>
      <c r="BE125" s="86"/>
      <c r="BF125" s="86"/>
      <c r="BG125" s="86"/>
      <c r="BH125" s="86"/>
      <c r="BI125" s="86"/>
      <c r="BJ125" s="86"/>
      <c r="BK125" s="86"/>
      <c r="BL125" s="86"/>
      <c r="BM125" s="86"/>
      <c r="BN125" s="86"/>
      <c r="BO125" s="86"/>
    </row>
    <row r="126" hidden="1">
      <c r="A126" s="52"/>
      <c r="B126" s="56" t="s">
        <v>847</v>
      </c>
      <c r="C126" s="60"/>
      <c r="D126" s="60"/>
      <c r="E126" s="60"/>
      <c r="F126" s="60"/>
      <c r="G126" s="63"/>
      <c r="H126" s="70" t="s">
        <v>848</v>
      </c>
      <c r="I126" s="72"/>
      <c r="J126" s="72"/>
      <c r="K126" s="72"/>
      <c r="L126" s="72"/>
      <c r="M126" s="72"/>
      <c r="N126" s="72"/>
      <c r="O126" s="72"/>
      <c r="P126" s="72"/>
      <c r="Q126" s="72"/>
      <c r="R126" s="72"/>
      <c r="S126" s="72"/>
      <c r="T126" s="72"/>
      <c r="U126" s="72"/>
      <c r="V126" s="72"/>
      <c r="W126" s="72"/>
      <c r="X126" s="72"/>
      <c r="Y126" s="72"/>
      <c r="Z126" s="72"/>
      <c r="AA126" s="72"/>
      <c r="AB126" s="72"/>
      <c r="AC126" s="76" t="s">
        <v>48</v>
      </c>
      <c r="AD126" s="72"/>
      <c r="AE126" s="72"/>
      <c r="AF126" s="72"/>
      <c r="AG126" s="72"/>
      <c r="AH126" s="72"/>
      <c r="AI126" s="72"/>
      <c r="AJ126" s="72"/>
      <c r="AK126" s="72"/>
      <c r="AL126" s="72"/>
      <c r="AM126" s="72"/>
      <c r="AN126" s="72"/>
      <c r="AO126" s="72"/>
      <c r="AP126" s="72"/>
      <c r="AQ126" s="72"/>
      <c r="AR126" s="72"/>
      <c r="AS126" s="72"/>
      <c r="AT126" s="76"/>
      <c r="AU126" s="72"/>
      <c r="AV126" s="72"/>
      <c r="AW126" s="72"/>
      <c r="AX126" s="72"/>
      <c r="AY126" s="72"/>
      <c r="AZ126" s="72"/>
      <c r="BA126" s="72"/>
      <c r="BB126" s="72"/>
      <c r="BC126" s="72"/>
      <c r="BD126" s="72"/>
      <c r="BE126" s="72"/>
      <c r="BF126" s="72"/>
      <c r="BG126" s="72"/>
      <c r="BH126" s="72"/>
      <c r="BI126" s="72"/>
      <c r="BJ126" s="72"/>
      <c r="BK126" s="72"/>
      <c r="BL126" s="72"/>
      <c r="BM126" s="72"/>
      <c r="BN126" s="72"/>
      <c r="BO126" s="83"/>
    </row>
    <row r="127" hidden="1">
      <c r="A127" s="52"/>
      <c r="B127" s="86"/>
      <c r="C127" s="86"/>
      <c r="D127" s="86"/>
      <c r="E127" s="86"/>
      <c r="F127" s="86"/>
      <c r="G127" s="86"/>
      <c r="H127" s="52"/>
      <c r="I127" s="95" t="s">
        <v>52</v>
      </c>
      <c r="J127" s="96"/>
      <c r="K127" s="96"/>
      <c r="L127" s="96"/>
      <c r="M127" s="96"/>
      <c r="N127" s="103" t="str">
        <f>"DC "&amp;10+$G130+B133</f>
        <v>DC 18</v>
      </c>
      <c r="O127" s="105"/>
      <c r="P127" s="95" t="s">
        <v>66</v>
      </c>
      <c r="Q127" s="96"/>
      <c r="R127" s="96"/>
      <c r="S127" s="96"/>
      <c r="T127" s="96"/>
      <c r="U127" s="113" t="str">
        <f>"DC "&amp;10+$G130+B134</f>
        <v>DC 19</v>
      </c>
      <c r="V127" s="105"/>
      <c r="W127" s="95" t="s">
        <v>70</v>
      </c>
      <c r="X127" s="96"/>
      <c r="Y127" s="96"/>
      <c r="Z127" s="96"/>
      <c r="AA127" s="96"/>
      <c r="AB127" s="113" t="str">
        <f>"DC "&amp;10+$G130+B135</f>
        <v>DC 20</v>
      </c>
      <c r="AC127" s="105"/>
      <c r="AD127" s="95" t="s">
        <v>74</v>
      </c>
      <c r="AE127" s="96"/>
      <c r="AF127" s="96"/>
      <c r="AG127" s="96"/>
      <c r="AH127" s="96"/>
      <c r="AI127" s="113" t="str">
        <f>"DC "&amp;10+$G130+B136</f>
        <v>DC 21</v>
      </c>
      <c r="AJ127" s="105"/>
      <c r="AK127" s="95" t="s">
        <v>77</v>
      </c>
      <c r="AL127" s="96"/>
      <c r="AM127" s="96"/>
      <c r="AN127" s="96"/>
      <c r="AO127" s="96"/>
      <c r="AP127" s="113" t="str">
        <f>"DC "&amp;10+$G130+B137</f>
        <v>DC 22</v>
      </c>
      <c r="AQ127" s="105"/>
      <c r="AR127" s="126" t="s">
        <v>82</v>
      </c>
      <c r="AS127" s="128"/>
      <c r="AT127" s="128"/>
      <c r="AU127" s="128"/>
      <c r="AV127" s="128"/>
      <c r="AW127" s="128"/>
      <c r="AX127" s="105"/>
      <c r="AY127" s="130"/>
      <c r="AZ127" s="131"/>
      <c r="BA127" s="131"/>
      <c r="BB127" s="131"/>
      <c r="BC127" s="131"/>
      <c r="BD127" s="131"/>
      <c r="BE127" s="131"/>
      <c r="BF127" s="130"/>
      <c r="BG127" s="130" t="s">
        <v>86</v>
      </c>
      <c r="BH127" s="131"/>
      <c r="BI127" s="131"/>
      <c r="BJ127" s="131"/>
      <c r="BK127" s="131"/>
      <c r="BL127" s="131"/>
      <c r="BM127" s="131"/>
      <c r="BN127" s="131"/>
      <c r="BO127" s="135"/>
    </row>
    <row r="128" hidden="1">
      <c r="A128" s="52"/>
      <c r="B128" s="138"/>
      <c r="C128" s="67"/>
      <c r="D128" s="67"/>
      <c r="E128" s="67"/>
      <c r="F128" s="67"/>
      <c r="G128" s="69"/>
      <c r="H128" s="142"/>
      <c r="I128" s="143"/>
      <c r="J128" s="148"/>
      <c r="K128" s="28"/>
      <c r="L128" s="28"/>
      <c r="M128" s="28"/>
      <c r="N128" s="29"/>
      <c r="O128" s="142"/>
      <c r="P128" s="143"/>
      <c r="Q128" s="148"/>
      <c r="R128" s="28"/>
      <c r="S128" s="28"/>
      <c r="T128" s="28"/>
      <c r="U128" s="29"/>
      <c r="V128" s="142"/>
      <c r="W128" s="143"/>
      <c r="X128" s="148"/>
      <c r="Y128" s="28"/>
      <c r="Z128" s="28"/>
      <c r="AA128" s="28"/>
      <c r="AB128" s="29"/>
      <c r="AC128" s="142"/>
      <c r="AD128" s="143"/>
      <c r="AE128" s="148"/>
      <c r="AF128" s="28"/>
      <c r="AG128" s="28"/>
      <c r="AH128" s="28"/>
      <c r="AI128" s="29"/>
      <c r="AJ128" s="142"/>
      <c r="AK128" s="143"/>
      <c r="AL128" s="148"/>
      <c r="AM128" s="28"/>
      <c r="AN128" s="28"/>
      <c r="AO128" s="28"/>
      <c r="AP128" s="29"/>
      <c r="AQ128" s="142"/>
      <c r="AR128" s="157" t="s">
        <v>106</v>
      </c>
      <c r="AS128" s="28"/>
      <c r="AT128" s="28"/>
      <c r="AU128" s="28"/>
      <c r="AV128" s="28"/>
      <c r="AW128" s="29"/>
      <c r="AX128" s="142"/>
      <c r="AY128" s="428"/>
      <c r="AZ128" s="159"/>
      <c r="BA128" s="159"/>
      <c r="BB128" s="159"/>
      <c r="BC128" s="159"/>
      <c r="BD128" s="159"/>
      <c r="BE128" s="159"/>
      <c r="BF128" s="159"/>
      <c r="BG128" s="159"/>
      <c r="BH128" s="159"/>
      <c r="BI128" s="159"/>
      <c r="BJ128" s="159"/>
      <c r="BK128" s="159"/>
      <c r="BL128" s="159"/>
      <c r="BM128" s="159"/>
      <c r="BN128" s="159"/>
      <c r="BO128" s="161"/>
    </row>
    <row r="129" hidden="1">
      <c r="A129" s="52"/>
      <c r="B129" s="111"/>
      <c r="C129" s="114"/>
      <c r="D129" s="114"/>
      <c r="E129" s="114"/>
      <c r="F129" s="114"/>
      <c r="G129" s="68"/>
      <c r="H129" s="142"/>
      <c r="I129" s="143"/>
      <c r="J129" s="148"/>
      <c r="K129" s="28"/>
      <c r="L129" s="28"/>
      <c r="M129" s="28"/>
      <c r="N129" s="29"/>
      <c r="O129" s="142"/>
      <c r="P129" s="143"/>
      <c r="Q129" s="148"/>
      <c r="R129" s="28"/>
      <c r="S129" s="28"/>
      <c r="T129" s="28"/>
      <c r="U129" s="29"/>
      <c r="V129" s="142"/>
      <c r="W129" s="143"/>
      <c r="X129" s="148"/>
      <c r="Y129" s="28"/>
      <c r="Z129" s="28"/>
      <c r="AA129" s="28"/>
      <c r="AB129" s="29"/>
      <c r="AC129" s="142"/>
      <c r="AD129" s="143"/>
      <c r="AE129" s="148"/>
      <c r="AF129" s="28"/>
      <c r="AG129" s="28"/>
      <c r="AH129" s="28"/>
      <c r="AI129" s="29"/>
      <c r="AJ129" s="142"/>
      <c r="AK129" s="143"/>
      <c r="AL129" s="148"/>
      <c r="AM129" s="28"/>
      <c r="AN129" s="28"/>
      <c r="AO129" s="28"/>
      <c r="AP129" s="29"/>
      <c r="AQ129" s="142"/>
      <c r="AR129" s="162"/>
      <c r="AS129" s="148"/>
      <c r="AT129" s="28"/>
      <c r="AU129" s="28"/>
      <c r="AV129" s="28"/>
      <c r="AW129" s="29"/>
      <c r="AX129" s="142"/>
      <c r="AY129" s="169"/>
      <c r="AZ129" s="170"/>
      <c r="BA129" s="170"/>
      <c r="BB129" s="170"/>
      <c r="BC129" s="170"/>
      <c r="BD129" s="170"/>
      <c r="BE129" s="170"/>
      <c r="BF129" s="170"/>
      <c r="BG129" s="170"/>
      <c r="BH129" s="170"/>
      <c r="BI129" s="170"/>
      <c r="BJ129" s="170"/>
      <c r="BK129" s="170"/>
      <c r="BL129" s="170"/>
      <c r="BM129" s="170"/>
      <c r="BN129" s="170"/>
      <c r="BO129" s="172"/>
    </row>
    <row r="130" hidden="1">
      <c r="A130" s="52"/>
      <c r="B130" s="173" t="s">
        <v>113</v>
      </c>
      <c r="C130" s="23"/>
      <c r="D130" s="173" t="s">
        <v>114</v>
      </c>
      <c r="E130" s="23"/>
      <c r="F130" s="24"/>
      <c r="G130" s="178">
        <f>VLOOKUP(D130,'Main Sheet'!$E$9:$G$14,3,false)</f>
        <v>8</v>
      </c>
      <c r="H130" s="142"/>
      <c r="I130" s="143"/>
      <c r="J130" s="148"/>
      <c r="K130" s="28"/>
      <c r="L130" s="28"/>
      <c r="M130" s="28"/>
      <c r="N130" s="29"/>
      <c r="O130" s="142"/>
      <c r="P130" s="143"/>
      <c r="Q130" s="148"/>
      <c r="R130" s="28"/>
      <c r="S130" s="28"/>
      <c r="T130" s="28"/>
      <c r="U130" s="29"/>
      <c r="V130" s="142"/>
      <c r="W130" s="143"/>
      <c r="X130" s="148"/>
      <c r="Y130" s="28"/>
      <c r="Z130" s="28"/>
      <c r="AA130" s="28"/>
      <c r="AB130" s="29"/>
      <c r="AC130" s="142"/>
      <c r="AD130" s="143"/>
      <c r="AE130" s="148"/>
      <c r="AF130" s="28"/>
      <c r="AG130" s="28"/>
      <c r="AH130" s="28"/>
      <c r="AI130" s="29"/>
      <c r="AJ130" s="142"/>
      <c r="AK130" s="143"/>
      <c r="AL130" s="148"/>
      <c r="AM130" s="28"/>
      <c r="AN130" s="28"/>
      <c r="AO130" s="28"/>
      <c r="AP130" s="29"/>
      <c r="AQ130" s="142"/>
      <c r="AR130" s="162"/>
      <c r="AS130" s="148"/>
      <c r="AT130" s="28"/>
      <c r="AU130" s="28"/>
      <c r="AV130" s="28"/>
      <c r="AW130" s="29"/>
      <c r="AX130" s="142"/>
      <c r="AY130" s="169"/>
      <c r="AZ130" s="170"/>
      <c r="BA130" s="170"/>
      <c r="BB130" s="170"/>
      <c r="BC130" s="170"/>
      <c r="BD130" s="170"/>
      <c r="BE130" s="170"/>
      <c r="BF130" s="170"/>
      <c r="BG130" s="170"/>
      <c r="BH130" s="170"/>
      <c r="BI130" s="170"/>
      <c r="BJ130" s="170"/>
      <c r="BK130" s="170"/>
      <c r="BL130" s="170"/>
      <c r="BM130" s="170"/>
      <c r="BN130" s="170"/>
      <c r="BO130" s="172"/>
    </row>
    <row r="131" hidden="1">
      <c r="A131" s="52"/>
      <c r="B131" s="52"/>
      <c r="C131" s="52"/>
      <c r="D131" s="128"/>
      <c r="E131" s="128"/>
      <c r="F131" s="128"/>
      <c r="G131" s="128"/>
      <c r="H131" s="52"/>
      <c r="I131" s="143"/>
      <c r="J131" s="148"/>
      <c r="K131" s="28"/>
      <c r="L131" s="28"/>
      <c r="M131" s="28"/>
      <c r="N131" s="29"/>
      <c r="O131" s="142"/>
      <c r="P131" s="143"/>
      <c r="Q131" s="148"/>
      <c r="R131" s="28"/>
      <c r="S131" s="28"/>
      <c r="T131" s="28"/>
      <c r="U131" s="29"/>
      <c r="V131" s="142"/>
      <c r="W131" s="143"/>
      <c r="X131" s="148"/>
      <c r="Y131" s="28"/>
      <c r="Z131" s="28"/>
      <c r="AA131" s="28"/>
      <c r="AB131" s="29"/>
      <c r="AC131" s="142"/>
      <c r="AD131" s="143"/>
      <c r="AE131" s="148"/>
      <c r="AF131" s="28"/>
      <c r="AG131" s="28"/>
      <c r="AH131" s="28"/>
      <c r="AI131" s="29"/>
      <c r="AJ131" s="142"/>
      <c r="AK131" s="143"/>
      <c r="AL131" s="148"/>
      <c r="AM131" s="28"/>
      <c r="AN131" s="28"/>
      <c r="AO131" s="28"/>
      <c r="AP131" s="29"/>
      <c r="AQ131" s="142"/>
      <c r="AR131" s="162"/>
      <c r="AS131" s="148"/>
      <c r="AT131" s="28"/>
      <c r="AU131" s="28"/>
      <c r="AV131" s="28"/>
      <c r="AW131" s="29"/>
      <c r="AX131" s="142"/>
      <c r="AY131" s="169"/>
      <c r="AZ131" s="170"/>
      <c r="BA131" s="170"/>
      <c r="BB131" s="170"/>
      <c r="BC131" s="170"/>
      <c r="BD131" s="170"/>
      <c r="BE131" s="170"/>
      <c r="BF131" s="170"/>
      <c r="BG131" s="170"/>
      <c r="BH131" s="170"/>
      <c r="BI131" s="170"/>
      <c r="BJ131" s="170"/>
      <c r="BK131" s="170"/>
      <c r="BL131" s="170"/>
      <c r="BM131" s="170"/>
      <c r="BN131" s="170"/>
      <c r="BO131" s="172"/>
    </row>
    <row r="132" hidden="1">
      <c r="A132" s="52"/>
      <c r="B132" s="193" t="s">
        <v>17</v>
      </c>
      <c r="C132" s="24"/>
      <c r="D132" s="193" t="s">
        <v>135</v>
      </c>
      <c r="E132" s="24"/>
      <c r="F132" s="729" t="s">
        <v>868</v>
      </c>
      <c r="G132" s="24"/>
      <c r="H132" s="142"/>
      <c r="I132" s="143"/>
      <c r="J132" s="148"/>
      <c r="K132" s="28"/>
      <c r="L132" s="28"/>
      <c r="M132" s="28"/>
      <c r="N132" s="29"/>
      <c r="O132" s="142"/>
      <c r="P132" s="143"/>
      <c r="Q132" s="148"/>
      <c r="R132" s="28"/>
      <c r="S132" s="28"/>
      <c r="T132" s="28"/>
      <c r="U132" s="29"/>
      <c r="V132" s="142"/>
      <c r="W132" s="143"/>
      <c r="X132" s="148"/>
      <c r="Y132" s="28"/>
      <c r="Z132" s="28"/>
      <c r="AA132" s="28"/>
      <c r="AB132" s="29"/>
      <c r="AC132" s="142"/>
      <c r="AD132" s="143"/>
      <c r="AE132" s="148"/>
      <c r="AF132" s="28"/>
      <c r="AG132" s="28"/>
      <c r="AH132" s="28"/>
      <c r="AI132" s="29"/>
      <c r="AJ132" s="142"/>
      <c r="AK132" s="143"/>
      <c r="AL132" s="148"/>
      <c r="AM132" s="28"/>
      <c r="AN132" s="28"/>
      <c r="AO132" s="28"/>
      <c r="AP132" s="29"/>
      <c r="AQ132" s="142"/>
      <c r="AR132" s="162"/>
      <c r="AS132" s="148"/>
      <c r="AT132" s="28"/>
      <c r="AU132" s="28"/>
      <c r="AV132" s="28"/>
      <c r="AW132" s="29"/>
      <c r="AX132" s="142"/>
      <c r="AY132" s="169"/>
      <c r="AZ132" s="170"/>
      <c r="BA132" s="170"/>
      <c r="BB132" s="170"/>
      <c r="BC132" s="170"/>
      <c r="BD132" s="170"/>
      <c r="BE132" s="170"/>
      <c r="BF132" s="170"/>
      <c r="BG132" s="170"/>
      <c r="BH132" s="170"/>
      <c r="BI132" s="170"/>
      <c r="BJ132" s="170"/>
      <c r="BK132" s="170"/>
      <c r="BL132" s="170"/>
      <c r="BM132" s="170"/>
      <c r="BN132" s="170"/>
      <c r="BO132" s="172"/>
    </row>
    <row r="133" hidden="1">
      <c r="A133" s="52"/>
      <c r="B133" s="193">
        <v>0.0</v>
      </c>
      <c r="C133" s="24"/>
      <c r="D133" s="193" t="str">
        <f t="array" ref="D133">iferror(OFFSET(INDIRECT("'Class Charts'!" &amp; VLOOKUP($B128,'Class Charts'!$B:$N,10,False)),$D144,$B133),)</f>
        <v/>
      </c>
      <c r="E133" s="24"/>
      <c r="F133" s="732">
        <f>if(VLOOKUP($B128,'Class Charts'!$B:$N,10,False)="$C$541",VLOOKUP("Full caster",'Class Charts'!A542:U544,D144+1,false),if(VLOOKUP($B128,'Class Charts'!$B:$N,10,False)="$B$541",VLOOKUP("3/4-caster",'Class Charts'!A542:U544,D144+1,false), if(VLOOKUP($B128,'Class Charts'!$B:$N,10,False)="$B$590",VLOOKUP("1/2-caster",'Class Charts'!A542:U544,D144+1,false),0)))+F135</f>
        <v>0</v>
      </c>
      <c r="G133" s="24"/>
      <c r="H133" s="142"/>
      <c r="I133" s="143"/>
      <c r="J133" s="148"/>
      <c r="K133" s="28"/>
      <c r="L133" s="28"/>
      <c r="M133" s="28"/>
      <c r="N133" s="29"/>
      <c r="O133" s="142"/>
      <c r="P133" s="143"/>
      <c r="Q133" s="148"/>
      <c r="R133" s="28"/>
      <c r="S133" s="28"/>
      <c r="T133" s="28"/>
      <c r="U133" s="29"/>
      <c r="V133" s="142"/>
      <c r="W133" s="143"/>
      <c r="X133" s="148"/>
      <c r="Y133" s="28"/>
      <c r="Z133" s="28"/>
      <c r="AA133" s="28"/>
      <c r="AB133" s="29"/>
      <c r="AC133" s="142"/>
      <c r="AD133" s="143"/>
      <c r="AE133" s="148"/>
      <c r="AF133" s="28"/>
      <c r="AG133" s="28"/>
      <c r="AH133" s="28"/>
      <c r="AI133" s="29"/>
      <c r="AJ133" s="142"/>
      <c r="AK133" s="143"/>
      <c r="AL133" s="148"/>
      <c r="AM133" s="28"/>
      <c r="AN133" s="28"/>
      <c r="AO133" s="28"/>
      <c r="AP133" s="29"/>
      <c r="AQ133" s="142"/>
      <c r="AR133" s="157" t="s">
        <v>148</v>
      </c>
      <c r="AS133" s="28"/>
      <c r="AT133" s="28"/>
      <c r="AU133" s="28"/>
      <c r="AV133" s="28"/>
      <c r="AW133" s="29"/>
      <c r="AX133" s="142"/>
      <c r="AY133" s="169"/>
      <c r="AZ133" s="170"/>
      <c r="BA133" s="170"/>
      <c r="BB133" s="170"/>
      <c r="BC133" s="170"/>
      <c r="BD133" s="170"/>
      <c r="BE133" s="170"/>
      <c r="BF133" s="170"/>
      <c r="BG133" s="170"/>
      <c r="BH133" s="170"/>
      <c r="BI133" s="170"/>
      <c r="BJ133" s="170"/>
      <c r="BK133" s="170"/>
      <c r="BL133" s="170"/>
      <c r="BM133" s="170"/>
      <c r="BN133" s="170"/>
      <c r="BO133" s="172"/>
    </row>
    <row r="134" hidden="1">
      <c r="A134" s="52"/>
      <c r="B134" s="193">
        <v>1.0</v>
      </c>
      <c r="C134" s="24"/>
      <c r="D134" s="193" t="str">
        <f t="array" ref="D134">iferror(OFFSET(INDIRECT("'Class Charts'!" &amp; VLOOKUP($B128,'Class Charts'!$B:$N,10,False)),$D144,$B134),)</f>
        <v/>
      </c>
      <c r="E134" s="24"/>
      <c r="F134" s="795" t="s">
        <v>878</v>
      </c>
      <c r="G134" s="24"/>
      <c r="H134" s="142"/>
      <c r="I134" s="143"/>
      <c r="J134" s="148"/>
      <c r="K134" s="28"/>
      <c r="L134" s="28"/>
      <c r="M134" s="28"/>
      <c r="N134" s="29"/>
      <c r="O134" s="142"/>
      <c r="P134" s="143"/>
      <c r="Q134" s="148"/>
      <c r="R134" s="28"/>
      <c r="S134" s="28"/>
      <c r="T134" s="28"/>
      <c r="U134" s="29"/>
      <c r="V134" s="142"/>
      <c r="W134" s="143"/>
      <c r="X134" s="148"/>
      <c r="Y134" s="28"/>
      <c r="Z134" s="28"/>
      <c r="AA134" s="28"/>
      <c r="AB134" s="29"/>
      <c r="AC134" s="142"/>
      <c r="AD134" s="143"/>
      <c r="AE134" s="148"/>
      <c r="AF134" s="28"/>
      <c r="AG134" s="28"/>
      <c r="AH134" s="28"/>
      <c r="AI134" s="29"/>
      <c r="AJ134" s="142"/>
      <c r="AK134" s="143"/>
      <c r="AL134" s="148"/>
      <c r="AM134" s="28"/>
      <c r="AN134" s="28"/>
      <c r="AO134" s="28"/>
      <c r="AP134" s="29"/>
      <c r="AQ134" s="142"/>
      <c r="AR134" s="162"/>
      <c r="AS134" s="148"/>
      <c r="AT134" s="28"/>
      <c r="AU134" s="28"/>
      <c r="AV134" s="28"/>
      <c r="AW134" s="29"/>
      <c r="AX134" s="142"/>
      <c r="AY134" s="169"/>
      <c r="AZ134" s="170"/>
      <c r="BA134" s="170"/>
      <c r="BB134" s="170"/>
      <c r="BC134" s="170"/>
      <c r="BD134" s="170"/>
      <c r="BE134" s="170"/>
      <c r="BF134" s="170"/>
      <c r="BG134" s="170"/>
      <c r="BH134" s="170"/>
      <c r="BI134" s="170"/>
      <c r="BJ134" s="170"/>
      <c r="BK134" s="170"/>
      <c r="BL134" s="170"/>
      <c r="BM134" s="170"/>
      <c r="BN134" s="170"/>
      <c r="BO134" s="172"/>
    </row>
    <row r="135" hidden="1">
      <c r="A135" s="52"/>
      <c r="B135" s="193">
        <v>2.0</v>
      </c>
      <c r="C135" s="24"/>
      <c r="D135" s="193" t="str">
        <f t="array" ref="D135">iferror(OFFSET(INDIRECT("'Class Charts'!" &amp; VLOOKUP($B128,'Class Charts'!$B:$N,10,False)),$D144,$B135),)</f>
        <v/>
      </c>
      <c r="E135" s="24"/>
      <c r="F135" s="796"/>
      <c r="G135" s="24"/>
      <c r="H135" s="142"/>
      <c r="I135" s="143"/>
      <c r="J135" s="148"/>
      <c r="K135" s="28"/>
      <c r="L135" s="28"/>
      <c r="M135" s="28"/>
      <c r="N135" s="29"/>
      <c r="O135" s="142"/>
      <c r="P135" s="143"/>
      <c r="Q135" s="148"/>
      <c r="R135" s="28"/>
      <c r="S135" s="28"/>
      <c r="T135" s="28"/>
      <c r="U135" s="29"/>
      <c r="V135" s="142"/>
      <c r="W135" s="143"/>
      <c r="X135" s="148"/>
      <c r="Y135" s="28"/>
      <c r="Z135" s="28"/>
      <c r="AA135" s="28"/>
      <c r="AB135" s="29"/>
      <c r="AC135" s="142"/>
      <c r="AD135" s="143"/>
      <c r="AE135" s="148"/>
      <c r="AF135" s="28"/>
      <c r="AG135" s="28"/>
      <c r="AH135" s="28"/>
      <c r="AI135" s="29"/>
      <c r="AJ135" s="142"/>
      <c r="AK135" s="143"/>
      <c r="AL135" s="148"/>
      <c r="AM135" s="28"/>
      <c r="AN135" s="28"/>
      <c r="AO135" s="28"/>
      <c r="AP135" s="29"/>
      <c r="AQ135" s="142"/>
      <c r="AR135" s="162"/>
      <c r="AS135" s="148"/>
      <c r="AT135" s="28"/>
      <c r="AU135" s="28"/>
      <c r="AV135" s="28"/>
      <c r="AW135" s="29"/>
      <c r="AX135" s="142"/>
      <c r="AY135" s="169"/>
      <c r="AZ135" s="170"/>
      <c r="BA135" s="170"/>
      <c r="BB135" s="170"/>
      <c r="BC135" s="170"/>
      <c r="BD135" s="170"/>
      <c r="BE135" s="170"/>
      <c r="BF135" s="170"/>
      <c r="BG135" s="170"/>
      <c r="BH135" s="170"/>
      <c r="BI135" s="170"/>
      <c r="BJ135" s="170"/>
      <c r="BK135" s="170"/>
      <c r="BL135" s="170"/>
      <c r="BM135" s="170"/>
      <c r="BN135" s="170"/>
      <c r="BO135" s="172"/>
    </row>
    <row r="136" hidden="1">
      <c r="A136" s="52"/>
      <c r="B136" s="193">
        <v>3.0</v>
      </c>
      <c r="C136" s="24"/>
      <c r="D136" s="193" t="str">
        <f t="array" ref="D136">iferror(OFFSET(INDIRECT("'Class Charts'!" &amp; VLOOKUP($B128,'Class Charts'!$B:$N,10,False)),$D144,$B136),)</f>
        <v/>
      </c>
      <c r="E136" s="24"/>
      <c r="F136" s="128"/>
      <c r="G136" s="128"/>
      <c r="H136" s="142"/>
      <c r="I136" s="143"/>
      <c r="J136" s="148"/>
      <c r="K136" s="28"/>
      <c r="L136" s="28"/>
      <c r="M136" s="28"/>
      <c r="N136" s="29"/>
      <c r="O136" s="142"/>
      <c r="P136" s="143"/>
      <c r="Q136" s="148"/>
      <c r="R136" s="28"/>
      <c r="S136" s="28"/>
      <c r="T136" s="28"/>
      <c r="U136" s="29"/>
      <c r="V136" s="142"/>
      <c r="W136" s="143"/>
      <c r="X136" s="148"/>
      <c r="Y136" s="28"/>
      <c r="Z136" s="28"/>
      <c r="AA136" s="28"/>
      <c r="AB136" s="29"/>
      <c r="AC136" s="142"/>
      <c r="AD136" s="143"/>
      <c r="AE136" s="148"/>
      <c r="AF136" s="28"/>
      <c r="AG136" s="28"/>
      <c r="AH136" s="28"/>
      <c r="AI136" s="29"/>
      <c r="AJ136" s="142"/>
      <c r="AK136" s="143"/>
      <c r="AL136" s="148"/>
      <c r="AM136" s="28"/>
      <c r="AN136" s="28"/>
      <c r="AO136" s="28"/>
      <c r="AP136" s="29"/>
      <c r="AQ136" s="142"/>
      <c r="AR136" s="162"/>
      <c r="AS136" s="148"/>
      <c r="AT136" s="28"/>
      <c r="AU136" s="28"/>
      <c r="AV136" s="28"/>
      <c r="AW136" s="29"/>
      <c r="AX136" s="142"/>
      <c r="AY136" s="169"/>
      <c r="AZ136" s="170"/>
      <c r="BA136" s="170"/>
      <c r="BB136" s="170"/>
      <c r="BC136" s="170"/>
      <c r="BD136" s="170"/>
      <c r="BE136" s="170"/>
      <c r="BF136" s="170"/>
      <c r="BG136" s="170"/>
      <c r="BH136" s="170"/>
      <c r="BI136" s="170"/>
      <c r="BJ136" s="170"/>
      <c r="BK136" s="170"/>
      <c r="BL136" s="170"/>
      <c r="BM136" s="170"/>
      <c r="BN136" s="170"/>
      <c r="BO136" s="172"/>
    </row>
    <row r="137" hidden="1">
      <c r="A137" s="52"/>
      <c r="B137" s="193">
        <v>4.0</v>
      </c>
      <c r="C137" s="24"/>
      <c r="D137" s="193" t="str">
        <f t="array" ref="D137">iferror(OFFSET(INDIRECT("'Class Charts'!" &amp; VLOOKUP($B128,'Class Charts'!$B:$N,10,False)),$D144,$B137),)</f>
        <v/>
      </c>
      <c r="E137" s="24"/>
      <c r="F137" s="128"/>
      <c r="G137" s="128"/>
      <c r="H137" s="272"/>
      <c r="I137" s="274"/>
      <c r="J137" s="274"/>
      <c r="K137" s="274"/>
      <c r="L137" s="274"/>
      <c r="M137" s="274"/>
      <c r="N137" s="274"/>
      <c r="O137" s="52"/>
      <c r="P137" s="274"/>
      <c r="Q137" s="274"/>
      <c r="R137" s="274"/>
      <c r="S137" s="274"/>
      <c r="T137" s="274"/>
      <c r="U137" s="274"/>
      <c r="V137" s="52"/>
      <c r="W137" s="274"/>
      <c r="X137" s="274"/>
      <c r="Y137" s="274"/>
      <c r="Z137" s="274"/>
      <c r="AA137" s="274"/>
      <c r="AB137" s="274"/>
      <c r="AC137" s="52"/>
      <c r="AD137" s="274"/>
      <c r="AE137" s="274"/>
      <c r="AF137" s="274"/>
      <c r="AG137" s="274"/>
      <c r="AH137" s="274"/>
      <c r="AI137" s="274"/>
      <c r="AJ137" s="52"/>
      <c r="AK137" s="274"/>
      <c r="AL137" s="274"/>
      <c r="AM137" s="274"/>
      <c r="AN137" s="274"/>
      <c r="AO137" s="274"/>
      <c r="AP137" s="274"/>
      <c r="AQ137" s="52"/>
      <c r="AR137" s="162"/>
      <c r="AS137" s="148"/>
      <c r="AT137" s="28"/>
      <c r="AU137" s="28"/>
      <c r="AV137" s="28"/>
      <c r="AW137" s="29"/>
      <c r="AX137" s="52"/>
      <c r="AY137" s="169"/>
      <c r="AZ137" s="170"/>
      <c r="BA137" s="170"/>
      <c r="BB137" s="170"/>
      <c r="BC137" s="170"/>
      <c r="BD137" s="170"/>
      <c r="BE137" s="170"/>
      <c r="BF137" s="170"/>
      <c r="BG137" s="170"/>
      <c r="BH137" s="170"/>
      <c r="BI137" s="170"/>
      <c r="BJ137" s="170"/>
      <c r="BK137" s="170"/>
      <c r="BL137" s="170"/>
      <c r="BM137" s="170"/>
      <c r="BN137" s="170"/>
      <c r="BO137" s="172"/>
    </row>
    <row r="138" hidden="1">
      <c r="A138" s="52"/>
      <c r="B138" s="193">
        <v>5.0</v>
      </c>
      <c r="C138" s="24"/>
      <c r="D138" s="193" t="str">
        <f t="array" ref="D138">iferror(OFFSET(INDIRECT("'Class Charts'!" &amp; VLOOKUP($B128,'Class Charts'!$B:$N,10,False)),$D144,$B138),)</f>
        <v/>
      </c>
      <c r="E138" s="24"/>
      <c r="F138" s="128"/>
      <c r="G138" s="128"/>
      <c r="H138" s="272"/>
      <c r="I138" s="126" t="s">
        <v>200</v>
      </c>
      <c r="J138" s="292"/>
      <c r="K138" s="292"/>
      <c r="L138" s="131"/>
      <c r="M138" s="292"/>
      <c r="N138" s="113" t="str">
        <f>"DC "&amp;10+$G130+B138</f>
        <v>DC 23</v>
      </c>
      <c r="O138" s="105"/>
      <c r="P138" s="95" t="s">
        <v>208</v>
      </c>
      <c r="Q138" s="96"/>
      <c r="R138" s="96"/>
      <c r="S138" s="96"/>
      <c r="T138" s="96"/>
      <c r="U138" s="113" t="str">
        <f>"DC "&amp;10+$G130+B139</f>
        <v>DC 24</v>
      </c>
      <c r="V138" s="105"/>
      <c r="W138" s="95" t="s">
        <v>210</v>
      </c>
      <c r="X138" s="96"/>
      <c r="Y138" s="96"/>
      <c r="Z138" s="96" t="str">
        <f>IF(ISBLANK(D140),,D140&amp;"/day")</f>
        <v/>
      </c>
      <c r="AA138" s="96"/>
      <c r="AB138" s="113" t="str">
        <f>"DC "&amp;10+$G130+B140</f>
        <v>DC 25</v>
      </c>
      <c r="AC138" s="105"/>
      <c r="AD138" s="95" t="s">
        <v>212</v>
      </c>
      <c r="AE138" s="96"/>
      <c r="AF138" s="96"/>
      <c r="AG138" s="96" t="str">
        <f>IF(ISBLANK(D141),,D141&amp;"/day")</f>
        <v/>
      </c>
      <c r="AH138" s="96"/>
      <c r="AI138" s="113" t="str">
        <f>"DC "&amp;10+$G130+B141</f>
        <v>DC 26</v>
      </c>
      <c r="AJ138" s="105"/>
      <c r="AK138" s="95" t="s">
        <v>217</v>
      </c>
      <c r="AL138" s="96"/>
      <c r="AM138" s="96"/>
      <c r="AN138" s="96"/>
      <c r="AO138" s="96"/>
      <c r="AP138" s="113" t="str">
        <f>"DC "&amp;10+$G130+B142</f>
        <v>DC 27</v>
      </c>
      <c r="AQ138" s="105"/>
      <c r="AR138" s="157" t="s">
        <v>223</v>
      </c>
      <c r="AS138" s="28"/>
      <c r="AT138" s="28"/>
      <c r="AU138" s="28"/>
      <c r="AV138" s="28"/>
      <c r="AW138" s="29"/>
      <c r="AX138" s="105"/>
      <c r="AY138" s="169"/>
      <c r="AZ138" s="170"/>
      <c r="BA138" s="170"/>
      <c r="BB138" s="170"/>
      <c r="BC138" s="170"/>
      <c r="BD138" s="170"/>
      <c r="BE138" s="170"/>
      <c r="BF138" s="170"/>
      <c r="BG138" s="170"/>
      <c r="BH138" s="170"/>
      <c r="BI138" s="170"/>
      <c r="BJ138" s="170"/>
      <c r="BK138" s="170"/>
      <c r="BL138" s="170"/>
      <c r="BM138" s="170"/>
      <c r="BN138" s="170"/>
      <c r="BO138" s="172"/>
    </row>
    <row r="139" hidden="1">
      <c r="A139" s="52"/>
      <c r="B139" s="193">
        <v>6.0</v>
      </c>
      <c r="C139" s="24"/>
      <c r="D139" s="193" t="str">
        <f t="array" ref="D139">iferror(OFFSET(INDIRECT("'Class Charts'!" &amp; VLOOKUP($B128,'Class Charts'!$B:$N,10,False)),$D144,$B139),)</f>
        <v/>
      </c>
      <c r="E139" s="24"/>
      <c r="F139" s="128"/>
      <c r="G139" s="128"/>
      <c r="H139" s="142"/>
      <c r="I139" s="143"/>
      <c r="J139" s="148"/>
      <c r="K139" s="28"/>
      <c r="L139" s="28"/>
      <c r="M139" s="28"/>
      <c r="N139" s="29"/>
      <c r="O139" s="142"/>
      <c r="P139" s="143"/>
      <c r="Q139" s="148"/>
      <c r="R139" s="28"/>
      <c r="S139" s="28"/>
      <c r="T139" s="28"/>
      <c r="U139" s="29"/>
      <c r="V139" s="142"/>
      <c r="W139" s="143"/>
      <c r="X139" s="148"/>
      <c r="Y139" s="28"/>
      <c r="Z139" s="28"/>
      <c r="AA139" s="28"/>
      <c r="AB139" s="29"/>
      <c r="AC139" s="142"/>
      <c r="AD139" s="143"/>
      <c r="AE139" s="148"/>
      <c r="AF139" s="28"/>
      <c r="AG139" s="28"/>
      <c r="AH139" s="28"/>
      <c r="AI139" s="29"/>
      <c r="AJ139" s="142"/>
      <c r="AK139" s="143"/>
      <c r="AL139" s="148"/>
      <c r="AM139" s="28"/>
      <c r="AN139" s="28"/>
      <c r="AO139" s="28"/>
      <c r="AP139" s="29"/>
      <c r="AQ139" s="142"/>
      <c r="AR139" s="162"/>
      <c r="AS139" s="148"/>
      <c r="AT139" s="28"/>
      <c r="AU139" s="28"/>
      <c r="AV139" s="28"/>
      <c r="AW139" s="29"/>
      <c r="AX139" s="142"/>
      <c r="AY139" s="169"/>
      <c r="AZ139" s="170"/>
      <c r="BA139" s="170"/>
      <c r="BB139" s="170"/>
      <c r="BC139" s="170"/>
      <c r="BD139" s="170"/>
      <c r="BE139" s="170"/>
      <c r="BF139" s="170"/>
      <c r="BG139" s="170"/>
      <c r="BH139" s="170"/>
      <c r="BI139" s="170"/>
      <c r="BJ139" s="170"/>
      <c r="BK139" s="170"/>
      <c r="BL139" s="170"/>
      <c r="BM139" s="170"/>
      <c r="BN139" s="170"/>
      <c r="BO139" s="172"/>
    </row>
    <row r="140" hidden="1">
      <c r="A140" s="52"/>
      <c r="B140" s="193">
        <v>7.0</v>
      </c>
      <c r="C140" s="24"/>
      <c r="D140" s="193" t="str">
        <f t="array" ref="D140">iferror(OFFSET(INDIRECT("'Class Charts'!" &amp; VLOOKUP($B128,'Class Charts'!$B:$N,10,False)),$D144,$B140),)</f>
        <v/>
      </c>
      <c r="E140" s="24"/>
      <c r="F140" s="128"/>
      <c r="G140" s="128"/>
      <c r="H140" s="142"/>
      <c r="I140" s="143"/>
      <c r="J140" s="148"/>
      <c r="K140" s="28"/>
      <c r="L140" s="28"/>
      <c r="M140" s="28"/>
      <c r="N140" s="29"/>
      <c r="O140" s="142"/>
      <c r="P140" s="143"/>
      <c r="Q140" s="148"/>
      <c r="R140" s="28"/>
      <c r="S140" s="28"/>
      <c r="T140" s="28"/>
      <c r="U140" s="29"/>
      <c r="V140" s="142"/>
      <c r="W140" s="143"/>
      <c r="X140" s="148"/>
      <c r="Y140" s="28"/>
      <c r="Z140" s="28"/>
      <c r="AA140" s="28"/>
      <c r="AB140" s="29"/>
      <c r="AC140" s="142"/>
      <c r="AD140" s="143"/>
      <c r="AE140" s="148"/>
      <c r="AF140" s="28"/>
      <c r="AG140" s="28"/>
      <c r="AH140" s="28"/>
      <c r="AI140" s="29"/>
      <c r="AJ140" s="142"/>
      <c r="AK140" s="143"/>
      <c r="AL140" s="148"/>
      <c r="AM140" s="28"/>
      <c r="AN140" s="28"/>
      <c r="AO140" s="28"/>
      <c r="AP140" s="29"/>
      <c r="AQ140" s="142"/>
      <c r="AR140" s="162"/>
      <c r="AS140" s="148" t="s">
        <v>259</v>
      </c>
      <c r="AT140" s="28"/>
      <c r="AU140" s="28"/>
      <c r="AV140" s="28"/>
      <c r="AW140" s="29"/>
      <c r="AX140" s="142"/>
      <c r="AY140" s="169"/>
      <c r="AZ140" s="170"/>
      <c r="BA140" s="170"/>
      <c r="BB140" s="170"/>
      <c r="BC140" s="170"/>
      <c r="BD140" s="170"/>
      <c r="BE140" s="170"/>
      <c r="BF140" s="170"/>
      <c r="BG140" s="170"/>
      <c r="BH140" s="170"/>
      <c r="BI140" s="170"/>
      <c r="BJ140" s="170"/>
      <c r="BK140" s="170"/>
      <c r="BL140" s="170"/>
      <c r="BM140" s="170"/>
      <c r="BN140" s="170"/>
      <c r="BO140" s="172"/>
    </row>
    <row r="141" hidden="1">
      <c r="A141" s="52"/>
      <c r="B141" s="193">
        <v>8.0</v>
      </c>
      <c r="C141" s="24"/>
      <c r="D141" s="193" t="str">
        <f t="array" ref="D141">iferror(OFFSET(INDIRECT("'Class Charts'!" &amp; VLOOKUP($B128,'Class Charts'!$B:$N,10,False)),$D144,$B141),)</f>
        <v/>
      </c>
      <c r="E141" s="24"/>
      <c r="F141" s="128"/>
      <c r="G141" s="128"/>
      <c r="H141" s="142"/>
      <c r="I141" s="143"/>
      <c r="J141" s="148"/>
      <c r="K141" s="28"/>
      <c r="L141" s="28"/>
      <c r="M141" s="28"/>
      <c r="N141" s="29"/>
      <c r="O141" s="142"/>
      <c r="P141" s="143"/>
      <c r="Q141" s="148"/>
      <c r="R141" s="28"/>
      <c r="S141" s="28"/>
      <c r="T141" s="28"/>
      <c r="U141" s="29"/>
      <c r="V141" s="142"/>
      <c r="W141" s="143"/>
      <c r="X141" s="148"/>
      <c r="Y141" s="28"/>
      <c r="Z141" s="28"/>
      <c r="AA141" s="28"/>
      <c r="AB141" s="29"/>
      <c r="AC141" s="142"/>
      <c r="AD141" s="143"/>
      <c r="AE141" s="148"/>
      <c r="AF141" s="28"/>
      <c r="AG141" s="28"/>
      <c r="AH141" s="28"/>
      <c r="AI141" s="29"/>
      <c r="AJ141" s="142"/>
      <c r="AK141" s="143"/>
      <c r="AL141" s="148"/>
      <c r="AM141" s="28"/>
      <c r="AN141" s="28"/>
      <c r="AO141" s="28"/>
      <c r="AP141" s="29"/>
      <c r="AQ141" s="142"/>
      <c r="AR141" s="162"/>
      <c r="AS141" s="148" t="s">
        <v>272</v>
      </c>
      <c r="AT141" s="28"/>
      <c r="AU141" s="28"/>
      <c r="AV141" s="28"/>
      <c r="AW141" s="29"/>
      <c r="AX141" s="142"/>
      <c r="AY141" s="169"/>
      <c r="AZ141" s="170"/>
      <c r="BA141" s="170"/>
      <c r="BB141" s="170"/>
      <c r="BC141" s="170"/>
      <c r="BD141" s="170"/>
      <c r="BE141" s="170"/>
      <c r="BF141" s="170"/>
      <c r="BG141" s="170"/>
      <c r="BH141" s="170"/>
      <c r="BI141" s="170"/>
      <c r="BJ141" s="170"/>
      <c r="BK141" s="170"/>
      <c r="BL141" s="170"/>
      <c r="BM141" s="170"/>
      <c r="BN141" s="170"/>
      <c r="BO141" s="172"/>
    </row>
    <row r="142" hidden="1">
      <c r="A142" s="52"/>
      <c r="B142" s="193">
        <v>9.0</v>
      </c>
      <c r="C142" s="24"/>
      <c r="D142" s="193" t="str">
        <f t="array" ref="D142">iferror(OFFSET(INDIRECT("'Class Charts'!" &amp; VLOOKUP($B128,'Class Charts'!$B:$N,10,False)),$D144,$B142),)</f>
        <v/>
      </c>
      <c r="E142" s="24"/>
      <c r="F142" s="52"/>
      <c r="G142" s="52"/>
      <c r="H142" s="142"/>
      <c r="I142" s="143"/>
      <c r="J142" s="148"/>
      <c r="K142" s="28"/>
      <c r="L142" s="28"/>
      <c r="M142" s="28"/>
      <c r="N142" s="29"/>
      <c r="O142" s="142"/>
      <c r="P142" s="143"/>
      <c r="Q142" s="148"/>
      <c r="R142" s="28"/>
      <c r="S142" s="28"/>
      <c r="T142" s="28"/>
      <c r="U142" s="29"/>
      <c r="V142" s="142"/>
      <c r="W142" s="143"/>
      <c r="X142" s="148"/>
      <c r="Y142" s="28"/>
      <c r="Z142" s="28"/>
      <c r="AA142" s="28"/>
      <c r="AB142" s="29"/>
      <c r="AC142" s="142"/>
      <c r="AD142" s="143"/>
      <c r="AE142" s="148"/>
      <c r="AF142" s="28"/>
      <c r="AG142" s="28"/>
      <c r="AH142" s="28"/>
      <c r="AI142" s="29"/>
      <c r="AJ142" s="142"/>
      <c r="AK142" s="143"/>
      <c r="AL142" s="148"/>
      <c r="AM142" s="28"/>
      <c r="AN142" s="28"/>
      <c r="AO142" s="28"/>
      <c r="AP142" s="29"/>
      <c r="AQ142" s="142"/>
      <c r="AR142" s="162"/>
      <c r="AS142" s="148" t="s">
        <v>285</v>
      </c>
      <c r="AT142" s="28"/>
      <c r="AU142" s="28"/>
      <c r="AV142" s="28"/>
      <c r="AW142" s="29"/>
      <c r="AX142" s="142"/>
      <c r="AY142" s="169"/>
      <c r="AZ142" s="170"/>
      <c r="BA142" s="170"/>
      <c r="BB142" s="170"/>
      <c r="BC142" s="170"/>
      <c r="BD142" s="170"/>
      <c r="BE142" s="170"/>
      <c r="BF142" s="170"/>
      <c r="BG142" s="170"/>
      <c r="BH142" s="170"/>
      <c r="BI142" s="170"/>
      <c r="BJ142" s="170"/>
      <c r="BK142" s="170"/>
      <c r="BL142" s="170"/>
      <c r="BM142" s="170"/>
      <c r="BN142" s="170"/>
      <c r="BO142" s="172"/>
    </row>
    <row r="143" hidden="1">
      <c r="A143" s="52"/>
      <c r="B143" s="349" t="s">
        <v>288</v>
      </c>
      <c r="D143" s="351" t="s">
        <v>141</v>
      </c>
      <c r="E143" s="352"/>
      <c r="F143" s="351" t="s">
        <v>17</v>
      </c>
      <c r="G143" s="733" t="s">
        <v>293</v>
      </c>
      <c r="H143" s="142"/>
      <c r="I143" s="143"/>
      <c r="J143" s="148"/>
      <c r="K143" s="28"/>
      <c r="L143" s="28"/>
      <c r="M143" s="28"/>
      <c r="N143" s="29"/>
      <c r="O143" s="142"/>
      <c r="P143" s="143"/>
      <c r="Q143" s="148"/>
      <c r="R143" s="28"/>
      <c r="S143" s="28"/>
      <c r="T143" s="28"/>
      <c r="U143" s="29"/>
      <c r="V143" s="142"/>
      <c r="W143" s="143"/>
      <c r="X143" s="148"/>
      <c r="Y143" s="28"/>
      <c r="Z143" s="28"/>
      <c r="AA143" s="28"/>
      <c r="AB143" s="29"/>
      <c r="AC143" s="142"/>
      <c r="AD143" s="143"/>
      <c r="AE143" s="148"/>
      <c r="AF143" s="28"/>
      <c r="AG143" s="28"/>
      <c r="AH143" s="28"/>
      <c r="AI143" s="29"/>
      <c r="AJ143" s="142"/>
      <c r="AK143" s="143"/>
      <c r="AL143" s="148"/>
      <c r="AM143" s="28"/>
      <c r="AN143" s="28"/>
      <c r="AO143" s="28"/>
      <c r="AP143" s="29"/>
      <c r="AQ143" s="142"/>
      <c r="AR143" s="157" t="s">
        <v>301</v>
      </c>
      <c r="AS143" s="28"/>
      <c r="AT143" s="28"/>
      <c r="AU143" s="28"/>
      <c r="AV143" s="28"/>
      <c r="AW143" s="29"/>
      <c r="AX143" s="142"/>
      <c r="AY143" s="169"/>
      <c r="AZ143" s="170"/>
      <c r="BA143" s="170"/>
      <c r="BB143" s="170"/>
      <c r="BC143" s="170"/>
      <c r="BD143" s="170"/>
      <c r="BE143" s="170"/>
      <c r="BF143" s="170"/>
      <c r="BG143" s="170"/>
      <c r="BH143" s="170"/>
      <c r="BI143" s="170"/>
      <c r="BJ143" s="170"/>
      <c r="BK143" s="170"/>
      <c r="BL143" s="170"/>
      <c r="BM143" s="170"/>
      <c r="BN143" s="170"/>
      <c r="BO143" s="172"/>
    </row>
    <row r="144" hidden="1">
      <c r="A144" s="52"/>
      <c r="D144" s="366">
        <f>MIN(20,SUM(F144:G144))</f>
        <v>0</v>
      </c>
      <c r="E144" s="369" t="s">
        <v>145</v>
      </c>
      <c r="F144" s="372" t="str">
        <f>iferror(VLOOKUP(B128,'Main Sheet'!$AE$2:$AQ$4,13,false),"")</f>
        <v/>
      </c>
      <c r="G144" s="374"/>
      <c r="H144" s="142"/>
      <c r="I144" s="143"/>
      <c r="J144" s="148"/>
      <c r="K144" s="28"/>
      <c r="L144" s="28"/>
      <c r="M144" s="28"/>
      <c r="N144" s="29"/>
      <c r="O144" s="142"/>
      <c r="P144" s="143"/>
      <c r="Q144" s="148"/>
      <c r="R144" s="28"/>
      <c r="S144" s="28"/>
      <c r="T144" s="28"/>
      <c r="U144" s="29"/>
      <c r="V144" s="142"/>
      <c r="W144" s="143"/>
      <c r="X144" s="148"/>
      <c r="Y144" s="28"/>
      <c r="Z144" s="28"/>
      <c r="AA144" s="28"/>
      <c r="AB144" s="29"/>
      <c r="AC144" s="142"/>
      <c r="AD144" s="143"/>
      <c r="AE144" s="148"/>
      <c r="AF144" s="28"/>
      <c r="AG144" s="28"/>
      <c r="AH144" s="28"/>
      <c r="AI144" s="29"/>
      <c r="AJ144" s="142"/>
      <c r="AK144" s="143"/>
      <c r="AL144" s="148"/>
      <c r="AM144" s="28"/>
      <c r="AN144" s="28"/>
      <c r="AO144" s="28"/>
      <c r="AP144" s="29"/>
      <c r="AQ144" s="142"/>
      <c r="AR144" s="162"/>
      <c r="AS144" s="148"/>
      <c r="AT144" s="28"/>
      <c r="AU144" s="28"/>
      <c r="AV144" s="28"/>
      <c r="AW144" s="29"/>
      <c r="AX144" s="142"/>
      <c r="AY144" s="169"/>
      <c r="AZ144" s="170"/>
      <c r="BA144" s="170"/>
      <c r="BB144" s="170"/>
      <c r="BC144" s="170"/>
      <c r="BD144" s="170"/>
      <c r="BE144" s="170"/>
      <c r="BF144" s="170"/>
      <c r="BG144" s="170"/>
      <c r="BH144" s="170"/>
      <c r="BI144" s="170"/>
      <c r="BJ144" s="170"/>
      <c r="BK144" s="170"/>
      <c r="BL144" s="170"/>
      <c r="BM144" s="170"/>
      <c r="BN144" s="170"/>
      <c r="BO144" s="172"/>
    </row>
    <row r="145" hidden="1">
      <c r="A145" s="52"/>
      <c r="B145" s="381" t="s">
        <v>318</v>
      </c>
      <c r="C145" s="195"/>
      <c r="D145" s="351" t="s">
        <v>141</v>
      </c>
      <c r="E145" s="383"/>
      <c r="F145" s="351" t="s">
        <v>17</v>
      </c>
      <c r="G145" s="351" t="s">
        <v>293</v>
      </c>
      <c r="H145" s="142"/>
      <c r="I145" s="143"/>
      <c r="J145" s="148"/>
      <c r="K145" s="28"/>
      <c r="L145" s="28"/>
      <c r="M145" s="28"/>
      <c r="N145" s="29"/>
      <c r="O145" s="142"/>
      <c r="P145" s="143"/>
      <c r="Q145" s="148"/>
      <c r="R145" s="28"/>
      <c r="S145" s="28"/>
      <c r="T145" s="28"/>
      <c r="U145" s="29"/>
      <c r="V145" s="142"/>
      <c r="W145" s="143"/>
      <c r="X145" s="148"/>
      <c r="Y145" s="28"/>
      <c r="Z145" s="28"/>
      <c r="AA145" s="28"/>
      <c r="AB145" s="29"/>
      <c r="AC145" s="142"/>
      <c r="AD145" s="143"/>
      <c r="AE145" s="148"/>
      <c r="AF145" s="28"/>
      <c r="AG145" s="28"/>
      <c r="AH145" s="28"/>
      <c r="AI145" s="29"/>
      <c r="AJ145" s="142"/>
      <c r="AK145" s="143"/>
      <c r="AL145" s="148"/>
      <c r="AM145" s="28"/>
      <c r="AN145" s="28"/>
      <c r="AO145" s="28"/>
      <c r="AP145" s="29"/>
      <c r="AQ145" s="142"/>
      <c r="AR145" s="162"/>
      <c r="AS145" s="148"/>
      <c r="AT145" s="28"/>
      <c r="AU145" s="28"/>
      <c r="AV145" s="28"/>
      <c r="AW145" s="29"/>
      <c r="AX145" s="142"/>
      <c r="AY145" s="169"/>
      <c r="AZ145" s="170"/>
      <c r="BA145" s="170"/>
      <c r="BB145" s="170"/>
      <c r="BC145" s="170"/>
      <c r="BD145" s="170"/>
      <c r="BE145" s="170"/>
      <c r="BF145" s="170"/>
      <c r="BG145" s="170"/>
      <c r="BH145" s="170"/>
      <c r="BI145" s="170"/>
      <c r="BJ145" s="170"/>
      <c r="BK145" s="170"/>
      <c r="BL145" s="170"/>
      <c r="BM145" s="170"/>
      <c r="BN145" s="170"/>
      <c r="BO145" s="172"/>
    </row>
    <row r="146" hidden="1">
      <c r="A146" s="52"/>
      <c r="D146" s="366">
        <f>SUM(F146:G146)-iferror(abs('Main Sheet'!$Y$39),"")</f>
        <v>0</v>
      </c>
      <c r="E146" s="369" t="s">
        <v>145</v>
      </c>
      <c r="F146" s="395"/>
      <c r="G146" s="396"/>
      <c r="H146" s="142"/>
      <c r="I146" s="143"/>
      <c r="J146" s="148"/>
      <c r="K146" s="28"/>
      <c r="L146" s="28"/>
      <c r="M146" s="28"/>
      <c r="N146" s="29"/>
      <c r="O146" s="142"/>
      <c r="P146" s="143"/>
      <c r="Q146" s="148"/>
      <c r="R146" s="28"/>
      <c r="S146" s="28"/>
      <c r="T146" s="28"/>
      <c r="U146" s="29"/>
      <c r="V146" s="142"/>
      <c r="W146" s="143"/>
      <c r="X146" s="148"/>
      <c r="Y146" s="28"/>
      <c r="Z146" s="28"/>
      <c r="AA146" s="28"/>
      <c r="AB146" s="29"/>
      <c r="AC146" s="142"/>
      <c r="AD146" s="143"/>
      <c r="AE146" s="148"/>
      <c r="AF146" s="28"/>
      <c r="AG146" s="28"/>
      <c r="AH146" s="28"/>
      <c r="AI146" s="29"/>
      <c r="AJ146" s="142"/>
      <c r="AK146" s="143"/>
      <c r="AL146" s="148"/>
      <c r="AM146" s="28"/>
      <c r="AN146" s="28"/>
      <c r="AO146" s="28"/>
      <c r="AP146" s="29"/>
      <c r="AQ146" s="142"/>
      <c r="AR146" s="162"/>
      <c r="AS146" s="148"/>
      <c r="AT146" s="28"/>
      <c r="AU146" s="28"/>
      <c r="AV146" s="28"/>
      <c r="AW146" s="29"/>
      <c r="AX146" s="142"/>
      <c r="AY146" s="400"/>
      <c r="AZ146" s="401"/>
      <c r="BA146" s="401"/>
      <c r="BB146" s="401"/>
      <c r="BC146" s="401"/>
      <c r="BD146" s="401"/>
      <c r="BE146" s="401"/>
      <c r="BF146" s="401"/>
      <c r="BG146" s="401"/>
      <c r="BH146" s="401"/>
      <c r="BI146" s="401"/>
      <c r="BJ146" s="401"/>
      <c r="BK146" s="401"/>
      <c r="BL146" s="401"/>
      <c r="BM146" s="401"/>
      <c r="BN146" s="401"/>
      <c r="BO146" s="403"/>
    </row>
    <row r="147" hidden="1">
      <c r="A147" s="52"/>
      <c r="B147" s="404"/>
      <c r="C147" s="404"/>
      <c r="D147" s="404"/>
      <c r="E147" s="404"/>
      <c r="F147" s="404"/>
      <c r="G147" s="404"/>
      <c r="H147" s="404"/>
      <c r="I147" s="404"/>
      <c r="J147" s="588"/>
      <c r="K147" s="588"/>
      <c r="L147" s="86"/>
      <c r="M147" s="86"/>
      <c r="N147" s="86"/>
      <c r="O147" s="128"/>
      <c r="P147" s="86"/>
      <c r="Q147" s="86"/>
      <c r="R147" s="86"/>
      <c r="S147" s="86"/>
      <c r="T147" s="86"/>
      <c r="U147" s="86"/>
      <c r="V147" s="128"/>
      <c r="W147" s="86"/>
      <c r="X147" s="86"/>
      <c r="Y147" s="86"/>
      <c r="Z147" s="86"/>
      <c r="AA147" s="86"/>
      <c r="AB147" s="86"/>
      <c r="AC147" s="128"/>
      <c r="AD147" s="86"/>
      <c r="AE147" s="86"/>
      <c r="AF147" s="86"/>
      <c r="AG147" s="86"/>
      <c r="AH147" s="86"/>
      <c r="AI147" s="86"/>
      <c r="AJ147" s="52"/>
      <c r="AK147" s="274"/>
      <c r="AL147" s="274"/>
      <c r="AM147" s="274"/>
      <c r="AN147" s="274"/>
      <c r="AO147" s="274"/>
      <c r="AP147" s="274"/>
      <c r="AQ147" s="128"/>
      <c r="AR147" s="86"/>
      <c r="AS147" s="86"/>
      <c r="AT147" s="86"/>
      <c r="AU147" s="86"/>
      <c r="AV147" s="86"/>
      <c r="AW147" s="86"/>
      <c r="AX147" s="86"/>
      <c r="AY147" s="86"/>
      <c r="AZ147" s="86"/>
      <c r="BA147" s="86"/>
      <c r="BB147" s="86"/>
      <c r="BC147" s="86"/>
      <c r="BD147" s="86"/>
      <c r="BE147" s="86"/>
      <c r="BF147" s="86"/>
      <c r="BG147" s="86"/>
      <c r="BH147" s="86"/>
      <c r="BI147" s="86"/>
      <c r="BJ147" s="86"/>
      <c r="BK147" s="86"/>
      <c r="BL147" s="86"/>
      <c r="BM147" s="86"/>
      <c r="BN147" s="86"/>
      <c r="BO147" s="86"/>
    </row>
  </sheetData>
  <mergeCells count="951">
    <mergeCell ref="Q17:U17"/>
    <mergeCell ref="Q18:U18"/>
    <mergeCell ref="X25:AB25"/>
    <mergeCell ref="AE25:AI25"/>
    <mergeCell ref="AL25:AP25"/>
    <mergeCell ref="AR25:AW25"/>
    <mergeCell ref="AY25:BO25"/>
    <mergeCell ref="Q25:U25"/>
    <mergeCell ref="Q26:U26"/>
    <mergeCell ref="AE26:AI26"/>
    <mergeCell ref="AS26:AW26"/>
    <mergeCell ref="Q27:U27"/>
    <mergeCell ref="AE27:AI27"/>
    <mergeCell ref="AS27:AW27"/>
    <mergeCell ref="AY33:BO33"/>
    <mergeCell ref="AY34:BO34"/>
    <mergeCell ref="AY35:BO35"/>
    <mergeCell ref="AY36:BO36"/>
    <mergeCell ref="AY37:BO37"/>
    <mergeCell ref="AY26:BO26"/>
    <mergeCell ref="AY27:BO27"/>
    <mergeCell ref="AY28:BO28"/>
    <mergeCell ref="AY29:BO29"/>
    <mergeCell ref="AY30:BO30"/>
    <mergeCell ref="AY31:BO31"/>
    <mergeCell ref="AY32:BO32"/>
    <mergeCell ref="Q20:U20"/>
    <mergeCell ref="X20:AB20"/>
    <mergeCell ref="AE20:AI20"/>
    <mergeCell ref="AL20:AP20"/>
    <mergeCell ref="AS20:AW20"/>
    <mergeCell ref="J21:N21"/>
    <mergeCell ref="Q21:U21"/>
    <mergeCell ref="AE21:AI21"/>
    <mergeCell ref="AL21:AP21"/>
    <mergeCell ref="AS21:AW21"/>
    <mergeCell ref="B20:C21"/>
    <mergeCell ref="B23:G23"/>
    <mergeCell ref="B25:G26"/>
    <mergeCell ref="B27:C27"/>
    <mergeCell ref="D27:F27"/>
    <mergeCell ref="B28:C29"/>
    <mergeCell ref="B30:C31"/>
    <mergeCell ref="B17:C17"/>
    <mergeCell ref="D17:E17"/>
    <mergeCell ref="F17:G17"/>
    <mergeCell ref="J17:N17"/>
    <mergeCell ref="X17:AB17"/>
    <mergeCell ref="X18:AB18"/>
    <mergeCell ref="X21:AB21"/>
    <mergeCell ref="AL30:AP30"/>
    <mergeCell ref="AL31:AP31"/>
    <mergeCell ref="AL32:AP32"/>
    <mergeCell ref="AL33:AP33"/>
    <mergeCell ref="AL36:AP36"/>
    <mergeCell ref="AL37:AP37"/>
    <mergeCell ref="AS31:AW31"/>
    <mergeCell ref="AS32:AW32"/>
    <mergeCell ref="AS33:AW33"/>
    <mergeCell ref="AS34:AW34"/>
    <mergeCell ref="AR35:AW35"/>
    <mergeCell ref="AS36:AW36"/>
    <mergeCell ref="AS37:AW37"/>
    <mergeCell ref="AL26:AP26"/>
    <mergeCell ref="AL27:AP27"/>
    <mergeCell ref="AL28:AP28"/>
    <mergeCell ref="AS28:AW28"/>
    <mergeCell ref="AL29:AP29"/>
    <mergeCell ref="AS29:AW29"/>
    <mergeCell ref="AR30:AW30"/>
    <mergeCell ref="X100:AB100"/>
    <mergeCell ref="X101:AB101"/>
    <mergeCell ref="X92:AB92"/>
    <mergeCell ref="W94:AB94"/>
    <mergeCell ref="X95:AB95"/>
    <mergeCell ref="X96:AB96"/>
    <mergeCell ref="X97:AB97"/>
    <mergeCell ref="X98:AB98"/>
    <mergeCell ref="X99:AB99"/>
    <mergeCell ref="X76:AB76"/>
    <mergeCell ref="X77:AB77"/>
    <mergeCell ref="Q73:U73"/>
    <mergeCell ref="Q74:U74"/>
    <mergeCell ref="X74:AB74"/>
    <mergeCell ref="Q75:U75"/>
    <mergeCell ref="X75:AB75"/>
    <mergeCell ref="Q76:U76"/>
    <mergeCell ref="Q77:U77"/>
    <mergeCell ref="Q78:U78"/>
    <mergeCell ref="X78:AB78"/>
    <mergeCell ref="Q79:U79"/>
    <mergeCell ref="X79:AB79"/>
    <mergeCell ref="Q80:U80"/>
    <mergeCell ref="X80:AB80"/>
    <mergeCell ref="W84:AB84"/>
    <mergeCell ref="P84:U84"/>
    <mergeCell ref="Q85:U85"/>
    <mergeCell ref="Q86:U86"/>
    <mergeCell ref="Q87:U87"/>
    <mergeCell ref="Q88:U88"/>
    <mergeCell ref="Q89:U89"/>
    <mergeCell ref="Q90:U90"/>
    <mergeCell ref="X85:AB85"/>
    <mergeCell ref="X86:AB86"/>
    <mergeCell ref="X87:AB87"/>
    <mergeCell ref="X88:AB88"/>
    <mergeCell ref="X89:AB89"/>
    <mergeCell ref="X90:AB90"/>
    <mergeCell ref="X91:AB91"/>
    <mergeCell ref="Q99:U99"/>
    <mergeCell ref="Q100:U100"/>
    <mergeCell ref="Q101:U101"/>
    <mergeCell ref="Q91:U91"/>
    <mergeCell ref="Q92:U92"/>
    <mergeCell ref="P94:U94"/>
    <mergeCell ref="Q95:U95"/>
    <mergeCell ref="Q96:U96"/>
    <mergeCell ref="Q97:U97"/>
    <mergeCell ref="Q98:U98"/>
    <mergeCell ref="D108:F108"/>
    <mergeCell ref="B110:G110"/>
    <mergeCell ref="B111:G111"/>
    <mergeCell ref="B112:C113"/>
    <mergeCell ref="B114:C115"/>
    <mergeCell ref="F99:G99"/>
    <mergeCell ref="F100:G100"/>
    <mergeCell ref="F101:G101"/>
    <mergeCell ref="F102:G102"/>
    <mergeCell ref="B104:G104"/>
    <mergeCell ref="B106:G107"/>
    <mergeCell ref="B108:C108"/>
    <mergeCell ref="J106:N106"/>
    <mergeCell ref="J107:N107"/>
    <mergeCell ref="J108:N108"/>
    <mergeCell ref="J109:N109"/>
    <mergeCell ref="J110:N110"/>
    <mergeCell ref="J111:N111"/>
    <mergeCell ref="J112:N112"/>
    <mergeCell ref="J122:N122"/>
    <mergeCell ref="J123:N123"/>
    <mergeCell ref="J124:N124"/>
    <mergeCell ref="J113:N113"/>
    <mergeCell ref="J114:N114"/>
    <mergeCell ref="J117:N117"/>
    <mergeCell ref="J118:N118"/>
    <mergeCell ref="J119:N119"/>
    <mergeCell ref="J120:N120"/>
    <mergeCell ref="J121:N121"/>
    <mergeCell ref="Q109:U109"/>
    <mergeCell ref="Q110:U110"/>
    <mergeCell ref="Q111:U111"/>
    <mergeCell ref="Q112:U112"/>
    <mergeCell ref="Q113:U113"/>
    <mergeCell ref="Q114:U114"/>
    <mergeCell ref="Q117:U117"/>
    <mergeCell ref="Q118:U118"/>
    <mergeCell ref="Q119:U119"/>
    <mergeCell ref="Q120:U120"/>
    <mergeCell ref="Q121:U121"/>
    <mergeCell ref="Q122:U122"/>
    <mergeCell ref="Q123:U123"/>
    <mergeCell ref="Q124:U124"/>
    <mergeCell ref="J129:N129"/>
    <mergeCell ref="J130:N130"/>
    <mergeCell ref="J131:N131"/>
    <mergeCell ref="B126:G126"/>
    <mergeCell ref="B128:G129"/>
    <mergeCell ref="J128:N128"/>
    <mergeCell ref="Q128:U128"/>
    <mergeCell ref="Q129:U129"/>
    <mergeCell ref="B130:C130"/>
    <mergeCell ref="D130:F130"/>
    <mergeCell ref="B133:C133"/>
    <mergeCell ref="D133:E133"/>
    <mergeCell ref="F133:G133"/>
    <mergeCell ref="Q133:U133"/>
    <mergeCell ref="D134:E134"/>
    <mergeCell ref="F134:G134"/>
    <mergeCell ref="Q134:U134"/>
    <mergeCell ref="B134:C134"/>
    <mergeCell ref="B135:C135"/>
    <mergeCell ref="D135:E135"/>
    <mergeCell ref="F135:G135"/>
    <mergeCell ref="B136:C136"/>
    <mergeCell ref="D136:E136"/>
    <mergeCell ref="D137:E137"/>
    <mergeCell ref="B141:C141"/>
    <mergeCell ref="D141:E141"/>
    <mergeCell ref="B142:C142"/>
    <mergeCell ref="D142:E142"/>
    <mergeCell ref="B143:C144"/>
    <mergeCell ref="B145:C146"/>
    <mergeCell ref="B137:C137"/>
    <mergeCell ref="B138:C138"/>
    <mergeCell ref="D138:E138"/>
    <mergeCell ref="B139:C139"/>
    <mergeCell ref="D139:E139"/>
    <mergeCell ref="B140:C140"/>
    <mergeCell ref="D140:E140"/>
    <mergeCell ref="J142:N142"/>
    <mergeCell ref="J143:N143"/>
    <mergeCell ref="J144:N144"/>
    <mergeCell ref="J145:N145"/>
    <mergeCell ref="J146:N146"/>
    <mergeCell ref="J133:N133"/>
    <mergeCell ref="J134:N134"/>
    <mergeCell ref="J135:N135"/>
    <mergeCell ref="J136:N136"/>
    <mergeCell ref="J139:N139"/>
    <mergeCell ref="J140:N140"/>
    <mergeCell ref="J141:N141"/>
    <mergeCell ref="Q144:U144"/>
    <mergeCell ref="Q145:U145"/>
    <mergeCell ref="Q146:U146"/>
    <mergeCell ref="Q135:U135"/>
    <mergeCell ref="Q136:U136"/>
    <mergeCell ref="Q139:U139"/>
    <mergeCell ref="Q140:U140"/>
    <mergeCell ref="Q141:U141"/>
    <mergeCell ref="Q142:U142"/>
    <mergeCell ref="Q143:U143"/>
    <mergeCell ref="J85:N85"/>
    <mergeCell ref="J86:N86"/>
    <mergeCell ref="J79:N79"/>
    <mergeCell ref="J80:N80"/>
    <mergeCell ref="B82:G82"/>
    <mergeCell ref="B84:G85"/>
    <mergeCell ref="I84:N84"/>
    <mergeCell ref="B86:C86"/>
    <mergeCell ref="D86:F86"/>
    <mergeCell ref="B87:F87"/>
    <mergeCell ref="J87:N87"/>
    <mergeCell ref="B88:C89"/>
    <mergeCell ref="J88:N88"/>
    <mergeCell ref="J89:N89"/>
    <mergeCell ref="J90:N90"/>
    <mergeCell ref="J91:N91"/>
    <mergeCell ref="B90:C91"/>
    <mergeCell ref="B92:C93"/>
    <mergeCell ref="F94:G94"/>
    <mergeCell ref="F95:G95"/>
    <mergeCell ref="F96:G96"/>
    <mergeCell ref="F97:G97"/>
    <mergeCell ref="F98:G98"/>
    <mergeCell ref="J92:N92"/>
    <mergeCell ref="I94:N94"/>
    <mergeCell ref="J95:N95"/>
    <mergeCell ref="J96:N96"/>
    <mergeCell ref="J97:N97"/>
    <mergeCell ref="J98:N98"/>
    <mergeCell ref="J99:N99"/>
    <mergeCell ref="J100:N100"/>
    <mergeCell ref="J101:N101"/>
    <mergeCell ref="J102:N102"/>
    <mergeCell ref="Q102:U102"/>
    <mergeCell ref="Q106:U106"/>
    <mergeCell ref="Q107:U107"/>
    <mergeCell ref="Q108:U108"/>
    <mergeCell ref="Q130:U130"/>
    <mergeCell ref="Q131:U131"/>
    <mergeCell ref="B132:C132"/>
    <mergeCell ref="D132:E132"/>
    <mergeCell ref="F132:G132"/>
    <mergeCell ref="J132:N132"/>
    <mergeCell ref="Q132:U132"/>
    <mergeCell ref="X109:AB109"/>
    <mergeCell ref="X110:AB110"/>
    <mergeCell ref="X111:AB111"/>
    <mergeCell ref="X112:AB112"/>
    <mergeCell ref="X113:AB113"/>
    <mergeCell ref="X114:AB114"/>
    <mergeCell ref="X117:AB117"/>
    <mergeCell ref="X118:AB118"/>
    <mergeCell ref="X119:AB119"/>
    <mergeCell ref="X120:AB120"/>
    <mergeCell ref="X121:AB121"/>
    <mergeCell ref="X122:AB122"/>
    <mergeCell ref="X123:AB123"/>
    <mergeCell ref="X124:AB124"/>
    <mergeCell ref="X128:AB128"/>
    <mergeCell ref="X129:AB129"/>
    <mergeCell ref="X130:AB130"/>
    <mergeCell ref="X131:AB131"/>
    <mergeCell ref="X132:AB132"/>
    <mergeCell ref="X133:AB133"/>
    <mergeCell ref="X134:AB134"/>
    <mergeCell ref="X144:AB144"/>
    <mergeCell ref="X145:AB145"/>
    <mergeCell ref="X146:AB146"/>
    <mergeCell ref="X135:AB135"/>
    <mergeCell ref="X136:AB136"/>
    <mergeCell ref="X139:AB139"/>
    <mergeCell ref="X140:AB140"/>
    <mergeCell ref="X141:AB141"/>
    <mergeCell ref="X142:AB142"/>
    <mergeCell ref="X143:AB143"/>
    <mergeCell ref="AE145:AI145"/>
    <mergeCell ref="AE146:AI146"/>
    <mergeCell ref="AE136:AI136"/>
    <mergeCell ref="AE139:AI139"/>
    <mergeCell ref="AE140:AI140"/>
    <mergeCell ref="AE141:AI141"/>
    <mergeCell ref="AE142:AI142"/>
    <mergeCell ref="AE143:AI143"/>
    <mergeCell ref="AE144:AI144"/>
    <mergeCell ref="AE87:AI87"/>
    <mergeCell ref="AE88:AI88"/>
    <mergeCell ref="AE89:AI89"/>
    <mergeCell ref="AE90:AI90"/>
    <mergeCell ref="AE91:AI91"/>
    <mergeCell ref="AE92:AI92"/>
    <mergeCell ref="AD94:AI94"/>
    <mergeCell ref="AE101:AI101"/>
    <mergeCell ref="AE102:AI102"/>
    <mergeCell ref="AE95:AI95"/>
    <mergeCell ref="AE96:AI96"/>
    <mergeCell ref="AE97:AI97"/>
    <mergeCell ref="AE98:AI98"/>
    <mergeCell ref="AE99:AI99"/>
    <mergeCell ref="AE100:AI100"/>
    <mergeCell ref="X102:AB102"/>
    <mergeCell ref="X106:AB106"/>
    <mergeCell ref="AE106:AI106"/>
    <mergeCell ref="X107:AB107"/>
    <mergeCell ref="AE107:AI107"/>
    <mergeCell ref="X108:AB108"/>
    <mergeCell ref="AE108:AI108"/>
    <mergeCell ref="AE109:AI109"/>
    <mergeCell ref="AE110:AI110"/>
    <mergeCell ref="AE111:AI111"/>
    <mergeCell ref="AE112:AI112"/>
    <mergeCell ref="AE113:AI113"/>
    <mergeCell ref="AE114:AI114"/>
    <mergeCell ref="AE117:AI117"/>
    <mergeCell ref="AE118:AI118"/>
    <mergeCell ref="AE119:AI119"/>
    <mergeCell ref="AE120:AI120"/>
    <mergeCell ref="AE121:AI121"/>
    <mergeCell ref="AE122:AI122"/>
    <mergeCell ref="AE123:AI123"/>
    <mergeCell ref="AE124:AI124"/>
    <mergeCell ref="AE128:AI128"/>
    <mergeCell ref="AE129:AI129"/>
    <mergeCell ref="AE130:AI130"/>
    <mergeCell ref="AE131:AI131"/>
    <mergeCell ref="AE132:AI132"/>
    <mergeCell ref="AE133:AI133"/>
    <mergeCell ref="AE134:AI134"/>
    <mergeCell ref="AE135:AI135"/>
    <mergeCell ref="AY122:BO122"/>
    <mergeCell ref="AY123:BO123"/>
    <mergeCell ref="AY124:BO124"/>
    <mergeCell ref="AY128:BO128"/>
    <mergeCell ref="AY129:BO129"/>
    <mergeCell ref="AY130:BO130"/>
    <mergeCell ref="AY131:BO131"/>
    <mergeCell ref="AY139:BO139"/>
    <mergeCell ref="AY140:BO140"/>
    <mergeCell ref="AY141:BO141"/>
    <mergeCell ref="AY142:BO142"/>
    <mergeCell ref="AY143:BO143"/>
    <mergeCell ref="AY144:BO144"/>
    <mergeCell ref="AY145:BO145"/>
    <mergeCell ref="AY146:BO146"/>
    <mergeCell ref="AY132:BO132"/>
    <mergeCell ref="AY133:BO133"/>
    <mergeCell ref="AY134:BO134"/>
    <mergeCell ref="AY135:BO135"/>
    <mergeCell ref="AY136:BO136"/>
    <mergeCell ref="AY137:BO137"/>
    <mergeCell ref="AY138:BO138"/>
    <mergeCell ref="AY67:BO67"/>
    <mergeCell ref="AY68:BO68"/>
    <mergeCell ref="AY69:BO69"/>
    <mergeCell ref="AY70:BO70"/>
    <mergeCell ref="AY71:BO71"/>
    <mergeCell ref="AY72:BO72"/>
    <mergeCell ref="AY73:BO73"/>
    <mergeCell ref="AY74:BO74"/>
    <mergeCell ref="AY75:BO75"/>
    <mergeCell ref="AY76:BO76"/>
    <mergeCell ref="AY77:BO77"/>
    <mergeCell ref="AY78:BO78"/>
    <mergeCell ref="AY79:BO79"/>
    <mergeCell ref="AY80:BO80"/>
    <mergeCell ref="AY84:BO84"/>
    <mergeCell ref="AY85:BO85"/>
    <mergeCell ref="AY86:BO86"/>
    <mergeCell ref="AY87:BO87"/>
    <mergeCell ref="AY88:BO88"/>
    <mergeCell ref="AY89:BO89"/>
    <mergeCell ref="AY90:BO90"/>
    <mergeCell ref="AY91:BO91"/>
    <mergeCell ref="AY92:BO92"/>
    <mergeCell ref="AY93:BO93"/>
    <mergeCell ref="AY94:BO94"/>
    <mergeCell ref="AY95:BO95"/>
    <mergeCell ref="AY96:BO96"/>
    <mergeCell ref="AY97:BO97"/>
    <mergeCell ref="AY98:BO98"/>
    <mergeCell ref="AY99:BO99"/>
    <mergeCell ref="AY100:BO100"/>
    <mergeCell ref="AY101:BO101"/>
    <mergeCell ref="AY102:BO102"/>
    <mergeCell ref="AY106:BO106"/>
    <mergeCell ref="AY107:BO107"/>
    <mergeCell ref="AY108:BO108"/>
    <mergeCell ref="AY109:BO109"/>
    <mergeCell ref="AY110:BO110"/>
    <mergeCell ref="AY111:BO111"/>
    <mergeCell ref="AY112:BO112"/>
    <mergeCell ref="AY113:BO113"/>
    <mergeCell ref="AY114:BO114"/>
    <mergeCell ref="AY115:BO115"/>
    <mergeCell ref="AY116:BO116"/>
    <mergeCell ref="AY117:BO117"/>
    <mergeCell ref="AY118:BO118"/>
    <mergeCell ref="AY119:BO119"/>
    <mergeCell ref="AY120:BO120"/>
    <mergeCell ref="AY121:BO121"/>
    <mergeCell ref="Q7:U7"/>
    <mergeCell ref="Q8:U8"/>
    <mergeCell ref="Q3:U3"/>
    <mergeCell ref="Q4:U4"/>
    <mergeCell ref="Q5:U5"/>
    <mergeCell ref="X5:AB5"/>
    <mergeCell ref="Q6:U6"/>
    <mergeCell ref="X6:AB6"/>
    <mergeCell ref="X7:AB7"/>
    <mergeCell ref="X8:AB8"/>
    <mergeCell ref="AR3:AW3"/>
    <mergeCell ref="AY3:BO3"/>
    <mergeCell ref="AS4:AW4"/>
    <mergeCell ref="AY4:BO4"/>
    <mergeCell ref="AY5:BO5"/>
    <mergeCell ref="AY6:BO6"/>
    <mergeCell ref="AY7:BO7"/>
    <mergeCell ref="AY8:BO8"/>
    <mergeCell ref="B1:G1"/>
    <mergeCell ref="J3:N3"/>
    <mergeCell ref="X3:AB3"/>
    <mergeCell ref="AL3:AP3"/>
    <mergeCell ref="J4:N4"/>
    <mergeCell ref="X4:AB4"/>
    <mergeCell ref="AL4:AP4"/>
    <mergeCell ref="J6:N6"/>
    <mergeCell ref="J7:N7"/>
    <mergeCell ref="J8:N8"/>
    <mergeCell ref="J9:N9"/>
    <mergeCell ref="AE6:AI6"/>
    <mergeCell ref="AE7:AI7"/>
    <mergeCell ref="AL7:AP7"/>
    <mergeCell ref="AS7:AW7"/>
    <mergeCell ref="AE8:AI8"/>
    <mergeCell ref="AL8:AP8"/>
    <mergeCell ref="AR8:AW8"/>
    <mergeCell ref="AE3:AI3"/>
    <mergeCell ref="AE4:AI4"/>
    <mergeCell ref="AE5:AI5"/>
    <mergeCell ref="AL5:AP5"/>
    <mergeCell ref="AS5:AW5"/>
    <mergeCell ref="AL6:AP6"/>
    <mergeCell ref="AS6:AW6"/>
    <mergeCell ref="B3:G4"/>
    <mergeCell ref="B5:C5"/>
    <mergeCell ref="D5:F5"/>
    <mergeCell ref="J5:N5"/>
    <mergeCell ref="B7:C7"/>
    <mergeCell ref="D7:E7"/>
    <mergeCell ref="F7:G7"/>
    <mergeCell ref="X9:AB9"/>
    <mergeCell ref="AE9:AI9"/>
    <mergeCell ref="AL9:AP9"/>
    <mergeCell ref="AS9:AW9"/>
    <mergeCell ref="AY9:BO9"/>
    <mergeCell ref="B8:C8"/>
    <mergeCell ref="D8:E8"/>
    <mergeCell ref="F8:G8"/>
    <mergeCell ref="B9:C9"/>
    <mergeCell ref="D9:E9"/>
    <mergeCell ref="F9:G9"/>
    <mergeCell ref="Q9:U9"/>
    <mergeCell ref="AL10:AP10"/>
    <mergeCell ref="AS10:AW10"/>
    <mergeCell ref="AY10:BO10"/>
    <mergeCell ref="B10:C10"/>
    <mergeCell ref="D10:E10"/>
    <mergeCell ref="F10:G10"/>
    <mergeCell ref="J10:N10"/>
    <mergeCell ref="Q10:U10"/>
    <mergeCell ref="X10:AB10"/>
    <mergeCell ref="AE10:AI10"/>
    <mergeCell ref="AL11:AP11"/>
    <mergeCell ref="AS11:AW11"/>
    <mergeCell ref="AY11:BO11"/>
    <mergeCell ref="AS12:AW12"/>
    <mergeCell ref="AY12:BO12"/>
    <mergeCell ref="AR13:AW13"/>
    <mergeCell ref="AY13:BO13"/>
    <mergeCell ref="B11:C11"/>
    <mergeCell ref="D11:E11"/>
    <mergeCell ref="F11:G11"/>
    <mergeCell ref="J11:N11"/>
    <mergeCell ref="Q11:U11"/>
    <mergeCell ref="X11:AB11"/>
    <mergeCell ref="AE11:AI11"/>
    <mergeCell ref="D14:E14"/>
    <mergeCell ref="F14:G14"/>
    <mergeCell ref="J14:N14"/>
    <mergeCell ref="Q14:U14"/>
    <mergeCell ref="X14:AB14"/>
    <mergeCell ref="AE14:AI14"/>
    <mergeCell ref="AL14:AP14"/>
    <mergeCell ref="AY20:BO20"/>
    <mergeCell ref="AY21:BO21"/>
    <mergeCell ref="AS14:AW14"/>
    <mergeCell ref="AY14:BO14"/>
    <mergeCell ref="AY15:BO15"/>
    <mergeCell ref="AY16:BO16"/>
    <mergeCell ref="AY17:BO17"/>
    <mergeCell ref="AY18:BO18"/>
    <mergeCell ref="AY19:BO19"/>
    <mergeCell ref="AL15:AP15"/>
    <mergeCell ref="AS15:AW15"/>
    <mergeCell ref="B15:C15"/>
    <mergeCell ref="D15:E15"/>
    <mergeCell ref="F15:G15"/>
    <mergeCell ref="J15:N15"/>
    <mergeCell ref="Q15:U15"/>
    <mergeCell ref="X15:AB15"/>
    <mergeCell ref="AE15:AI15"/>
    <mergeCell ref="AL16:AP16"/>
    <mergeCell ref="AS16:AW16"/>
    <mergeCell ref="B16:C16"/>
    <mergeCell ref="D16:E16"/>
    <mergeCell ref="F16:G16"/>
    <mergeCell ref="J16:N16"/>
    <mergeCell ref="Q16:U16"/>
    <mergeCell ref="X16:AB16"/>
    <mergeCell ref="AE16:AI16"/>
    <mergeCell ref="AL17:AP17"/>
    <mergeCell ref="AS17:AW17"/>
    <mergeCell ref="AL18:AP18"/>
    <mergeCell ref="AR18:AW18"/>
    <mergeCell ref="AL19:AP19"/>
    <mergeCell ref="AS19:AW19"/>
    <mergeCell ref="AE17:AI17"/>
    <mergeCell ref="AE18:AI18"/>
    <mergeCell ref="AE19:AI19"/>
    <mergeCell ref="B18:C19"/>
    <mergeCell ref="J19:N19"/>
    <mergeCell ref="Q19:U19"/>
    <mergeCell ref="X19:AB19"/>
    <mergeCell ref="B12:C12"/>
    <mergeCell ref="D12:E12"/>
    <mergeCell ref="F12:G12"/>
    <mergeCell ref="B13:C13"/>
    <mergeCell ref="D13:E13"/>
    <mergeCell ref="F13:G13"/>
    <mergeCell ref="B14:C14"/>
    <mergeCell ref="X26:AB26"/>
    <mergeCell ref="X27:AB27"/>
    <mergeCell ref="Q28:U28"/>
    <mergeCell ref="X28:AB28"/>
    <mergeCell ref="AE28:AI28"/>
    <mergeCell ref="X29:AB29"/>
    <mergeCell ref="AE29:AI29"/>
    <mergeCell ref="Q32:U32"/>
    <mergeCell ref="Q33:U33"/>
    <mergeCell ref="X33:AB33"/>
    <mergeCell ref="AE33:AI33"/>
    <mergeCell ref="Q29:U29"/>
    <mergeCell ref="Q30:U30"/>
    <mergeCell ref="X30:AB30"/>
    <mergeCell ref="AE30:AI30"/>
    <mergeCell ref="Q31:U31"/>
    <mergeCell ref="AE31:AI31"/>
    <mergeCell ref="AE32:AI32"/>
    <mergeCell ref="Q37:U37"/>
    <mergeCell ref="Q38:U38"/>
    <mergeCell ref="X38:AB38"/>
    <mergeCell ref="AE38:AI38"/>
    <mergeCell ref="AL38:AP38"/>
    <mergeCell ref="AS38:AW38"/>
    <mergeCell ref="AY38:BO38"/>
    <mergeCell ref="X31:AB31"/>
    <mergeCell ref="X32:AB32"/>
    <mergeCell ref="Q36:U36"/>
    <mergeCell ref="X36:AB36"/>
    <mergeCell ref="AE36:AI36"/>
    <mergeCell ref="X37:AB37"/>
    <mergeCell ref="AE37:AI37"/>
    <mergeCell ref="AL40:AP40"/>
    <mergeCell ref="AR40:AW40"/>
    <mergeCell ref="AL41:AP41"/>
    <mergeCell ref="AS41:AW41"/>
    <mergeCell ref="AY41:BO41"/>
    <mergeCell ref="Q39:U39"/>
    <mergeCell ref="X39:AB39"/>
    <mergeCell ref="AL39:AP39"/>
    <mergeCell ref="AS39:AW39"/>
    <mergeCell ref="AY39:BO39"/>
    <mergeCell ref="Q40:U40"/>
    <mergeCell ref="X40:AB40"/>
    <mergeCell ref="AY40:BO40"/>
    <mergeCell ref="AE42:AI42"/>
    <mergeCell ref="AL42:AP42"/>
    <mergeCell ref="AS42:AW42"/>
    <mergeCell ref="AY42:BO42"/>
    <mergeCell ref="X42:AB42"/>
    <mergeCell ref="X43:AB43"/>
    <mergeCell ref="AL43:AP43"/>
    <mergeCell ref="AS43:AW43"/>
    <mergeCell ref="AY43:BO43"/>
    <mergeCell ref="AE39:AI39"/>
    <mergeCell ref="AE40:AI40"/>
    <mergeCell ref="Q41:U41"/>
    <mergeCell ref="X41:AB41"/>
    <mergeCell ref="AE41:AI41"/>
    <mergeCell ref="Q42:U42"/>
    <mergeCell ref="Q43:U43"/>
    <mergeCell ref="AE43:AI43"/>
    <mergeCell ref="Y46:AE46"/>
    <mergeCell ref="AH46:AI46"/>
    <mergeCell ref="AJ46:AP46"/>
    <mergeCell ref="Y47:AE47"/>
    <mergeCell ref="AJ47:AP47"/>
    <mergeCell ref="AJ48:AP48"/>
    <mergeCell ref="AH54:AI54"/>
    <mergeCell ref="AH55:AI55"/>
    <mergeCell ref="AH56:AI56"/>
    <mergeCell ref="AH57:AI57"/>
    <mergeCell ref="AH47:AI47"/>
    <mergeCell ref="AH48:AI48"/>
    <mergeCell ref="AH49:AI49"/>
    <mergeCell ref="AH50:AI50"/>
    <mergeCell ref="AH51:AI51"/>
    <mergeCell ref="AH52:AI52"/>
    <mergeCell ref="AH53:AI53"/>
    <mergeCell ref="Y55:AE55"/>
    <mergeCell ref="Y56:AE56"/>
    <mergeCell ref="Y57:AE57"/>
    <mergeCell ref="Y48:AE48"/>
    <mergeCell ref="Y49:AE49"/>
    <mergeCell ref="Y50:AE50"/>
    <mergeCell ref="Y51:AE51"/>
    <mergeCell ref="Y52:AE52"/>
    <mergeCell ref="Y53:AE53"/>
    <mergeCell ref="Y54:AE54"/>
    <mergeCell ref="AJ49:AP49"/>
    <mergeCell ref="AJ50:AP50"/>
    <mergeCell ref="AJ51:AP51"/>
    <mergeCell ref="AJ52:AP52"/>
    <mergeCell ref="AJ53:AP53"/>
    <mergeCell ref="AJ54:AP54"/>
    <mergeCell ref="AJ55:AP55"/>
    <mergeCell ref="AJ56:AP56"/>
    <mergeCell ref="AJ57:AP57"/>
    <mergeCell ref="AY62:BO62"/>
    <mergeCell ref="AY63:BO63"/>
    <mergeCell ref="AY64:BO64"/>
    <mergeCell ref="AY65:BO65"/>
    <mergeCell ref="AY66:BO66"/>
    <mergeCell ref="AS137:AW137"/>
    <mergeCell ref="AR138:AW138"/>
    <mergeCell ref="AS130:AW130"/>
    <mergeCell ref="AS131:AW131"/>
    <mergeCell ref="AS132:AW132"/>
    <mergeCell ref="AR133:AW133"/>
    <mergeCell ref="AS134:AW134"/>
    <mergeCell ref="AS135:AW135"/>
    <mergeCell ref="AS136:AW136"/>
    <mergeCell ref="AL101:AP101"/>
    <mergeCell ref="AL102:AP102"/>
    <mergeCell ref="AL106:AP106"/>
    <mergeCell ref="AR106:AW106"/>
    <mergeCell ref="AL107:AP107"/>
    <mergeCell ref="AS107:AW107"/>
    <mergeCell ref="AS108:AW108"/>
    <mergeCell ref="AS112:AW112"/>
    <mergeCell ref="AS113:AW113"/>
    <mergeCell ref="AS115:AW115"/>
    <mergeCell ref="AR116:AW116"/>
    <mergeCell ref="AL108:AP108"/>
    <mergeCell ref="AL109:AP109"/>
    <mergeCell ref="AL110:AP110"/>
    <mergeCell ref="AL111:AP111"/>
    <mergeCell ref="AR111:AW111"/>
    <mergeCell ref="AL112:AP112"/>
    <mergeCell ref="AL113:AP113"/>
    <mergeCell ref="AL114:AP114"/>
    <mergeCell ref="AS114:AW114"/>
    <mergeCell ref="AL117:AP117"/>
    <mergeCell ref="AS117:AW117"/>
    <mergeCell ref="AL118:AP118"/>
    <mergeCell ref="AS118:AW118"/>
    <mergeCell ref="AS119:AW119"/>
    <mergeCell ref="AL119:AP119"/>
    <mergeCell ref="AL120:AP120"/>
    <mergeCell ref="AL121:AP121"/>
    <mergeCell ref="AL122:AP122"/>
    <mergeCell ref="AL123:AP123"/>
    <mergeCell ref="AL124:AP124"/>
    <mergeCell ref="AL128:AP128"/>
    <mergeCell ref="AS120:AW120"/>
    <mergeCell ref="AR121:AW121"/>
    <mergeCell ref="AS122:AW122"/>
    <mergeCell ref="AS123:AW123"/>
    <mergeCell ref="AS124:AW124"/>
    <mergeCell ref="AR128:AW128"/>
    <mergeCell ref="AS129:AW129"/>
    <mergeCell ref="AL129:AP129"/>
    <mergeCell ref="AL130:AP130"/>
    <mergeCell ref="AL131:AP131"/>
    <mergeCell ref="AL132:AP132"/>
    <mergeCell ref="AL133:AP133"/>
    <mergeCell ref="AL134:AP134"/>
    <mergeCell ref="AL135:AP135"/>
    <mergeCell ref="L51:M51"/>
    <mergeCell ref="H52:K52"/>
    <mergeCell ref="N52:T52"/>
    <mergeCell ref="W52:X52"/>
    <mergeCell ref="N53:T53"/>
    <mergeCell ref="W53:X53"/>
    <mergeCell ref="W54:X54"/>
    <mergeCell ref="N54:T54"/>
    <mergeCell ref="N55:T55"/>
    <mergeCell ref="W55:X55"/>
    <mergeCell ref="N56:T56"/>
    <mergeCell ref="W56:X56"/>
    <mergeCell ref="N57:T57"/>
    <mergeCell ref="W57:X57"/>
    <mergeCell ref="AS63:AW63"/>
    <mergeCell ref="AS64:AW64"/>
    <mergeCell ref="AS66:AW66"/>
    <mergeCell ref="AL64:AP64"/>
    <mergeCell ref="AL65:AP65"/>
    <mergeCell ref="AL66:AP66"/>
    <mergeCell ref="AE65:AI65"/>
    <mergeCell ref="AE66:AI66"/>
    <mergeCell ref="AD62:AI62"/>
    <mergeCell ref="AK62:AP62"/>
    <mergeCell ref="AR62:AW62"/>
    <mergeCell ref="AE63:AI63"/>
    <mergeCell ref="AL63:AP63"/>
    <mergeCell ref="AE64:AI64"/>
    <mergeCell ref="AS65:AW65"/>
    <mergeCell ref="J18:N18"/>
    <mergeCell ref="J20:N20"/>
    <mergeCell ref="J25:N25"/>
    <mergeCell ref="J26:N26"/>
    <mergeCell ref="J27:N27"/>
    <mergeCell ref="J28:N28"/>
    <mergeCell ref="J29:N29"/>
    <mergeCell ref="J30:N30"/>
    <mergeCell ref="J31:N31"/>
    <mergeCell ref="J32:N32"/>
    <mergeCell ref="J33:N33"/>
    <mergeCell ref="J36:N36"/>
    <mergeCell ref="J37:N37"/>
    <mergeCell ref="J38:N38"/>
    <mergeCell ref="N46:T46"/>
    <mergeCell ref="W46:X46"/>
    <mergeCell ref="N47:T47"/>
    <mergeCell ref="W47:X47"/>
    <mergeCell ref="N48:T48"/>
    <mergeCell ref="W48:X48"/>
    <mergeCell ref="J39:N39"/>
    <mergeCell ref="J40:N40"/>
    <mergeCell ref="J41:N41"/>
    <mergeCell ref="J42:N42"/>
    <mergeCell ref="J43:N43"/>
    <mergeCell ref="B45:G45"/>
    <mergeCell ref="L46:M46"/>
    <mergeCell ref="H49:K49"/>
    <mergeCell ref="L49:M49"/>
    <mergeCell ref="N49:T49"/>
    <mergeCell ref="W49:X49"/>
    <mergeCell ref="B50:D50"/>
    <mergeCell ref="E50:G50"/>
    <mergeCell ref="H50:K50"/>
    <mergeCell ref="L50:M50"/>
    <mergeCell ref="N50:T50"/>
    <mergeCell ref="W50:X50"/>
    <mergeCell ref="N51:T51"/>
    <mergeCell ref="W51:X51"/>
    <mergeCell ref="X66:AB66"/>
    <mergeCell ref="X67:AB67"/>
    <mergeCell ref="Q68:U68"/>
    <mergeCell ref="X68:AB68"/>
    <mergeCell ref="Q69:U69"/>
    <mergeCell ref="X69:AB69"/>
    <mergeCell ref="Q70:U70"/>
    <mergeCell ref="X70:AB70"/>
    <mergeCell ref="P62:U62"/>
    <mergeCell ref="W62:AB62"/>
    <mergeCell ref="Q63:U63"/>
    <mergeCell ref="X63:AB63"/>
    <mergeCell ref="Q64:U64"/>
    <mergeCell ref="X64:AB64"/>
    <mergeCell ref="X65:AB65"/>
    <mergeCell ref="AL68:AP68"/>
    <mergeCell ref="AL69:AP69"/>
    <mergeCell ref="Q65:U65"/>
    <mergeCell ref="Q66:U66"/>
    <mergeCell ref="Q67:U67"/>
    <mergeCell ref="AE67:AI67"/>
    <mergeCell ref="AL67:AP67"/>
    <mergeCell ref="AE68:AI68"/>
    <mergeCell ref="AE69:AI69"/>
    <mergeCell ref="AE70:AI70"/>
    <mergeCell ref="AL70:AP70"/>
    <mergeCell ref="P72:U72"/>
    <mergeCell ref="W72:AB72"/>
    <mergeCell ref="AK72:AP72"/>
    <mergeCell ref="X73:AB73"/>
    <mergeCell ref="AL73:AP73"/>
    <mergeCell ref="AS74:AW74"/>
    <mergeCell ref="AS75:AW75"/>
    <mergeCell ref="AS76:AW76"/>
    <mergeCell ref="AR77:AW77"/>
    <mergeCell ref="AS78:AW78"/>
    <mergeCell ref="AS79:AW79"/>
    <mergeCell ref="AS80:AW80"/>
    <mergeCell ref="AR67:AW67"/>
    <mergeCell ref="AS68:AW68"/>
    <mergeCell ref="AS69:AW69"/>
    <mergeCell ref="AS70:AW70"/>
    <mergeCell ref="AS71:AW71"/>
    <mergeCell ref="AR72:AW72"/>
    <mergeCell ref="AS73:AW73"/>
    <mergeCell ref="AL77:AP77"/>
    <mergeCell ref="AL78:AP78"/>
    <mergeCell ref="H48:K48"/>
    <mergeCell ref="H51:K51"/>
    <mergeCell ref="H53:K53"/>
    <mergeCell ref="H54:K54"/>
    <mergeCell ref="H55:K55"/>
    <mergeCell ref="H56:K56"/>
    <mergeCell ref="H57:K57"/>
    <mergeCell ref="B47:G48"/>
    <mergeCell ref="H47:K47"/>
    <mergeCell ref="L47:M47"/>
    <mergeCell ref="L48:M48"/>
    <mergeCell ref="B49:C49"/>
    <mergeCell ref="D49:F49"/>
    <mergeCell ref="L52:M52"/>
    <mergeCell ref="D64:F64"/>
    <mergeCell ref="B65:F65"/>
    <mergeCell ref="B66:F66"/>
    <mergeCell ref="B67:C68"/>
    <mergeCell ref="B69:C70"/>
    <mergeCell ref="B71:C72"/>
    <mergeCell ref="B51:C52"/>
    <mergeCell ref="A53:C54"/>
    <mergeCell ref="A55:C56"/>
    <mergeCell ref="A57:C58"/>
    <mergeCell ref="B60:G60"/>
    <mergeCell ref="B62:G63"/>
    <mergeCell ref="B64:C64"/>
    <mergeCell ref="L53:M53"/>
    <mergeCell ref="L54:M54"/>
    <mergeCell ref="L55:M55"/>
    <mergeCell ref="L56:M56"/>
    <mergeCell ref="L57:M57"/>
    <mergeCell ref="I62:N62"/>
    <mergeCell ref="J63:N63"/>
    <mergeCell ref="J64:N64"/>
    <mergeCell ref="J65:N65"/>
    <mergeCell ref="J66:N66"/>
    <mergeCell ref="J67:N67"/>
    <mergeCell ref="J68:N68"/>
    <mergeCell ref="J69:N69"/>
    <mergeCell ref="J70:N70"/>
    <mergeCell ref="I72:N72"/>
    <mergeCell ref="J73:N73"/>
    <mergeCell ref="J74:N74"/>
    <mergeCell ref="J75:N75"/>
    <mergeCell ref="J76:N76"/>
    <mergeCell ref="J77:N77"/>
    <mergeCell ref="J78:N78"/>
    <mergeCell ref="AS101:AW101"/>
    <mergeCell ref="AS102:AW102"/>
    <mergeCell ref="AR94:AW94"/>
    <mergeCell ref="AS95:AW95"/>
    <mergeCell ref="AS96:AW96"/>
    <mergeCell ref="AS97:AW97"/>
    <mergeCell ref="AS98:AW98"/>
    <mergeCell ref="AS99:AW99"/>
    <mergeCell ref="AS100:AW100"/>
    <mergeCell ref="AD72:AI72"/>
    <mergeCell ref="AE73:AI73"/>
    <mergeCell ref="AE74:AI74"/>
    <mergeCell ref="AL74:AP74"/>
    <mergeCell ref="AE75:AI75"/>
    <mergeCell ref="AL75:AP75"/>
    <mergeCell ref="AL76:AP76"/>
    <mergeCell ref="AE76:AI76"/>
    <mergeCell ref="AE77:AI77"/>
    <mergeCell ref="AE78:AI78"/>
    <mergeCell ref="AE79:AI79"/>
    <mergeCell ref="AL79:AP79"/>
    <mergeCell ref="AE80:AI80"/>
    <mergeCell ref="AL80:AP80"/>
    <mergeCell ref="AD84:AI84"/>
    <mergeCell ref="AK84:AP84"/>
    <mergeCell ref="AR84:AW84"/>
    <mergeCell ref="AE85:AI85"/>
    <mergeCell ref="AL85:AP85"/>
    <mergeCell ref="AE86:AI86"/>
    <mergeCell ref="AS87:AW87"/>
    <mergeCell ref="AL86:AP86"/>
    <mergeCell ref="AL87:AP87"/>
    <mergeCell ref="AL88:AP88"/>
    <mergeCell ref="AL89:AP89"/>
    <mergeCell ref="AL90:AP90"/>
    <mergeCell ref="AL91:AP91"/>
    <mergeCell ref="AL92:AP92"/>
    <mergeCell ref="AS85:AW85"/>
    <mergeCell ref="AS86:AW86"/>
    <mergeCell ref="AS88:AW88"/>
    <mergeCell ref="AS89:AW89"/>
    <mergeCell ref="AS90:AW90"/>
    <mergeCell ref="AS91:AW91"/>
    <mergeCell ref="AS92:AW92"/>
    <mergeCell ref="AK94:AP94"/>
    <mergeCell ref="AL95:AP95"/>
    <mergeCell ref="AL96:AP96"/>
    <mergeCell ref="AL97:AP97"/>
    <mergeCell ref="AL98:AP98"/>
    <mergeCell ref="AL99:AP99"/>
    <mergeCell ref="AL100:AP100"/>
    <mergeCell ref="AS109:AW109"/>
    <mergeCell ref="AS110:AW110"/>
    <mergeCell ref="AS141:AW141"/>
    <mergeCell ref="AS142:AW142"/>
    <mergeCell ref="AL143:AP143"/>
    <mergeCell ref="AR143:AW143"/>
    <mergeCell ref="AL144:AP144"/>
    <mergeCell ref="AS144:AW144"/>
    <mergeCell ref="AL145:AP145"/>
    <mergeCell ref="AS145:AW145"/>
    <mergeCell ref="AL146:AP146"/>
    <mergeCell ref="AS146:AW146"/>
    <mergeCell ref="AL136:AP136"/>
    <mergeCell ref="AL139:AP139"/>
    <mergeCell ref="AS139:AW139"/>
    <mergeCell ref="AL140:AP140"/>
    <mergeCell ref="AS140:AW140"/>
    <mergeCell ref="AL141:AP141"/>
    <mergeCell ref="AL142:AP142"/>
  </mergeCells>
  <dataValidations>
    <dataValidation type="list" allowBlank="1" sqref="I84 P84 W84 AD84 AK84 AR84 I94 P94 W94 AD94 AK94 AR94">
      <formula1>'Formula References'!$O$4:$O$29</formula1>
    </dataValidation>
    <dataValidation type="list" allowBlank="1" sqref="I62 P62 W62 AD62 AK62 I72 P72 W72 AD72 AK72">
      <formula1>'Formula References'!$P$4:$P$29</formula1>
    </dataValidation>
    <dataValidation type="list" allowBlank="1" sqref="B3 B25 B47 B62 B84 B106 B128">
      <formula1>'Main Sheet'!$AE$2:$AJ$4</formula1>
    </dataValidation>
    <dataValidation type="list" allowBlank="1" sqref="D5 D27 D49 D64 D86 D108 D130">
      <formula1>"Strength,Dexterity,Constitution,Intelligence,Wisdom,Charisma"</formula1>
    </dataValidation>
  </dataValidations>
  <hyperlinks>
    <hyperlink r:id="rId2" ref="F134"/>
  </hyperlinks>
  <drawing r:id="rId3"/>
  <legacy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44" width="9.25"/>
  </cols>
  <sheetData>
    <row r="1">
      <c r="A1" s="228"/>
      <c r="B1" s="230" t="s">
        <v>151</v>
      </c>
      <c r="C1" s="233"/>
      <c r="D1" s="228"/>
      <c r="E1" s="228"/>
      <c r="F1" s="228"/>
      <c r="G1" s="228"/>
      <c r="H1" s="228"/>
      <c r="I1" s="228"/>
      <c r="J1" s="228"/>
      <c r="K1" s="233"/>
      <c r="L1" s="233"/>
      <c r="M1" s="233"/>
      <c r="N1" s="233"/>
      <c r="O1" s="237"/>
      <c r="P1" s="239" t="s">
        <v>153</v>
      </c>
      <c r="Q1" s="23"/>
      <c r="R1" s="23"/>
      <c r="S1" s="23"/>
      <c r="T1" s="23"/>
      <c r="U1" s="23"/>
      <c r="V1" s="23"/>
      <c r="W1" s="24"/>
      <c r="X1" s="241"/>
      <c r="Y1" s="241"/>
      <c r="Z1" s="241"/>
      <c r="AA1" s="243"/>
      <c r="AB1" s="243"/>
      <c r="AC1" s="243"/>
      <c r="AD1" s="243"/>
      <c r="AE1" s="243"/>
      <c r="AF1" s="243"/>
      <c r="AG1" s="243"/>
      <c r="AH1" s="243"/>
      <c r="AI1" s="243"/>
      <c r="AJ1" s="243"/>
      <c r="AK1" s="243"/>
      <c r="AL1" s="243"/>
      <c r="AM1" s="243"/>
      <c r="AN1" s="243"/>
      <c r="AO1" s="243"/>
      <c r="AP1" s="243"/>
      <c r="AQ1" s="243"/>
      <c r="AR1" s="243"/>
    </row>
    <row r="2">
      <c r="A2" s="245"/>
      <c r="B2" s="246" t="s">
        <v>158</v>
      </c>
      <c r="C2" s="250" t="s">
        <v>11</v>
      </c>
      <c r="D2" s="252" t="s">
        <v>13</v>
      </c>
      <c r="E2" s="252" t="s">
        <v>14</v>
      </c>
      <c r="F2" s="252" t="s">
        <v>159</v>
      </c>
      <c r="G2" s="252" t="s">
        <v>16</v>
      </c>
      <c r="H2" s="252" t="s">
        <v>12</v>
      </c>
      <c r="I2" s="255" t="s">
        <v>160</v>
      </c>
      <c r="J2" s="252" t="s">
        <v>162</v>
      </c>
      <c r="K2" s="258" t="s">
        <v>163</v>
      </c>
      <c r="L2" s="233"/>
      <c r="M2" s="233"/>
      <c r="N2" s="233"/>
      <c r="O2" s="237"/>
      <c r="P2" s="259" t="s">
        <v>164</v>
      </c>
      <c r="Q2" s="67"/>
      <c r="R2" s="67"/>
      <c r="S2" s="67"/>
      <c r="T2" s="67"/>
      <c r="U2" s="67"/>
      <c r="V2" s="67"/>
      <c r="W2" s="69"/>
      <c r="X2" s="241"/>
      <c r="Y2" s="241"/>
      <c r="Z2" s="241"/>
      <c r="AA2" s="243"/>
      <c r="AB2" s="243"/>
      <c r="AC2" s="243"/>
      <c r="AD2" s="243"/>
      <c r="AE2" s="243"/>
      <c r="AF2" s="243"/>
      <c r="AG2" s="243"/>
      <c r="AH2" s="243"/>
      <c r="AI2" s="243"/>
      <c r="AJ2" s="243"/>
      <c r="AK2" s="243"/>
      <c r="AL2" s="243"/>
      <c r="AM2" s="243"/>
      <c r="AN2" s="243"/>
      <c r="AO2" s="243"/>
      <c r="AP2" s="243"/>
      <c r="AQ2" s="243"/>
      <c r="AR2" s="243"/>
    </row>
    <row r="3">
      <c r="A3" s="255" t="s">
        <v>120</v>
      </c>
      <c r="B3" s="262" t="s">
        <v>165</v>
      </c>
      <c r="C3" s="250">
        <v>8.0</v>
      </c>
      <c r="D3" s="255">
        <v>0.75</v>
      </c>
      <c r="E3" s="264" t="s">
        <v>167</v>
      </c>
      <c r="F3" s="264" t="s">
        <v>167</v>
      </c>
      <c r="G3" s="265" t="s">
        <v>168</v>
      </c>
      <c r="H3" s="250">
        <v>4.0</v>
      </c>
      <c r="I3" s="252" t="s">
        <v>169</v>
      </c>
      <c r="J3" s="255" t="str">
        <f>address(ROW($A$358),COLUMN($A$358))</f>
        <v>$A$358</v>
      </c>
      <c r="K3" s="255" t="s">
        <v>170</v>
      </c>
      <c r="L3" s="233"/>
      <c r="M3" s="233"/>
      <c r="N3" s="233"/>
      <c r="O3" s="237"/>
      <c r="P3" s="38"/>
      <c r="W3" s="269"/>
      <c r="X3" s="241"/>
      <c r="Y3" s="241"/>
      <c r="Z3" s="241"/>
      <c r="AA3" s="243"/>
      <c r="AB3" s="243"/>
      <c r="AC3" s="243"/>
      <c r="AD3" s="243"/>
      <c r="AE3" s="243"/>
      <c r="AF3" s="243"/>
      <c r="AG3" s="243"/>
      <c r="AH3" s="243"/>
      <c r="AI3" s="243"/>
      <c r="AJ3" s="243"/>
      <c r="AK3" s="241"/>
      <c r="AL3" s="241"/>
      <c r="AM3" s="241"/>
      <c r="AN3" s="241"/>
      <c r="AO3" s="241"/>
      <c r="AP3" s="241"/>
      <c r="AQ3" s="241"/>
      <c r="AR3" s="241"/>
    </row>
    <row r="4">
      <c r="A4" s="255" t="s">
        <v>120</v>
      </c>
      <c r="B4" s="262" t="s">
        <v>172</v>
      </c>
      <c r="C4" s="250">
        <v>10.0</v>
      </c>
      <c r="D4" s="255">
        <v>1.0</v>
      </c>
      <c r="E4" s="264" t="s">
        <v>167</v>
      </c>
      <c r="F4" s="265" t="s">
        <v>168</v>
      </c>
      <c r="G4" s="264" t="s">
        <v>167</v>
      </c>
      <c r="H4" s="250">
        <v>2.0</v>
      </c>
      <c r="I4" s="252" t="s">
        <v>173</v>
      </c>
      <c r="J4" s="255" t="str">
        <f>ADDRESS(ROW($A$381),COLUMN($A$381))</f>
        <v>$A$381</v>
      </c>
      <c r="K4" s="255" t="s">
        <v>174</v>
      </c>
      <c r="L4" s="233"/>
      <c r="M4" s="233"/>
      <c r="N4" s="233"/>
      <c r="O4" s="237"/>
      <c r="P4" s="38"/>
      <c r="W4" s="269"/>
      <c r="X4" s="241"/>
      <c r="Y4" s="241"/>
      <c r="Z4" s="241"/>
      <c r="AA4" s="243"/>
      <c r="AB4" s="243"/>
      <c r="AC4" s="243"/>
      <c r="AD4" s="243"/>
      <c r="AE4" s="243"/>
      <c r="AF4" s="243"/>
      <c r="AG4" s="243"/>
      <c r="AH4" s="243"/>
      <c r="AI4" s="243"/>
      <c r="AJ4" s="243"/>
      <c r="AK4" s="241"/>
      <c r="AL4" s="241"/>
      <c r="AM4" s="241"/>
      <c r="AN4" s="241"/>
      <c r="AO4" s="241"/>
      <c r="AP4" s="241"/>
      <c r="AQ4" s="241"/>
      <c r="AR4" s="241"/>
    </row>
    <row r="5">
      <c r="A5" s="255" t="s">
        <v>120</v>
      </c>
      <c r="B5" s="273" t="s">
        <v>177</v>
      </c>
      <c r="C5" s="250">
        <v>12.0</v>
      </c>
      <c r="D5" s="255">
        <v>1.0</v>
      </c>
      <c r="E5" s="264" t="s">
        <v>167</v>
      </c>
      <c r="F5" s="265" t="s">
        <v>168</v>
      </c>
      <c r="G5" s="265" t="s">
        <v>168</v>
      </c>
      <c r="H5" s="258">
        <v>4.0</v>
      </c>
      <c r="I5" s="258" t="s">
        <v>178</v>
      </c>
      <c r="J5" s="258" t="s">
        <v>178</v>
      </c>
      <c r="K5" s="258" t="s">
        <v>178</v>
      </c>
      <c r="L5" s="233"/>
      <c r="M5" s="233"/>
      <c r="N5" s="233"/>
      <c r="O5" s="237"/>
      <c r="P5" s="38"/>
      <c r="W5" s="269"/>
      <c r="X5" s="241"/>
      <c r="Y5" s="241"/>
      <c r="Z5" s="241"/>
      <c r="AA5" s="243"/>
      <c r="AB5" s="243"/>
      <c r="AC5" s="243"/>
      <c r="AD5" s="243"/>
      <c r="AE5" s="243"/>
      <c r="AF5" s="243"/>
      <c r="AG5" s="243"/>
      <c r="AH5" s="243"/>
      <c r="AI5" s="243"/>
      <c r="AJ5" s="243"/>
      <c r="AK5" s="241"/>
      <c r="AL5" s="241"/>
      <c r="AM5" s="241"/>
      <c r="AN5" s="241"/>
      <c r="AO5" s="241"/>
      <c r="AP5" s="241"/>
      <c r="AQ5" s="241"/>
      <c r="AR5" s="241"/>
    </row>
    <row r="6">
      <c r="A6" s="255" t="s">
        <v>120</v>
      </c>
      <c r="B6" s="273" t="s">
        <v>179</v>
      </c>
      <c r="C6" s="250">
        <v>8.0</v>
      </c>
      <c r="D6" s="255">
        <v>0.75</v>
      </c>
      <c r="E6" s="265" t="s">
        <v>168</v>
      </c>
      <c r="F6" s="264" t="s">
        <v>167</v>
      </c>
      <c r="G6" s="264" t="s">
        <v>167</v>
      </c>
      <c r="H6" s="258">
        <v>6.0</v>
      </c>
      <c r="I6" s="252" t="s">
        <v>173</v>
      </c>
      <c r="J6" s="255" t="str">
        <f>address(ROW($A$358),COLUMN($A$358))</f>
        <v>$A$358</v>
      </c>
      <c r="K6" s="252" t="str">
        <f>ADDRESS(ROW($O$358),COLUMN($O$358))</f>
        <v>$O$358</v>
      </c>
      <c r="L6" s="233"/>
      <c r="M6" s="233"/>
      <c r="N6" s="233"/>
      <c r="O6" s="237"/>
      <c r="P6" s="111"/>
      <c r="Q6" s="114"/>
      <c r="R6" s="114"/>
      <c r="S6" s="114"/>
      <c r="T6" s="114"/>
      <c r="U6" s="114"/>
      <c r="V6" s="114"/>
      <c r="W6" s="68"/>
      <c r="X6" s="241"/>
      <c r="Y6" s="241"/>
      <c r="Z6" s="241"/>
      <c r="AA6" s="243"/>
      <c r="AB6" s="243"/>
      <c r="AC6" s="243"/>
      <c r="AD6" s="243"/>
      <c r="AE6" s="243"/>
      <c r="AF6" s="243"/>
      <c r="AG6" s="243"/>
      <c r="AH6" s="243"/>
      <c r="AI6" s="243"/>
      <c r="AJ6" s="243"/>
      <c r="AK6" s="241"/>
      <c r="AL6" s="241"/>
      <c r="AM6" s="241"/>
      <c r="AN6" s="241"/>
      <c r="AO6" s="241"/>
      <c r="AP6" s="241"/>
      <c r="AQ6" s="241"/>
      <c r="AR6" s="241"/>
    </row>
    <row r="7">
      <c r="A7" s="255" t="s">
        <v>120</v>
      </c>
      <c r="B7" s="262" t="s">
        <v>181</v>
      </c>
      <c r="C7" s="250">
        <v>10.0</v>
      </c>
      <c r="D7" s="255">
        <v>1.0</v>
      </c>
      <c r="E7" s="264" t="s">
        <v>167</v>
      </c>
      <c r="F7" s="265" t="s">
        <v>168</v>
      </c>
      <c r="G7" s="265" t="s">
        <v>168</v>
      </c>
      <c r="H7" s="250">
        <v>4.0</v>
      </c>
      <c r="I7" s="258" t="s">
        <v>178</v>
      </c>
      <c r="J7" s="258" t="s">
        <v>178</v>
      </c>
      <c r="K7" s="258" t="s">
        <v>178</v>
      </c>
      <c r="L7" s="233"/>
      <c r="M7" s="233"/>
      <c r="N7" s="233"/>
      <c r="O7" s="233"/>
      <c r="P7" s="241"/>
      <c r="Q7" s="241"/>
      <c r="R7" s="241"/>
      <c r="S7" s="241"/>
      <c r="T7" s="241"/>
      <c r="U7" s="241"/>
      <c r="V7" s="241"/>
      <c r="W7" s="241"/>
      <c r="X7" s="241"/>
      <c r="Y7" s="241"/>
      <c r="Z7" s="241"/>
      <c r="AA7" s="243"/>
      <c r="AB7" s="243"/>
      <c r="AC7" s="243"/>
      <c r="AD7" s="243"/>
      <c r="AE7" s="243"/>
      <c r="AF7" s="243"/>
      <c r="AG7" s="243"/>
      <c r="AH7" s="243"/>
      <c r="AI7" s="243"/>
      <c r="AJ7" s="243"/>
      <c r="AK7" s="241"/>
      <c r="AL7" s="241"/>
      <c r="AM7" s="241"/>
      <c r="AN7" s="241"/>
      <c r="AO7" s="241"/>
      <c r="AP7" s="241"/>
      <c r="AQ7" s="241"/>
      <c r="AR7" s="241"/>
    </row>
    <row r="8">
      <c r="A8" s="255" t="s">
        <v>120</v>
      </c>
      <c r="B8" s="273" t="s">
        <v>182</v>
      </c>
      <c r="C8" s="250">
        <v>8.0</v>
      </c>
      <c r="D8" s="255">
        <v>0.75</v>
      </c>
      <c r="E8" s="264" t="s">
        <v>167</v>
      </c>
      <c r="F8" s="265" t="s">
        <v>168</v>
      </c>
      <c r="G8" s="264" t="s">
        <v>167</v>
      </c>
      <c r="H8" s="258">
        <v>2.0</v>
      </c>
      <c r="I8" s="252" t="s">
        <v>184</v>
      </c>
      <c r="J8" s="255" t="str">
        <f t="shared" ref="J8:J9" si="1">ADDRESS(ROW($A$335),COLUMN($A$335))</f>
        <v>$A$335</v>
      </c>
      <c r="K8" s="255" t="s">
        <v>174</v>
      </c>
      <c r="L8" s="233"/>
      <c r="M8" s="233"/>
      <c r="N8" s="233"/>
      <c r="O8" s="237"/>
      <c r="P8" s="278" t="s">
        <v>185</v>
      </c>
      <c r="Q8" s="243"/>
      <c r="R8" s="279" t="s">
        <v>186</v>
      </c>
      <c r="S8" s="23"/>
      <c r="T8" s="24"/>
      <c r="U8" s="241"/>
      <c r="V8" s="241"/>
      <c r="W8" s="241"/>
      <c r="X8" s="241"/>
      <c r="Y8" s="280" t="s">
        <v>188</v>
      </c>
      <c r="Z8" s="23"/>
      <c r="AA8" s="24"/>
      <c r="AB8" s="243"/>
      <c r="AC8" s="280" t="s">
        <v>189</v>
      </c>
      <c r="AD8" s="23"/>
      <c r="AE8" s="24"/>
      <c r="AF8" s="243"/>
      <c r="AG8" s="243"/>
      <c r="AH8" s="243"/>
      <c r="AI8" s="243"/>
      <c r="AJ8" s="243"/>
      <c r="AK8" s="241"/>
      <c r="AL8" s="241"/>
      <c r="AM8" s="241"/>
      <c r="AN8" s="241"/>
      <c r="AO8" s="241"/>
      <c r="AP8" s="241"/>
      <c r="AQ8" s="241"/>
      <c r="AR8" s="241"/>
    </row>
    <row r="9">
      <c r="A9" s="255" t="s">
        <v>120</v>
      </c>
      <c r="B9" s="273" t="s">
        <v>190</v>
      </c>
      <c r="C9" s="250">
        <v>8.0</v>
      </c>
      <c r="D9" s="255">
        <v>0.75</v>
      </c>
      <c r="E9" s="264" t="s">
        <v>167</v>
      </c>
      <c r="F9" s="265" t="s">
        <v>168</v>
      </c>
      <c r="G9" s="264" t="s">
        <v>167</v>
      </c>
      <c r="H9" s="258">
        <v>4.0</v>
      </c>
      <c r="I9" s="252" t="s">
        <v>184</v>
      </c>
      <c r="J9" s="255" t="str">
        <f t="shared" si="1"/>
        <v>$A$335</v>
      </c>
      <c r="K9" s="255" t="s">
        <v>174</v>
      </c>
      <c r="L9" s="233"/>
      <c r="M9" s="233"/>
      <c r="N9" s="233"/>
      <c r="O9" s="237"/>
      <c r="P9" s="281" t="s">
        <v>120</v>
      </c>
      <c r="Q9" s="241"/>
      <c r="R9" s="283" t="s">
        <v>191</v>
      </c>
      <c r="S9" s="283" t="s">
        <v>192</v>
      </c>
      <c r="T9" s="283" t="s">
        <v>193</v>
      </c>
      <c r="U9" s="241"/>
      <c r="V9" s="241"/>
      <c r="W9" s="241"/>
      <c r="X9" s="241"/>
      <c r="Y9" s="280" t="s">
        <v>194</v>
      </c>
      <c r="Z9" s="23"/>
      <c r="AA9" s="278" t="s">
        <v>195</v>
      </c>
      <c r="AB9" s="243"/>
      <c r="AC9" s="280" t="s">
        <v>194</v>
      </c>
      <c r="AD9" s="23"/>
      <c r="AE9" s="278" t="s">
        <v>195</v>
      </c>
      <c r="AF9" s="243"/>
      <c r="AG9" s="243"/>
      <c r="AH9" s="243"/>
      <c r="AI9" s="243"/>
      <c r="AJ9" s="243"/>
      <c r="AK9" s="241"/>
      <c r="AL9" s="241"/>
      <c r="AM9" s="241"/>
      <c r="AN9" s="241"/>
      <c r="AO9" s="241"/>
      <c r="AP9" s="241"/>
      <c r="AQ9" s="241"/>
      <c r="AR9" s="241"/>
    </row>
    <row r="10">
      <c r="A10" s="255" t="s">
        <v>120</v>
      </c>
      <c r="B10" s="273" t="s">
        <v>196</v>
      </c>
      <c r="C10" s="250">
        <v>10.0</v>
      </c>
      <c r="D10" s="255">
        <v>1.0</v>
      </c>
      <c r="E10" s="264" t="s">
        <v>167</v>
      </c>
      <c r="F10" s="265" t="s">
        <v>168</v>
      </c>
      <c r="G10" s="265" t="s">
        <v>168</v>
      </c>
      <c r="H10" s="258">
        <v>2.0</v>
      </c>
      <c r="I10" s="258" t="s">
        <v>178</v>
      </c>
      <c r="J10" s="258" t="s">
        <v>178</v>
      </c>
      <c r="K10" s="258" t="s">
        <v>178</v>
      </c>
      <c r="L10" s="233"/>
      <c r="M10" s="233"/>
      <c r="N10" s="233"/>
      <c r="O10" s="237"/>
      <c r="P10" s="286" t="s">
        <v>197</v>
      </c>
      <c r="Q10" s="243"/>
      <c r="R10" s="289" t="str">
        <f>IFERROR(__xludf.DUMMYFUNCTION("if(istext('Main Sheet'!AD2),filter($B:$B,$A:$A='Main Sheet'!$AD$2),)"),"Daevic")</f>
        <v>Daevic</v>
      </c>
      <c r="S10" s="289" t="str">
        <f>IFERROR(__xludf.DUMMYFUNCTION("if(istext('Main Sheet'!$AD$3),filter($B:$B,$A:$A='Main Sheet'!$AD$3),)"),"Harbinger")</f>
        <v>Harbinger</v>
      </c>
      <c r="T10" s="289" t="str">
        <f>IFERROR(__xludf.DUMMYFUNCTION("if(istext('Main Sheet'!$AD$4),filter($B:$B,$A:$A='Main Sheet'!$AD$4),)"),"Aberration")</f>
        <v>Aberration</v>
      </c>
      <c r="U10" s="241"/>
      <c r="V10" s="241"/>
      <c r="W10" s="241"/>
      <c r="X10" s="241"/>
      <c r="Y10" s="290" t="s">
        <v>199</v>
      </c>
      <c r="Z10" s="67"/>
      <c r="AA10" s="293" t="str">
        <f>ADDRESS(ROW($A$335),COLUMN($A$335))</f>
        <v>$A$335</v>
      </c>
      <c r="AB10" s="243"/>
      <c r="AC10" s="290" t="s">
        <v>203</v>
      </c>
      <c r="AD10" s="67"/>
      <c r="AE10" s="294"/>
      <c r="AF10" s="243"/>
      <c r="AG10" s="243"/>
      <c r="AH10" s="243"/>
      <c r="AI10" s="243"/>
      <c r="AJ10" s="243"/>
      <c r="AK10" s="241"/>
      <c r="AL10" s="241"/>
      <c r="AM10" s="241"/>
      <c r="AN10" s="241"/>
      <c r="AO10" s="241"/>
      <c r="AP10" s="241"/>
      <c r="AQ10" s="241"/>
      <c r="AR10" s="241"/>
    </row>
    <row r="11">
      <c r="A11" s="255" t="s">
        <v>120</v>
      </c>
      <c r="B11" s="262" t="s">
        <v>205</v>
      </c>
      <c r="C11" s="250">
        <v>10.0</v>
      </c>
      <c r="D11" s="255">
        <v>1.0</v>
      </c>
      <c r="E11" s="264" t="s">
        <v>167</v>
      </c>
      <c r="F11" s="264" t="s">
        <v>167</v>
      </c>
      <c r="G11" s="265" t="s">
        <v>168</v>
      </c>
      <c r="H11" s="250">
        <v>4.0</v>
      </c>
      <c r="I11" s="258" t="s">
        <v>178</v>
      </c>
      <c r="J11" s="258" t="s">
        <v>178</v>
      </c>
      <c r="K11" s="258" t="s">
        <v>178</v>
      </c>
      <c r="L11" s="233"/>
      <c r="M11" s="233"/>
      <c r="N11" s="233"/>
      <c r="O11" s="237"/>
      <c r="P11" s="286" t="s">
        <v>206</v>
      </c>
      <c r="Q11" s="243"/>
      <c r="R11" s="295" t="str">
        <f>IFERROR(__xludf.DUMMYFUNCTION("""COMPUTED_VALUE"""),"Eclipse")</f>
        <v>Eclipse</v>
      </c>
      <c r="S11" s="295" t="str">
        <f>IFERROR(__xludf.DUMMYFUNCTION("""COMPUTED_VALUE"""),"Mystic")</f>
        <v>Mystic</v>
      </c>
      <c r="T11" s="295" t="str">
        <f>IFERROR(__xludf.DUMMYFUNCTION("""COMPUTED_VALUE"""),"Animal")</f>
        <v>Animal</v>
      </c>
      <c r="U11" s="241"/>
      <c r="V11" s="241"/>
      <c r="W11" s="241"/>
      <c r="X11" s="241"/>
      <c r="Y11" s="296" t="s">
        <v>207</v>
      </c>
      <c r="AA11" s="297" t="str">
        <f>ADDRESS(ROW($A$312),COLUMN($A$312))</f>
        <v>$A$312</v>
      </c>
      <c r="AB11" s="243"/>
      <c r="AC11" s="296" t="s">
        <v>209</v>
      </c>
      <c r="AE11" s="297" t="str">
        <f t="shared" ref="AE11:AE12" si="2">ADDRESS(ROW($O$335),COLUMN($O$335))</f>
        <v>$O$335</v>
      </c>
      <c r="AF11" s="243"/>
      <c r="AG11" s="243"/>
      <c r="AH11" s="243"/>
      <c r="AI11" s="243"/>
      <c r="AJ11" s="243"/>
      <c r="AK11" s="241"/>
      <c r="AL11" s="241"/>
      <c r="AM11" s="241"/>
      <c r="AN11" s="241"/>
      <c r="AO11" s="241"/>
      <c r="AP11" s="241"/>
      <c r="AQ11" s="241"/>
      <c r="AR11" s="241"/>
    </row>
    <row r="12">
      <c r="A12" s="255" t="s">
        <v>120</v>
      </c>
      <c r="B12" s="262" t="s">
        <v>211</v>
      </c>
      <c r="C12" s="250">
        <v>8.0</v>
      </c>
      <c r="D12" s="255">
        <v>0.75</v>
      </c>
      <c r="E12" s="264" t="s">
        <v>167</v>
      </c>
      <c r="F12" s="265" t="s">
        <v>168</v>
      </c>
      <c r="G12" s="264" t="s">
        <v>167</v>
      </c>
      <c r="H12" s="250">
        <v>6.0</v>
      </c>
      <c r="I12" s="252" t="s">
        <v>184</v>
      </c>
      <c r="J12" s="255" t="str">
        <f t="shared" ref="J12:J13" si="3">address(ROW($A$358),COLUMN($A$358))</f>
        <v>$A$358</v>
      </c>
      <c r="K12" s="252" t="str">
        <f>ADDRESS(ROW($O$358),COLUMN($O$358))</f>
        <v>$O$358</v>
      </c>
      <c r="L12" s="233"/>
      <c r="M12" s="233"/>
      <c r="N12" s="233"/>
      <c r="O12" s="237"/>
      <c r="P12" s="286" t="s">
        <v>62</v>
      </c>
      <c r="Q12" s="243"/>
      <c r="R12" s="295" t="str">
        <f>IFERROR(__xludf.DUMMYFUNCTION("""COMPUTED_VALUE"""),"Guru")</f>
        <v>Guru</v>
      </c>
      <c r="S12" s="295" t="str">
        <f>IFERROR(__xludf.DUMMYFUNCTION("""COMPUTED_VALUE"""),"Zealot")</f>
        <v>Zealot</v>
      </c>
      <c r="T12" s="295" t="str">
        <f>IFERROR(__xludf.DUMMYFUNCTION("""COMPUTED_VALUE"""),"Construct")</f>
        <v>Construct</v>
      </c>
      <c r="U12" s="241"/>
      <c r="V12" s="241"/>
      <c r="W12" s="241"/>
      <c r="X12" s="241"/>
      <c r="Y12" s="296" t="s">
        <v>213</v>
      </c>
      <c r="AA12" s="297" t="str">
        <f t="shared" ref="AA12:AA13" si="4">address(ROW($A$358),COLUMN($A$358))</f>
        <v>$A$358</v>
      </c>
      <c r="AB12" s="243"/>
      <c r="AC12" s="296" t="s">
        <v>214</v>
      </c>
      <c r="AE12" s="297" t="str">
        <f t="shared" si="2"/>
        <v>$O$335</v>
      </c>
      <c r="AF12" s="243"/>
      <c r="AG12" s="243"/>
      <c r="AH12" s="243"/>
      <c r="AI12" s="243"/>
      <c r="AJ12" s="243"/>
      <c r="AK12" s="241"/>
      <c r="AL12" s="241"/>
      <c r="AM12" s="241"/>
      <c r="AN12" s="241"/>
      <c r="AO12" s="241"/>
      <c r="AP12" s="241"/>
      <c r="AQ12" s="241"/>
      <c r="AR12" s="241"/>
    </row>
    <row r="13">
      <c r="A13" s="255" t="s">
        <v>120</v>
      </c>
      <c r="B13" s="262" t="s">
        <v>215</v>
      </c>
      <c r="C13" s="250">
        <v>8.0</v>
      </c>
      <c r="D13" s="255">
        <v>0.75</v>
      </c>
      <c r="E13" s="264" t="s">
        <v>167</v>
      </c>
      <c r="F13" s="265" t="s">
        <v>168</v>
      </c>
      <c r="G13" s="264" t="s">
        <v>167</v>
      </c>
      <c r="H13" s="250">
        <v>2.0</v>
      </c>
      <c r="I13" s="252" t="s">
        <v>169</v>
      </c>
      <c r="J13" s="255" t="str">
        <f t="shared" si="3"/>
        <v>$A$358</v>
      </c>
      <c r="K13" s="255" t="s">
        <v>170</v>
      </c>
      <c r="L13" s="233"/>
      <c r="M13" s="233"/>
      <c r="N13" s="233"/>
      <c r="O13" s="237"/>
      <c r="P13" s="286" t="s">
        <v>216</v>
      </c>
      <c r="Q13" s="241"/>
      <c r="R13" s="295" t="str">
        <f>IFERROR(__xludf.DUMMYFUNCTION("""COMPUTED_VALUE"""),"Nexus")</f>
        <v>Nexus</v>
      </c>
      <c r="S13" s="295" t="str">
        <f>IFERROR(__xludf.DUMMYFUNCTION("""COMPUTED_VALUE"""),"Epilektoi")</f>
        <v>Epilektoi</v>
      </c>
      <c r="T13" s="299" t="str">
        <f>IFERROR(__xludf.DUMMYFUNCTION("""COMPUTED_VALUE"""),"Dragon")</f>
        <v>Dragon</v>
      </c>
      <c r="U13" s="241"/>
      <c r="V13" s="241"/>
      <c r="W13" s="241"/>
      <c r="X13" s="241"/>
      <c r="Y13" s="296" t="s">
        <v>218</v>
      </c>
      <c r="AA13" s="297" t="str">
        <f t="shared" si="4"/>
        <v>$A$358</v>
      </c>
      <c r="AB13" s="243"/>
      <c r="AC13" s="296" t="s">
        <v>207</v>
      </c>
      <c r="AE13" s="297" t="str">
        <f>ADDRESS(ROW($O$312),COLUMN($O$312))</f>
        <v>$O$312</v>
      </c>
      <c r="AF13" s="243"/>
      <c r="AG13" s="243"/>
      <c r="AH13" s="243"/>
      <c r="AI13" s="243"/>
      <c r="AJ13" s="243"/>
      <c r="AK13" s="241"/>
      <c r="AL13" s="241"/>
      <c r="AM13" s="241"/>
      <c r="AN13" s="241"/>
      <c r="AO13" s="241"/>
      <c r="AP13" s="241"/>
      <c r="AQ13" s="241"/>
      <c r="AR13" s="241"/>
    </row>
    <row r="14">
      <c r="A14" s="255" t="s">
        <v>120</v>
      </c>
      <c r="B14" s="273" t="s">
        <v>219</v>
      </c>
      <c r="C14" s="250">
        <v>8.0</v>
      </c>
      <c r="D14" s="255">
        <v>0.75</v>
      </c>
      <c r="E14" s="264" t="s">
        <v>167</v>
      </c>
      <c r="F14" s="264" t="s">
        <v>167</v>
      </c>
      <c r="G14" s="264" t="s">
        <v>167</v>
      </c>
      <c r="H14" s="258">
        <v>4.0</v>
      </c>
      <c r="I14" s="258" t="s">
        <v>178</v>
      </c>
      <c r="J14" s="258" t="s">
        <v>178</v>
      </c>
      <c r="K14" s="258" t="s">
        <v>178</v>
      </c>
      <c r="L14" s="233"/>
      <c r="M14" s="233"/>
      <c r="N14" s="233"/>
      <c r="O14" s="237"/>
      <c r="P14" s="286" t="s">
        <v>220</v>
      </c>
      <c r="Q14" s="241"/>
      <c r="R14" s="295" t="str">
        <f>IFERROR(__xludf.DUMMYFUNCTION("""COMPUTED_VALUE"""),"Radiant")</f>
        <v>Radiant</v>
      </c>
      <c r="S14" s="295" t="str">
        <f>IFERROR(__xludf.DUMMYFUNCTION("""COMPUTED_VALUE"""),"Medic")</f>
        <v>Medic</v>
      </c>
      <c r="T14" s="295" t="str">
        <f>IFERROR(__xludf.DUMMYFUNCTION("""COMPUTED_VALUE"""),"Fey")</f>
        <v>Fey</v>
      </c>
      <c r="U14" s="241"/>
      <c r="V14" s="241"/>
      <c r="W14" s="241"/>
      <c r="X14" s="241"/>
      <c r="Y14" s="296" t="s">
        <v>221</v>
      </c>
      <c r="AA14" s="297" t="str">
        <f>ADDRESS(ROW($A$381),COLUMN($A$381))</f>
        <v>$A$381</v>
      </c>
      <c r="AB14" s="243"/>
      <c r="AC14" s="296" t="s">
        <v>222</v>
      </c>
      <c r="AE14" s="297" t="str">
        <f t="shared" ref="AE14:AE15" si="5">address(ROW($N$404),COLUMN($N$404))</f>
        <v>$N$404</v>
      </c>
      <c r="AF14" s="243"/>
      <c r="AG14" s="243"/>
      <c r="AH14" s="243"/>
      <c r="AI14" s="243"/>
      <c r="AJ14" s="243"/>
      <c r="AK14" s="241"/>
      <c r="AL14" s="241"/>
      <c r="AM14" s="241"/>
      <c r="AN14" s="241"/>
      <c r="AO14" s="241"/>
      <c r="AP14" s="241"/>
      <c r="AQ14" s="241"/>
      <c r="AR14" s="241"/>
    </row>
    <row r="15">
      <c r="A15" s="255" t="s">
        <v>120</v>
      </c>
      <c r="B15" s="262" t="s">
        <v>224</v>
      </c>
      <c r="C15" s="250">
        <v>8.0</v>
      </c>
      <c r="D15" s="255">
        <v>0.75</v>
      </c>
      <c r="E15" s="265" t="s">
        <v>168</v>
      </c>
      <c r="F15" s="264" t="s">
        <v>167</v>
      </c>
      <c r="G15" s="265" t="s">
        <v>168</v>
      </c>
      <c r="H15" s="250">
        <v>8.0</v>
      </c>
      <c r="I15" s="258" t="s">
        <v>178</v>
      </c>
      <c r="J15" s="258" t="s">
        <v>178</v>
      </c>
      <c r="K15" s="258" t="s">
        <v>178</v>
      </c>
      <c r="L15" s="233"/>
      <c r="M15" s="233"/>
      <c r="N15" s="233"/>
      <c r="O15" s="237"/>
      <c r="P15" s="286" t="s">
        <v>225</v>
      </c>
      <c r="Q15" s="241"/>
      <c r="R15" s="295" t="str">
        <f>IFERROR(__xludf.DUMMYFUNCTION("""COMPUTED_VALUE"""),"Rajah")</f>
        <v>Rajah</v>
      </c>
      <c r="S15" s="295" t="str">
        <f>IFERROR(__xludf.DUMMYFUNCTION("""COMPUTED_VALUE"""),"Parasite")</f>
        <v>Parasite</v>
      </c>
      <c r="T15" s="295" t="str">
        <f>IFERROR(__xludf.DUMMYFUNCTION("""COMPUTED_VALUE"""),"Humanoid")</f>
        <v>Humanoid</v>
      </c>
      <c r="U15" s="241"/>
      <c r="V15" s="241"/>
      <c r="W15" s="241"/>
      <c r="X15" s="241"/>
      <c r="Y15" s="296" t="s">
        <v>226</v>
      </c>
      <c r="AA15" s="297" t="str">
        <f>address(ROW($A$473),COLUMN($A$473))</f>
        <v>$A$473</v>
      </c>
      <c r="AB15" s="243"/>
      <c r="AC15" s="296" t="s">
        <v>227</v>
      </c>
      <c r="AE15" s="297" t="str">
        <f t="shared" si="5"/>
        <v>$N$404</v>
      </c>
      <c r="AF15" s="243"/>
      <c r="AG15" s="243"/>
      <c r="AH15" s="243"/>
      <c r="AI15" s="243"/>
      <c r="AJ15" s="243"/>
      <c r="AK15" s="241"/>
      <c r="AL15" s="241"/>
      <c r="AM15" s="241"/>
      <c r="AN15" s="241"/>
      <c r="AO15" s="241"/>
      <c r="AP15" s="241"/>
      <c r="AQ15" s="241"/>
      <c r="AR15" s="241"/>
    </row>
    <row r="16">
      <c r="A16" s="255" t="s">
        <v>120</v>
      </c>
      <c r="B16" s="262" t="s">
        <v>228</v>
      </c>
      <c r="C16" s="250">
        <v>8.0</v>
      </c>
      <c r="D16" s="255">
        <v>0.75</v>
      </c>
      <c r="E16" s="265" t="s">
        <v>168</v>
      </c>
      <c r="F16" s="265" t="s">
        <v>168</v>
      </c>
      <c r="G16" s="264" t="s">
        <v>167</v>
      </c>
      <c r="H16" s="250">
        <v>4.0</v>
      </c>
      <c r="I16" s="252" t="s">
        <v>173</v>
      </c>
      <c r="J16" s="255" t="str">
        <f>ADDRESS(ROW($A$312),COLUMN($A$312))</f>
        <v>$A$312</v>
      </c>
      <c r="K16" s="255" t="str">
        <f>ADDRESS(ROW($O$312),COLUMN($O$312))</f>
        <v>$O$312</v>
      </c>
      <c r="L16" s="233"/>
      <c r="M16" s="233"/>
      <c r="N16" s="233"/>
      <c r="O16" s="237"/>
      <c r="P16" s="286" t="s">
        <v>229</v>
      </c>
      <c r="Q16" s="241"/>
      <c r="R16" s="295" t="str">
        <f>IFERROR(__xludf.DUMMYFUNCTION("""COMPUTED_VALUE"""),"Stormbound")</f>
        <v>Stormbound</v>
      </c>
      <c r="S16" s="295" t="str">
        <f>IFERROR(__xludf.DUMMYFUNCTION("""COMPUTED_VALUE"""),"Stalker")</f>
        <v>Stalker</v>
      </c>
      <c r="T16" s="295" t="str">
        <f>IFERROR(__xludf.DUMMYFUNCTION("""COMPUTED_VALUE"""),"Magical beast")</f>
        <v>Magical beast</v>
      </c>
      <c r="U16" s="241"/>
      <c r="V16" s="241"/>
      <c r="W16" s="241"/>
      <c r="X16" s="241"/>
      <c r="Y16" s="301" t="s">
        <v>230</v>
      </c>
      <c r="Z16" s="114"/>
      <c r="AA16" s="303" t="str">
        <f>address(ROW($A$450),COLUMN($A$450))</f>
        <v>$A$450</v>
      </c>
      <c r="AB16" s="243"/>
      <c r="AC16" s="296" t="s">
        <v>218</v>
      </c>
      <c r="AE16" s="306" t="str">
        <f>ADDRESS(ROW($O$358),COLUMN($O$358))</f>
        <v>$O$358</v>
      </c>
      <c r="AF16" s="243"/>
      <c r="AG16" s="243"/>
      <c r="AH16" s="243"/>
      <c r="AI16" s="243"/>
      <c r="AJ16" s="243"/>
      <c r="AK16" s="241"/>
      <c r="AL16" s="241"/>
      <c r="AM16" s="241"/>
      <c r="AN16" s="241"/>
      <c r="AO16" s="241"/>
      <c r="AP16" s="241"/>
      <c r="AQ16" s="241"/>
      <c r="AR16" s="241"/>
    </row>
    <row r="17">
      <c r="A17" s="255" t="s">
        <v>120</v>
      </c>
      <c r="B17" s="273" t="s">
        <v>232</v>
      </c>
      <c r="C17" s="250">
        <v>10.0</v>
      </c>
      <c r="D17" s="255">
        <v>1.0</v>
      </c>
      <c r="E17" s="264" t="s">
        <v>167</v>
      </c>
      <c r="F17" s="265" t="s">
        <v>168</v>
      </c>
      <c r="G17" s="264" t="s">
        <v>167</v>
      </c>
      <c r="H17" s="258">
        <v>2.0</v>
      </c>
      <c r="I17" s="252" t="s">
        <v>173</v>
      </c>
      <c r="J17" s="255" t="str">
        <f t="shared" ref="J17:J18" si="6">ADDRESS(ROW($A$381),COLUMN($A$381))</f>
        <v>$A$381</v>
      </c>
      <c r="K17" s="255" t="s">
        <v>174</v>
      </c>
      <c r="L17" s="233"/>
      <c r="M17" s="233"/>
      <c r="N17" s="233"/>
      <c r="O17" s="237"/>
      <c r="P17" s="286" t="s">
        <v>25</v>
      </c>
      <c r="Q17" s="241"/>
      <c r="R17" s="295" t="str">
        <f>IFERROR(__xludf.DUMMYFUNCTION("""COMPUTED_VALUE"""),"Vizier")</f>
        <v>Vizier</v>
      </c>
      <c r="S17" s="295" t="str">
        <f>IFERROR(__xludf.DUMMYFUNCTION("""COMPUTED_VALUE"""),"Warder")</f>
        <v>Warder</v>
      </c>
      <c r="T17" s="295" t="str">
        <f>IFERROR(__xludf.DUMMYFUNCTION("""COMPUTED_VALUE"""),"Monstrous Humanoid")</f>
        <v>Monstrous Humanoid</v>
      </c>
      <c r="U17" s="241"/>
      <c r="V17" s="241"/>
      <c r="W17" s="241"/>
      <c r="X17" s="241"/>
      <c r="Y17" s="241"/>
      <c r="Z17" s="241"/>
      <c r="AA17" s="241"/>
      <c r="AB17" s="243"/>
      <c r="AC17" s="296" t="s">
        <v>226</v>
      </c>
      <c r="AE17" s="297" t="str">
        <f>ADDRESS(ROW($O$335),COLUMN($O$335))</f>
        <v>$O$335</v>
      </c>
      <c r="AF17" s="243"/>
      <c r="AG17" s="243"/>
      <c r="AH17" s="243"/>
      <c r="AI17" s="243"/>
      <c r="AJ17" s="243"/>
      <c r="AK17" s="241"/>
      <c r="AL17" s="241"/>
      <c r="AM17" s="241"/>
      <c r="AN17" s="241"/>
      <c r="AO17" s="241"/>
      <c r="AP17" s="241"/>
      <c r="AQ17" s="241"/>
      <c r="AR17" s="241"/>
    </row>
    <row r="18">
      <c r="A18" s="255" t="s">
        <v>120</v>
      </c>
      <c r="B18" s="273" t="s">
        <v>233</v>
      </c>
      <c r="C18" s="250">
        <v>10.0</v>
      </c>
      <c r="D18" s="255">
        <v>1.0</v>
      </c>
      <c r="E18" s="264" t="s">
        <v>167</v>
      </c>
      <c r="F18" s="264" t="s">
        <v>167</v>
      </c>
      <c r="G18" s="265" t="s">
        <v>168</v>
      </c>
      <c r="H18" s="258">
        <v>6.0</v>
      </c>
      <c r="I18" s="252" t="s">
        <v>184</v>
      </c>
      <c r="J18" s="255" t="str">
        <f t="shared" si="6"/>
        <v>$A$381</v>
      </c>
      <c r="K18" s="255" t="s">
        <v>174</v>
      </c>
      <c r="L18" s="233"/>
      <c r="M18" s="233"/>
      <c r="N18" s="233"/>
      <c r="O18" s="233"/>
      <c r="P18" s="286" t="s">
        <v>234</v>
      </c>
      <c r="Q18" s="243"/>
      <c r="R18" s="295" t="str">
        <f>IFERROR(__xludf.DUMMYFUNCTION("""COMPUTED_VALUE"""),"Zodiac")</f>
        <v>Zodiac</v>
      </c>
      <c r="S18" s="295" t="str">
        <f>IFERROR(__xludf.DUMMYFUNCTION("""COMPUTED_VALUE"""),"Warlord")</f>
        <v>Warlord</v>
      </c>
      <c r="T18" s="295" t="str">
        <f>IFERROR(__xludf.DUMMYFUNCTION("""COMPUTED_VALUE"""),"Ooze")</f>
        <v>Ooze</v>
      </c>
      <c r="U18" s="241"/>
      <c r="V18" s="241"/>
      <c r="W18" s="241"/>
      <c r="X18" s="241"/>
      <c r="Y18" s="241"/>
      <c r="Z18" s="241"/>
      <c r="AA18" s="241"/>
      <c r="AB18" s="243"/>
      <c r="AC18" s="301" t="s">
        <v>230</v>
      </c>
      <c r="AD18" s="114"/>
      <c r="AE18" s="303" t="str">
        <f>address(ROW($O$450),COLUMN($O$450))</f>
        <v>$O$450</v>
      </c>
      <c r="AF18" s="243"/>
      <c r="AG18" s="243"/>
      <c r="AH18" s="243"/>
      <c r="AI18" s="243"/>
      <c r="AJ18" s="243"/>
      <c r="AK18" s="241"/>
      <c r="AL18" s="241"/>
      <c r="AM18" s="241"/>
      <c r="AN18" s="241"/>
      <c r="AO18" s="241"/>
      <c r="AP18" s="241"/>
      <c r="AQ18" s="241"/>
      <c r="AR18" s="241"/>
    </row>
    <row r="19">
      <c r="A19" s="255" t="s">
        <v>120</v>
      </c>
      <c r="B19" s="273" t="s">
        <v>235</v>
      </c>
      <c r="C19" s="250">
        <v>8.0</v>
      </c>
      <c r="D19" s="255">
        <v>0.75</v>
      </c>
      <c r="E19" s="265" t="s">
        <v>168</v>
      </c>
      <c r="F19" s="264" t="s">
        <v>167</v>
      </c>
      <c r="G19" s="265" t="s">
        <v>168</v>
      </c>
      <c r="H19" s="258">
        <v>8.0</v>
      </c>
      <c r="I19" s="258" t="s">
        <v>178</v>
      </c>
      <c r="J19" s="258" t="s">
        <v>178</v>
      </c>
      <c r="K19" s="258" t="s">
        <v>178</v>
      </c>
      <c r="L19" s="233"/>
      <c r="M19" s="233"/>
      <c r="N19" s="233"/>
      <c r="O19" s="233"/>
      <c r="P19" s="309" t="s">
        <v>237</v>
      </c>
      <c r="Q19" s="243"/>
      <c r="R19" s="295" t="str">
        <f>IFERROR(__xludf.DUMMYFUNCTION("""COMPUTED_VALUE"""),"Crux")</f>
        <v>Crux</v>
      </c>
      <c r="S19" s="286"/>
      <c r="T19" s="286" t="str">
        <f>IFERROR(__xludf.DUMMYFUNCTION("""COMPUTED_VALUE"""),"Outsider / Eidolon (Low Fortitude)")</f>
        <v>Outsider / Eidolon (Low Fortitude)</v>
      </c>
      <c r="U19" s="241"/>
      <c r="V19" s="241"/>
      <c r="W19" s="241"/>
      <c r="X19" s="310"/>
      <c r="Y19" s="241"/>
      <c r="Z19" s="241"/>
      <c r="AA19" s="241"/>
      <c r="AB19" s="243"/>
      <c r="AC19" s="243"/>
      <c r="AD19" s="243"/>
      <c r="AE19" s="243"/>
      <c r="AF19" s="243"/>
      <c r="AG19" s="243"/>
      <c r="AH19" s="243"/>
      <c r="AI19" s="243"/>
      <c r="AJ19" s="243"/>
      <c r="AK19" s="241"/>
      <c r="AL19" s="241"/>
      <c r="AM19" s="241"/>
      <c r="AN19" s="241"/>
      <c r="AO19" s="241"/>
      <c r="AP19" s="241"/>
      <c r="AQ19" s="241"/>
      <c r="AR19" s="241"/>
    </row>
    <row r="20">
      <c r="A20" s="255" t="s">
        <v>120</v>
      </c>
      <c r="B20" s="273" t="s">
        <v>238</v>
      </c>
      <c r="C20" s="250">
        <v>10.0</v>
      </c>
      <c r="D20" s="255">
        <v>1.0</v>
      </c>
      <c r="E20" s="264" t="s">
        <v>167</v>
      </c>
      <c r="F20" s="265" t="s">
        <v>168</v>
      </c>
      <c r="G20" s="265" t="s">
        <v>168</v>
      </c>
      <c r="H20" s="258">
        <v>4.0</v>
      </c>
      <c r="I20" s="258" t="s">
        <v>178</v>
      </c>
      <c r="J20" s="258" t="s">
        <v>178</v>
      </c>
      <c r="K20" s="258" t="s">
        <v>178</v>
      </c>
      <c r="L20" s="233"/>
      <c r="M20" s="233"/>
      <c r="N20" s="233"/>
      <c r="O20" s="233"/>
      <c r="P20" s="311" t="s">
        <v>43</v>
      </c>
      <c r="Q20" s="243"/>
      <c r="R20" s="295" t="str">
        <f>IFERROR(__xludf.DUMMYFUNCTION("""COMPUTED_VALUE"""),"Fisherking")</f>
        <v>Fisherking</v>
      </c>
      <c r="S20" s="295"/>
      <c r="T20" s="295" t="str">
        <f>IFERROR(__xludf.DUMMYFUNCTION("""COMPUTED_VALUE"""),"Outsider / Eidolon (Low Reflex)")</f>
        <v>Outsider / Eidolon (Low Reflex)</v>
      </c>
      <c r="U20" s="241"/>
      <c r="V20" s="241"/>
      <c r="W20" s="241"/>
      <c r="X20" s="312"/>
      <c r="Y20" s="241"/>
      <c r="Z20" s="241"/>
      <c r="AA20" s="241"/>
      <c r="AB20" s="243"/>
      <c r="AC20" s="243"/>
      <c r="AD20" s="243"/>
      <c r="AE20" s="243"/>
      <c r="AF20" s="243"/>
      <c r="AG20" s="243"/>
      <c r="AH20" s="243"/>
      <c r="AI20" s="243"/>
      <c r="AJ20" s="243"/>
      <c r="AK20" s="241"/>
      <c r="AL20" s="241"/>
      <c r="AM20" s="241"/>
      <c r="AN20" s="241"/>
      <c r="AO20" s="241"/>
      <c r="AP20" s="241"/>
      <c r="AQ20" s="241"/>
      <c r="AR20" s="241"/>
    </row>
    <row r="21">
      <c r="A21" s="313" t="s">
        <v>120</v>
      </c>
      <c r="B21" s="314" t="s">
        <v>239</v>
      </c>
      <c r="C21" s="313">
        <v>10.0</v>
      </c>
      <c r="D21" s="315">
        <v>1.0</v>
      </c>
      <c r="E21" s="316" t="s">
        <v>167</v>
      </c>
      <c r="F21" s="316" t="s">
        <v>167</v>
      </c>
      <c r="G21" s="317" t="s">
        <v>168</v>
      </c>
      <c r="H21" s="315">
        <v>4.0</v>
      </c>
      <c r="I21" s="258" t="s">
        <v>178</v>
      </c>
      <c r="J21" s="258" t="s">
        <v>178</v>
      </c>
      <c r="K21" s="258" t="s">
        <v>178</v>
      </c>
      <c r="L21" s="233"/>
      <c r="M21" s="233"/>
      <c r="N21" s="233"/>
      <c r="O21" s="233"/>
      <c r="P21" s="318" t="s">
        <v>240</v>
      </c>
      <c r="Q21" s="243"/>
      <c r="R21" s="295" t="str">
        <f>IFERROR(__xludf.DUMMYFUNCTION("""COMPUTED_VALUE"""),"Kheshig")</f>
        <v>Kheshig</v>
      </c>
      <c r="S21" s="295"/>
      <c r="T21" s="295" t="str">
        <f>IFERROR(__xludf.DUMMYFUNCTION("""COMPUTED_VALUE"""),"Outsider / Eidolon (Low Will)")</f>
        <v>Outsider / Eidolon (Low Will)</v>
      </c>
      <c r="U21" s="241"/>
      <c r="V21" s="241"/>
      <c r="W21" s="241"/>
      <c r="X21" s="312"/>
      <c r="Y21" s="241"/>
      <c r="Z21" s="241"/>
      <c r="AA21" s="241"/>
      <c r="AB21" s="243"/>
      <c r="AC21" s="243"/>
      <c r="AD21" s="243"/>
      <c r="AE21" s="243"/>
      <c r="AF21" s="243"/>
      <c r="AG21" s="243"/>
      <c r="AH21" s="243"/>
      <c r="AI21" s="243"/>
      <c r="AJ21" s="243"/>
      <c r="AK21" s="241"/>
      <c r="AL21" s="241"/>
      <c r="AM21" s="241"/>
      <c r="AN21" s="241"/>
      <c r="AO21" s="241"/>
      <c r="AP21" s="241"/>
      <c r="AQ21" s="241"/>
      <c r="AR21" s="241"/>
    </row>
    <row r="22">
      <c r="A22" s="255" t="s">
        <v>120</v>
      </c>
      <c r="B22" s="273" t="s">
        <v>241</v>
      </c>
      <c r="C22" s="250">
        <v>6.0</v>
      </c>
      <c r="D22" s="252">
        <v>0.5</v>
      </c>
      <c r="E22" s="265" t="s">
        <v>168</v>
      </c>
      <c r="F22" s="265" t="s">
        <v>168</v>
      </c>
      <c r="G22" s="264" t="s">
        <v>167</v>
      </c>
      <c r="H22" s="258">
        <v>2.0</v>
      </c>
      <c r="I22" s="252" t="s">
        <v>173</v>
      </c>
      <c r="J22" s="255" t="str">
        <f>ADDRESS(ROW($A$312),COLUMN($A$312))</f>
        <v>$A$312</v>
      </c>
      <c r="K22" s="255" t="str">
        <f>ADDRESS(ROW($O$312),COLUMN($O$312))</f>
        <v>$O$312</v>
      </c>
      <c r="L22" s="233"/>
      <c r="M22" s="233"/>
      <c r="N22" s="233"/>
      <c r="O22" s="233"/>
      <c r="P22" s="286" t="s">
        <v>242</v>
      </c>
      <c r="Q22" s="243"/>
      <c r="R22" s="295" t="str">
        <f>IFERROR(__xludf.DUMMYFUNCTION("""COMPUTED_VALUE"""),"Huay")</f>
        <v>Huay</v>
      </c>
      <c r="S22" s="295"/>
      <c r="T22" s="295" t="str">
        <f>IFERROR(__xludf.DUMMYFUNCTION("""COMPUTED_VALUE"""),"Plant")</f>
        <v>Plant</v>
      </c>
      <c r="U22" s="241"/>
      <c r="V22" s="241"/>
      <c r="W22" s="241"/>
      <c r="X22" s="312"/>
      <c r="Y22" s="241"/>
      <c r="Z22" s="241"/>
      <c r="AA22" s="241"/>
      <c r="AB22" s="243"/>
      <c r="AC22" s="243"/>
      <c r="AD22" s="243"/>
      <c r="AE22" s="243"/>
      <c r="AF22" s="243"/>
      <c r="AG22" s="243"/>
      <c r="AH22" s="243"/>
      <c r="AI22" s="243"/>
      <c r="AJ22" s="243"/>
      <c r="AK22" s="241"/>
      <c r="AL22" s="241"/>
      <c r="AM22" s="241"/>
      <c r="AN22" s="241"/>
      <c r="AO22" s="241"/>
      <c r="AP22" s="241"/>
      <c r="AQ22" s="241"/>
      <c r="AR22" s="241"/>
    </row>
    <row r="23">
      <c r="A23" s="255" t="s">
        <v>120</v>
      </c>
      <c r="B23" s="262" t="s">
        <v>244</v>
      </c>
      <c r="C23" s="250">
        <v>8.0</v>
      </c>
      <c r="D23" s="255">
        <v>0.75</v>
      </c>
      <c r="E23" s="265" t="s">
        <v>168</v>
      </c>
      <c r="F23" s="265" t="s">
        <v>168</v>
      </c>
      <c r="G23" s="264" t="s">
        <v>167</v>
      </c>
      <c r="H23" s="250">
        <v>2.0</v>
      </c>
      <c r="I23" s="252" t="s">
        <v>173</v>
      </c>
      <c r="J23" s="255" t="str">
        <f>address(ROW($A$358),COLUMN($A$358))</f>
        <v>$A$358</v>
      </c>
      <c r="K23" s="252" t="str">
        <f>ADDRESS(ROW($O$358),COLUMN($O$358))</f>
        <v>$O$358</v>
      </c>
      <c r="L23" s="233"/>
      <c r="M23" s="233"/>
      <c r="N23" s="233"/>
      <c r="O23" s="233"/>
      <c r="P23" s="295"/>
      <c r="Q23" s="243"/>
      <c r="R23" s="295" t="str">
        <f>IFERROR(__xludf.DUMMYFUNCTION("""COMPUTED_VALUE"""),"Helmsman")</f>
        <v>Helmsman</v>
      </c>
      <c r="S23" s="295"/>
      <c r="T23" s="295" t="str">
        <f>IFERROR(__xludf.DUMMYFUNCTION("""COMPUTED_VALUE"""),"Undead")</f>
        <v>Undead</v>
      </c>
      <c r="U23" s="241"/>
      <c r="V23" s="241"/>
      <c r="W23" s="241"/>
      <c r="X23" s="312"/>
      <c r="Y23" s="241"/>
      <c r="Z23" s="241"/>
      <c r="AA23" s="241"/>
      <c r="AB23" s="243"/>
      <c r="AC23" s="243"/>
      <c r="AD23" s="243"/>
      <c r="AE23" s="243"/>
      <c r="AF23" s="243"/>
      <c r="AG23" s="243"/>
      <c r="AH23" s="243"/>
      <c r="AI23" s="243"/>
      <c r="AJ23" s="243"/>
      <c r="AK23" s="241"/>
      <c r="AL23" s="241"/>
      <c r="AM23" s="241"/>
      <c r="AN23" s="241"/>
      <c r="AO23" s="241"/>
      <c r="AP23" s="241"/>
      <c r="AQ23" s="241"/>
      <c r="AR23" s="241"/>
    </row>
    <row r="24">
      <c r="A24" s="313" t="s">
        <v>120</v>
      </c>
      <c r="B24" s="319" t="s">
        <v>246</v>
      </c>
      <c r="C24" s="313">
        <v>8.0</v>
      </c>
      <c r="D24" s="315">
        <v>0.75</v>
      </c>
      <c r="E24" s="316" t="s">
        <v>168</v>
      </c>
      <c r="F24" s="316" t="s">
        <v>167</v>
      </c>
      <c r="G24" s="317" t="s">
        <v>167</v>
      </c>
      <c r="H24" s="315">
        <v>6.0</v>
      </c>
      <c r="I24" s="258" t="s">
        <v>178</v>
      </c>
      <c r="J24" s="258" t="s">
        <v>178</v>
      </c>
      <c r="K24" s="258" t="s">
        <v>178</v>
      </c>
      <c r="L24" s="233"/>
      <c r="M24" s="233"/>
      <c r="N24" s="233"/>
      <c r="O24" s="233"/>
      <c r="P24" s="286"/>
      <c r="Q24" s="241"/>
      <c r="R24" s="295" t="str">
        <f>IFERROR(__xludf.DUMMYFUNCTION("""COMPUTED_VALUE"""),"Volur")</f>
        <v>Volur</v>
      </c>
      <c r="S24" s="295"/>
      <c r="T24" s="295" t="str">
        <f>IFERROR(__xludf.DUMMYFUNCTION("""COMPUTED_VALUE"""),"Vermin")</f>
        <v>Vermin</v>
      </c>
      <c r="U24" s="241"/>
      <c r="V24" s="241"/>
      <c r="W24" s="241"/>
      <c r="X24" s="312"/>
      <c r="Y24" s="241"/>
      <c r="Z24" s="241"/>
      <c r="AA24" s="241"/>
      <c r="AB24" s="243"/>
      <c r="AC24" s="243"/>
      <c r="AD24" s="243"/>
      <c r="AE24" s="243"/>
      <c r="AF24" s="243"/>
      <c r="AG24" s="243"/>
      <c r="AH24" s="243"/>
      <c r="AI24" s="243"/>
      <c r="AJ24" s="243"/>
      <c r="AK24" s="241"/>
      <c r="AL24" s="241"/>
      <c r="AM24" s="241"/>
      <c r="AN24" s="241"/>
      <c r="AO24" s="241"/>
      <c r="AP24" s="241"/>
      <c r="AQ24" s="241"/>
      <c r="AR24" s="241"/>
    </row>
    <row r="25">
      <c r="A25" s="255" t="s">
        <v>120</v>
      </c>
      <c r="B25" s="262" t="s">
        <v>247</v>
      </c>
      <c r="C25" s="250">
        <v>6.0</v>
      </c>
      <c r="D25" s="252">
        <v>0.5</v>
      </c>
      <c r="E25" s="265" t="s">
        <v>168</v>
      </c>
      <c r="F25" s="265" t="s">
        <v>168</v>
      </c>
      <c r="G25" s="264" t="s">
        <v>167</v>
      </c>
      <c r="H25" s="258">
        <v>2.0</v>
      </c>
      <c r="I25" s="252" t="s">
        <v>169</v>
      </c>
      <c r="J25" s="255" t="str">
        <f t="shared" ref="J25:J26" si="7">ADDRESS(ROW($A$335),COLUMN($A$335))</f>
        <v>$A$335</v>
      </c>
      <c r="K25" s="255" t="str">
        <f t="shared" ref="K25:K26" si="8">ADDRESS(ROW($O$335),COLUMN($O$335))</f>
        <v>$O$335</v>
      </c>
      <c r="L25" s="233"/>
      <c r="M25" s="233"/>
      <c r="N25" s="233"/>
      <c r="O25" s="233"/>
      <c r="P25" s="320"/>
      <c r="Q25" s="241"/>
      <c r="R25" s="295" t="str">
        <f>IFERROR(__xludf.DUMMYFUNCTION("""COMPUTED_VALUE"""),"Thug")</f>
        <v>Thug</v>
      </c>
      <c r="S25" s="295"/>
      <c r="T25" s="295"/>
      <c r="U25" s="241"/>
      <c r="V25" s="241"/>
      <c r="W25" s="241"/>
      <c r="X25" s="312"/>
      <c r="Y25" s="241"/>
      <c r="Z25" s="241"/>
      <c r="AA25" s="241"/>
      <c r="AB25" s="243"/>
      <c r="AC25" s="243"/>
      <c r="AD25" s="243"/>
      <c r="AE25" s="243"/>
      <c r="AF25" s="243"/>
      <c r="AG25" s="243"/>
      <c r="AH25" s="243"/>
      <c r="AI25" s="243"/>
      <c r="AJ25" s="243"/>
      <c r="AK25" s="241"/>
      <c r="AL25" s="241"/>
      <c r="AM25" s="241"/>
      <c r="AN25" s="241"/>
      <c r="AO25" s="241"/>
      <c r="AP25" s="241"/>
      <c r="AQ25" s="241"/>
      <c r="AR25" s="241"/>
    </row>
    <row r="26">
      <c r="A26" s="255" t="s">
        <v>120</v>
      </c>
      <c r="B26" s="273" t="s">
        <v>249</v>
      </c>
      <c r="C26" s="250">
        <v>6.0</v>
      </c>
      <c r="D26" s="252">
        <v>0.5</v>
      </c>
      <c r="E26" s="265" t="s">
        <v>168</v>
      </c>
      <c r="F26" s="265" t="s">
        <v>168</v>
      </c>
      <c r="G26" s="264" t="s">
        <v>167</v>
      </c>
      <c r="H26" s="258">
        <v>2.0</v>
      </c>
      <c r="I26" s="252" t="s">
        <v>169</v>
      </c>
      <c r="J26" s="255" t="str">
        <f t="shared" si="7"/>
        <v>$A$335</v>
      </c>
      <c r="K26" s="255" t="str">
        <f t="shared" si="8"/>
        <v>$O$335</v>
      </c>
      <c r="L26" s="233"/>
      <c r="M26" s="233"/>
      <c r="N26" s="233"/>
      <c r="O26" s="233"/>
      <c r="P26" s="241"/>
      <c r="Q26" s="243"/>
      <c r="R26" s="295" t="str">
        <f>IFERROR(__xludf.DUMMYFUNCTION("""COMPUTED_VALUE"""),"Soulforge")</f>
        <v>Soulforge</v>
      </c>
      <c r="S26" s="295"/>
      <c r="T26" s="295"/>
      <c r="U26" s="241"/>
      <c r="V26" s="241"/>
      <c r="W26" s="241"/>
      <c r="X26" s="312"/>
      <c r="Y26" s="241"/>
      <c r="Z26" s="241"/>
      <c r="AA26" s="241"/>
      <c r="AB26" s="243"/>
      <c r="AC26" s="243"/>
      <c r="AD26" s="243"/>
      <c r="AE26" s="243"/>
      <c r="AF26" s="243"/>
      <c r="AG26" s="243"/>
      <c r="AH26" s="243"/>
      <c r="AI26" s="243"/>
      <c r="AJ26" s="243"/>
      <c r="AK26" s="241"/>
      <c r="AL26" s="241"/>
      <c r="AM26" s="241"/>
      <c r="AN26" s="241"/>
      <c r="AO26" s="241"/>
      <c r="AP26" s="241"/>
      <c r="AQ26" s="241"/>
      <c r="AR26" s="241"/>
    </row>
    <row r="27">
      <c r="A27" s="255" t="s">
        <v>120</v>
      </c>
      <c r="B27" s="321" t="s">
        <v>250</v>
      </c>
      <c r="C27" s="250">
        <v>12.0</v>
      </c>
      <c r="D27" s="255">
        <v>1.0</v>
      </c>
      <c r="E27" s="264" t="s">
        <v>167</v>
      </c>
      <c r="F27" s="265" t="s">
        <v>168</v>
      </c>
      <c r="G27" s="265" t="s">
        <v>168</v>
      </c>
      <c r="H27" s="258">
        <v>4.0</v>
      </c>
      <c r="I27" s="258" t="s">
        <v>178</v>
      </c>
      <c r="J27" s="258" t="s">
        <v>178</v>
      </c>
      <c r="K27" s="258" t="s">
        <v>178</v>
      </c>
      <c r="L27" s="233"/>
      <c r="M27" s="233"/>
      <c r="N27" s="233"/>
      <c r="O27" s="233"/>
      <c r="P27" s="241"/>
      <c r="Q27" s="243"/>
      <c r="R27" s="295" t="str">
        <f>IFERROR(__xludf.DUMMYFUNCTION("""COMPUTED_VALUE"""),"Promethean")</f>
        <v>Promethean</v>
      </c>
      <c r="S27" s="295"/>
      <c r="T27" s="295"/>
      <c r="U27" s="241"/>
      <c r="V27" s="241"/>
      <c r="W27" s="241"/>
      <c r="X27" s="312"/>
      <c r="Y27" s="241"/>
      <c r="Z27" s="241"/>
      <c r="AA27" s="241"/>
      <c r="AB27" s="243"/>
      <c r="AC27" s="243"/>
      <c r="AD27" s="243"/>
      <c r="AE27" s="243"/>
      <c r="AF27" s="243"/>
      <c r="AG27" s="243"/>
      <c r="AH27" s="243"/>
      <c r="AI27" s="243"/>
      <c r="AJ27" s="243"/>
      <c r="AK27" s="241"/>
      <c r="AL27" s="241"/>
      <c r="AM27" s="241"/>
      <c r="AN27" s="241"/>
      <c r="AO27" s="241"/>
      <c r="AP27" s="241"/>
      <c r="AQ27" s="241"/>
      <c r="AR27" s="241"/>
    </row>
    <row r="28">
      <c r="A28" s="255" t="s">
        <v>120</v>
      </c>
      <c r="B28" s="321" t="s">
        <v>251</v>
      </c>
      <c r="C28" s="255">
        <v>10.0</v>
      </c>
      <c r="D28" s="255">
        <v>1.0</v>
      </c>
      <c r="E28" s="264" t="s">
        <v>167</v>
      </c>
      <c r="F28" s="264" t="s">
        <v>167</v>
      </c>
      <c r="G28" s="265" t="s">
        <v>168</v>
      </c>
      <c r="H28" s="258">
        <v>4.0</v>
      </c>
      <c r="I28" s="258" t="s">
        <v>178</v>
      </c>
      <c r="J28" s="258" t="s">
        <v>178</v>
      </c>
      <c r="K28" s="258" t="s">
        <v>178</v>
      </c>
      <c r="L28" s="233"/>
      <c r="M28" s="233"/>
      <c r="N28" s="233"/>
      <c r="O28" s="233"/>
      <c r="P28" s="241"/>
      <c r="Q28" s="243"/>
      <c r="R28" s="295"/>
      <c r="S28" s="295"/>
      <c r="T28" s="295"/>
      <c r="U28" s="241"/>
      <c r="V28" s="241"/>
      <c r="W28" s="241"/>
      <c r="X28" s="312"/>
      <c r="Y28" s="241"/>
      <c r="Z28" s="241"/>
      <c r="AA28" s="241"/>
      <c r="AB28" s="243"/>
      <c r="AC28" s="243"/>
      <c r="AD28" s="243"/>
      <c r="AE28" s="243"/>
      <c r="AF28" s="243"/>
      <c r="AG28" s="243"/>
      <c r="AH28" s="243"/>
      <c r="AI28" s="243"/>
      <c r="AJ28" s="243"/>
      <c r="AK28" s="241"/>
      <c r="AL28" s="241"/>
      <c r="AM28" s="241"/>
      <c r="AN28" s="241"/>
      <c r="AO28" s="241"/>
      <c r="AP28" s="241"/>
      <c r="AQ28" s="241"/>
      <c r="AR28" s="241"/>
    </row>
    <row r="29">
      <c r="A29" s="255" t="s">
        <v>120</v>
      </c>
      <c r="B29" s="321" t="s">
        <v>252</v>
      </c>
      <c r="C29" s="250">
        <v>8.0</v>
      </c>
      <c r="D29" s="255">
        <v>0.75</v>
      </c>
      <c r="E29" s="265" t="s">
        <v>168</v>
      </c>
      <c r="F29" s="264" t="s">
        <v>167</v>
      </c>
      <c r="G29" s="265" t="s">
        <v>168</v>
      </c>
      <c r="H29" s="258">
        <v>8.0</v>
      </c>
      <c r="I29" s="258" t="s">
        <v>178</v>
      </c>
      <c r="J29" s="258" t="s">
        <v>178</v>
      </c>
      <c r="K29" s="258" t="s">
        <v>178</v>
      </c>
      <c r="L29" s="233"/>
      <c r="M29" s="233"/>
      <c r="N29" s="233"/>
      <c r="O29" s="233"/>
      <c r="P29" s="241"/>
      <c r="Q29" s="243"/>
      <c r="R29" s="295"/>
      <c r="S29" s="295"/>
      <c r="T29" s="295"/>
      <c r="U29" s="241"/>
      <c r="V29" s="241"/>
      <c r="W29" s="241"/>
      <c r="X29" s="312"/>
      <c r="Y29" s="241"/>
      <c r="Z29" s="241"/>
      <c r="AA29" s="241"/>
      <c r="AB29" s="243"/>
      <c r="AC29" s="243"/>
      <c r="AD29" s="243"/>
      <c r="AE29" s="243"/>
      <c r="AF29" s="243"/>
      <c r="AG29" s="243"/>
      <c r="AH29" s="243"/>
      <c r="AI29" s="243"/>
      <c r="AJ29" s="243"/>
      <c r="AK29" s="241"/>
      <c r="AL29" s="241"/>
      <c r="AM29" s="241"/>
      <c r="AN29" s="241"/>
      <c r="AO29" s="241"/>
      <c r="AP29" s="241"/>
      <c r="AQ29" s="241"/>
      <c r="AR29" s="241"/>
    </row>
    <row r="30">
      <c r="A30" s="255" t="s">
        <v>120</v>
      </c>
      <c r="B30" s="324" t="s">
        <v>253</v>
      </c>
      <c r="C30" s="250">
        <v>8.0</v>
      </c>
      <c r="D30" s="255">
        <v>0.75</v>
      </c>
      <c r="E30" s="265" t="s">
        <v>168</v>
      </c>
      <c r="F30" s="265" t="s">
        <v>168</v>
      </c>
      <c r="G30" s="264" t="s">
        <v>167</v>
      </c>
      <c r="H30" s="250">
        <v>2.0</v>
      </c>
      <c r="I30" s="252" t="s">
        <v>173</v>
      </c>
      <c r="J30" s="255" t="str">
        <f>address(ROW($A$358),COLUMN($A$358))</f>
        <v>$A$358</v>
      </c>
      <c r="K30" s="252" t="str">
        <f>ADDRESS(ROW($O$358),COLUMN($O$358))</f>
        <v>$O$358</v>
      </c>
      <c r="L30" s="233"/>
      <c r="M30" s="233"/>
      <c r="N30" s="233"/>
      <c r="O30" s="233"/>
      <c r="P30" s="241"/>
      <c r="Q30" s="243"/>
      <c r="R30" s="295"/>
      <c r="S30" s="295"/>
      <c r="T30" s="295"/>
      <c r="U30" s="241"/>
      <c r="V30" s="241"/>
      <c r="W30" s="241"/>
      <c r="X30" s="312"/>
      <c r="Y30" s="241"/>
      <c r="Z30" s="241"/>
      <c r="AA30" s="241"/>
      <c r="AB30" s="243"/>
      <c r="AC30" s="243"/>
      <c r="AD30" s="243"/>
      <c r="AE30" s="243"/>
      <c r="AF30" s="243"/>
      <c r="AG30" s="243"/>
      <c r="AH30" s="243"/>
      <c r="AI30" s="243"/>
      <c r="AJ30" s="243"/>
      <c r="AK30" s="241"/>
      <c r="AL30" s="241"/>
      <c r="AM30" s="241"/>
      <c r="AN30" s="241"/>
      <c r="AO30" s="241"/>
      <c r="AP30" s="241"/>
      <c r="AQ30" s="241"/>
      <c r="AR30" s="241"/>
    </row>
    <row r="31">
      <c r="A31" s="245"/>
      <c r="B31" s="246" t="s">
        <v>254</v>
      </c>
      <c r="C31" s="233"/>
      <c r="D31" s="228"/>
      <c r="E31" s="228"/>
      <c r="F31" s="228"/>
      <c r="G31" s="228"/>
      <c r="H31" s="233"/>
      <c r="I31" s="228"/>
      <c r="J31" s="228"/>
      <c r="K31" s="228"/>
      <c r="L31" s="233"/>
      <c r="M31" s="233"/>
      <c r="N31" s="233"/>
      <c r="O31" s="233"/>
      <c r="P31" s="241"/>
      <c r="Q31" s="243"/>
      <c r="R31" s="295"/>
      <c r="S31" s="295"/>
      <c r="T31" s="295"/>
      <c r="U31" s="241"/>
      <c r="V31" s="241"/>
      <c r="W31" s="241"/>
      <c r="X31" s="312"/>
      <c r="Y31" s="241"/>
      <c r="Z31" s="241"/>
      <c r="AA31" s="241"/>
      <c r="AB31" s="243"/>
      <c r="AC31" s="243"/>
      <c r="AD31" s="243"/>
      <c r="AE31" s="243"/>
      <c r="AF31" s="243"/>
      <c r="AG31" s="243"/>
      <c r="AH31" s="243"/>
      <c r="AI31" s="243"/>
      <c r="AJ31" s="243"/>
      <c r="AK31" s="241"/>
      <c r="AL31" s="241"/>
      <c r="AM31" s="241"/>
      <c r="AN31" s="241"/>
      <c r="AO31" s="241"/>
      <c r="AP31" s="241"/>
      <c r="AQ31" s="241"/>
      <c r="AR31" s="241"/>
    </row>
    <row r="32">
      <c r="A32" s="233"/>
      <c r="B32" s="233"/>
      <c r="C32" s="233"/>
      <c r="D32" s="233"/>
      <c r="E32" s="233"/>
      <c r="F32" s="233"/>
      <c r="G32" s="233"/>
      <c r="H32" s="233"/>
      <c r="I32" s="233"/>
      <c r="J32" s="233"/>
      <c r="K32" s="233"/>
      <c r="L32" s="233"/>
      <c r="M32" s="233"/>
      <c r="N32" s="233"/>
      <c r="O32" s="233"/>
      <c r="P32" s="241"/>
      <c r="Q32" s="326"/>
      <c r="R32" s="327"/>
      <c r="S32" s="327"/>
      <c r="T32" s="327"/>
      <c r="U32" s="241"/>
      <c r="V32" s="241"/>
      <c r="W32" s="241"/>
      <c r="X32" s="312"/>
      <c r="Y32" s="312"/>
      <c r="Z32" s="312"/>
      <c r="AA32" s="243"/>
      <c r="AB32" s="243"/>
      <c r="AC32" s="243"/>
      <c r="AD32" s="243"/>
      <c r="AE32" s="243"/>
      <c r="AF32" s="243"/>
      <c r="AG32" s="243"/>
      <c r="AH32" s="243"/>
      <c r="AI32" s="243"/>
      <c r="AJ32" s="243"/>
      <c r="AK32" s="241"/>
      <c r="AL32" s="241"/>
      <c r="AM32" s="241"/>
      <c r="AN32" s="241"/>
      <c r="AO32" s="241"/>
      <c r="AP32" s="241"/>
      <c r="AQ32" s="241"/>
      <c r="AR32" s="241"/>
    </row>
    <row r="33">
      <c r="A33" s="228"/>
      <c r="B33" s="329" t="s">
        <v>256</v>
      </c>
      <c r="C33" s="228"/>
      <c r="D33" s="228"/>
      <c r="E33" s="228"/>
      <c r="F33" s="228"/>
      <c r="G33" s="228"/>
      <c r="H33" s="228"/>
      <c r="I33" s="228"/>
      <c r="J33" s="233" t="s">
        <v>257</v>
      </c>
      <c r="K33" s="233"/>
      <c r="L33" s="233"/>
      <c r="M33" s="233"/>
      <c r="N33" s="233"/>
      <c r="O33" s="233"/>
      <c r="P33" s="241"/>
      <c r="Q33" s="326"/>
      <c r="R33" s="327"/>
      <c r="S33" s="327"/>
      <c r="T33" s="327"/>
      <c r="U33" s="241"/>
      <c r="V33" s="241"/>
      <c r="W33" s="241"/>
      <c r="X33" s="312"/>
      <c r="Y33" s="312"/>
      <c r="Z33" s="312"/>
      <c r="AA33" s="243"/>
      <c r="AB33" s="243"/>
      <c r="AC33" s="243"/>
      <c r="AD33" s="243"/>
      <c r="AE33" s="243"/>
      <c r="AF33" s="243"/>
      <c r="AG33" s="243"/>
      <c r="AH33" s="243"/>
      <c r="AI33" s="243"/>
      <c r="AJ33" s="243"/>
      <c r="AK33" s="241"/>
      <c r="AL33" s="241"/>
      <c r="AM33" s="241"/>
      <c r="AN33" s="241"/>
      <c r="AO33" s="241"/>
      <c r="AP33" s="241"/>
      <c r="AQ33" s="241"/>
      <c r="AR33" s="241"/>
    </row>
    <row r="34">
      <c r="A34" s="245"/>
      <c r="B34" s="246" t="s">
        <v>258</v>
      </c>
      <c r="C34" s="255" t="s">
        <v>11</v>
      </c>
      <c r="D34" s="252" t="s">
        <v>13</v>
      </c>
      <c r="E34" s="252" t="s">
        <v>14</v>
      </c>
      <c r="F34" s="252" t="s">
        <v>159</v>
      </c>
      <c r="G34" s="252" t="s">
        <v>16</v>
      </c>
      <c r="H34" s="252" t="s">
        <v>12</v>
      </c>
      <c r="I34" s="250" t="s">
        <v>160</v>
      </c>
      <c r="J34" s="258" t="s">
        <v>162</v>
      </c>
      <c r="K34" s="258" t="s">
        <v>163</v>
      </c>
      <c r="L34" s="233"/>
      <c r="M34" s="233"/>
      <c r="N34" s="233"/>
      <c r="O34" s="233"/>
      <c r="P34" s="241"/>
      <c r="Q34" s="326"/>
      <c r="R34" s="327"/>
      <c r="S34" s="327"/>
      <c r="T34" s="327"/>
      <c r="U34" s="241"/>
      <c r="V34" s="241"/>
      <c r="W34" s="241"/>
      <c r="X34" s="312"/>
      <c r="Y34" s="312"/>
      <c r="Z34" s="312"/>
      <c r="AA34" s="243"/>
      <c r="AB34" s="243"/>
      <c r="AC34" s="243"/>
      <c r="AD34" s="243"/>
      <c r="AE34" s="243"/>
      <c r="AF34" s="243"/>
      <c r="AG34" s="243"/>
      <c r="AH34" s="243"/>
      <c r="AI34" s="243"/>
      <c r="AJ34" s="243"/>
      <c r="AK34" s="241"/>
      <c r="AL34" s="241"/>
      <c r="AM34" s="241"/>
      <c r="AN34" s="241"/>
      <c r="AO34" s="241"/>
      <c r="AP34" s="241"/>
      <c r="AQ34" s="241"/>
      <c r="AR34" s="241"/>
    </row>
    <row r="35">
      <c r="A35" s="255" t="s">
        <v>197</v>
      </c>
      <c r="B35" s="324" t="s">
        <v>226</v>
      </c>
      <c r="C35" s="255">
        <v>6.0</v>
      </c>
      <c r="D35" s="255">
        <v>0.5</v>
      </c>
      <c r="E35" s="265" t="s">
        <v>168</v>
      </c>
      <c r="F35" s="265" t="s">
        <v>168</v>
      </c>
      <c r="G35" s="264" t="s">
        <v>167</v>
      </c>
      <c r="H35" s="252">
        <v>2.0</v>
      </c>
      <c r="I35" s="258" t="s">
        <v>169</v>
      </c>
      <c r="J35" s="250" t="str">
        <f>address(ROW($A$427),COLUMN($A$427))</f>
        <v>$A$427</v>
      </c>
      <c r="K35" s="250" t="s">
        <v>170</v>
      </c>
      <c r="L35" s="233"/>
      <c r="M35" s="233"/>
      <c r="N35" s="233"/>
      <c r="O35" s="233"/>
      <c r="P35" s="241"/>
      <c r="Q35" s="326"/>
      <c r="R35" s="327"/>
      <c r="S35" s="327"/>
      <c r="T35" s="327"/>
      <c r="U35" s="241"/>
      <c r="V35" s="241"/>
      <c r="W35" s="241"/>
      <c r="X35" s="312"/>
      <c r="Y35" s="312"/>
      <c r="Z35" s="312"/>
      <c r="AA35" s="243"/>
      <c r="AB35" s="243"/>
      <c r="AC35" s="243"/>
      <c r="AD35" s="243"/>
      <c r="AE35" s="243"/>
      <c r="AF35" s="243"/>
      <c r="AG35" s="243"/>
      <c r="AH35" s="243"/>
      <c r="AI35" s="243"/>
      <c r="AJ35" s="243"/>
      <c r="AK35" s="241"/>
      <c r="AL35" s="241"/>
      <c r="AM35" s="241"/>
      <c r="AN35" s="241"/>
      <c r="AO35" s="241"/>
      <c r="AP35" s="241"/>
      <c r="AQ35" s="241"/>
      <c r="AR35" s="241"/>
    </row>
    <row r="36">
      <c r="A36" s="255" t="s">
        <v>197</v>
      </c>
      <c r="B36" s="324" t="s">
        <v>260</v>
      </c>
      <c r="C36" s="255">
        <v>10.0</v>
      </c>
      <c r="D36" s="333">
        <v>1.0</v>
      </c>
      <c r="E36" s="264" t="s">
        <v>167</v>
      </c>
      <c r="F36" s="264" t="s">
        <v>167</v>
      </c>
      <c r="G36" s="265" t="s">
        <v>168</v>
      </c>
      <c r="H36" s="255">
        <v>4.0</v>
      </c>
      <c r="I36" s="258" t="s">
        <v>178</v>
      </c>
      <c r="J36" s="258" t="s">
        <v>178</v>
      </c>
      <c r="K36" s="258" t="s">
        <v>178</v>
      </c>
      <c r="L36" s="233"/>
      <c r="M36" s="233"/>
      <c r="N36" s="233"/>
      <c r="O36" s="233"/>
      <c r="P36" s="241"/>
      <c r="Q36" s="326"/>
      <c r="R36" s="327"/>
      <c r="S36" s="327"/>
      <c r="T36" s="327"/>
      <c r="U36" s="241"/>
      <c r="V36" s="241"/>
      <c r="W36" s="241"/>
      <c r="X36" s="312"/>
      <c r="Y36" s="312"/>
      <c r="Z36" s="312"/>
      <c r="AA36" s="243"/>
      <c r="AB36" s="243"/>
      <c r="AC36" s="243"/>
      <c r="AD36" s="243"/>
      <c r="AE36" s="243"/>
      <c r="AF36" s="243"/>
      <c r="AG36" s="243"/>
      <c r="AH36" s="243"/>
      <c r="AI36" s="243"/>
      <c r="AJ36" s="243"/>
      <c r="AK36" s="241"/>
      <c r="AL36" s="241"/>
      <c r="AM36" s="241"/>
      <c r="AN36" s="241"/>
      <c r="AO36" s="241"/>
      <c r="AP36" s="241"/>
      <c r="AQ36" s="241"/>
      <c r="AR36" s="241"/>
    </row>
    <row r="37">
      <c r="A37" s="255" t="s">
        <v>197</v>
      </c>
      <c r="B37" s="324" t="s">
        <v>230</v>
      </c>
      <c r="C37" s="255">
        <v>10.0</v>
      </c>
      <c r="D37" s="255">
        <v>1.0</v>
      </c>
      <c r="E37" s="264" t="s">
        <v>167</v>
      </c>
      <c r="F37" s="265" t="s">
        <v>168</v>
      </c>
      <c r="G37" s="265" t="s">
        <v>168</v>
      </c>
      <c r="H37" s="255">
        <v>4.0</v>
      </c>
      <c r="I37" s="250" t="s">
        <v>173</v>
      </c>
      <c r="J37" s="250" t="str">
        <f>address(ROW($A$450),COLUMN($A$450))</f>
        <v>$A$450</v>
      </c>
      <c r="K37" s="250" t="str">
        <f>address(ROW($N$450),COLUMN($N$450))</f>
        <v>$N$450</v>
      </c>
      <c r="L37" s="233"/>
      <c r="M37" s="233"/>
      <c r="N37" s="233"/>
      <c r="O37" s="233"/>
      <c r="P37" s="241"/>
      <c r="Q37" s="326"/>
      <c r="R37" s="327"/>
      <c r="S37" s="327"/>
      <c r="T37" s="327"/>
      <c r="U37" s="241"/>
      <c r="V37" s="241"/>
      <c r="W37" s="241"/>
      <c r="X37" s="312"/>
      <c r="Y37" s="312"/>
      <c r="Z37" s="312"/>
      <c r="AA37" s="243"/>
      <c r="AB37" s="243"/>
      <c r="AC37" s="243"/>
      <c r="AD37" s="243"/>
      <c r="AE37" s="243"/>
      <c r="AF37" s="243"/>
      <c r="AG37" s="243"/>
      <c r="AH37" s="243"/>
      <c r="AI37" s="243"/>
      <c r="AJ37" s="243"/>
      <c r="AK37" s="241"/>
      <c r="AL37" s="241"/>
      <c r="AM37" s="241"/>
      <c r="AN37" s="241"/>
      <c r="AO37" s="241"/>
      <c r="AP37" s="241"/>
      <c r="AQ37" s="241"/>
      <c r="AR37" s="241"/>
    </row>
    <row r="38">
      <c r="A38" s="255" t="s">
        <v>197</v>
      </c>
      <c r="B38" s="324" t="s">
        <v>262</v>
      </c>
      <c r="C38" s="255">
        <v>8.0</v>
      </c>
      <c r="D38" s="255">
        <v>0.75</v>
      </c>
      <c r="E38" s="264" t="s">
        <v>167</v>
      </c>
      <c r="F38" s="264" t="s">
        <v>167</v>
      </c>
      <c r="G38" s="265" t="s">
        <v>168</v>
      </c>
      <c r="H38" s="255">
        <v>6.0</v>
      </c>
      <c r="I38" s="250" t="s">
        <v>184</v>
      </c>
      <c r="J38" s="250" t="str">
        <f t="shared" ref="J38:J39" si="9">address(ROW($A$358),COLUMN($A$358))</f>
        <v>$A$358</v>
      </c>
      <c r="K38" s="250" t="s">
        <v>174</v>
      </c>
      <c r="L38" s="233"/>
      <c r="M38" s="233"/>
      <c r="N38" s="233"/>
      <c r="O38" s="233"/>
      <c r="P38" s="241"/>
      <c r="Q38" s="326"/>
      <c r="R38" s="327"/>
      <c r="S38" s="327"/>
      <c r="T38" s="327"/>
      <c r="U38" s="241"/>
      <c r="V38" s="241"/>
      <c r="W38" s="241"/>
      <c r="X38" s="312"/>
      <c r="Y38" s="312"/>
      <c r="Z38" s="312"/>
      <c r="AA38" s="243"/>
      <c r="AB38" s="243"/>
      <c r="AC38" s="243"/>
      <c r="AD38" s="243"/>
      <c r="AE38" s="243"/>
      <c r="AF38" s="243"/>
      <c r="AG38" s="243"/>
      <c r="AH38" s="243"/>
      <c r="AI38" s="243"/>
      <c r="AJ38" s="243"/>
      <c r="AK38" s="241"/>
      <c r="AL38" s="241"/>
      <c r="AM38" s="241"/>
      <c r="AN38" s="241"/>
      <c r="AO38" s="241"/>
      <c r="AP38" s="241"/>
      <c r="AQ38" s="241"/>
      <c r="AR38" s="241"/>
    </row>
    <row r="39">
      <c r="A39" s="255" t="s">
        <v>197</v>
      </c>
      <c r="B39" s="324" t="s">
        <v>263</v>
      </c>
      <c r="C39" s="255">
        <v>8.0</v>
      </c>
      <c r="D39" s="255">
        <v>0.75</v>
      </c>
      <c r="E39" s="265" t="s">
        <v>168</v>
      </c>
      <c r="F39" s="264" t="s">
        <v>167</v>
      </c>
      <c r="G39" s="264" t="s">
        <v>167</v>
      </c>
      <c r="H39" s="255">
        <v>6.0</v>
      </c>
      <c r="I39" s="250" t="s">
        <v>169</v>
      </c>
      <c r="J39" s="250" t="str">
        <f t="shared" si="9"/>
        <v>$A$358</v>
      </c>
      <c r="K39" s="250" t="s">
        <v>170</v>
      </c>
      <c r="L39" s="233"/>
      <c r="M39" s="233"/>
      <c r="N39" s="233"/>
      <c r="O39" s="233"/>
      <c r="P39" s="241"/>
      <c r="Q39" s="326"/>
      <c r="R39" s="327"/>
      <c r="S39" s="327"/>
      <c r="T39" s="327"/>
      <c r="U39" s="241"/>
      <c r="V39" s="241"/>
      <c r="W39" s="241"/>
      <c r="X39" s="312"/>
      <c r="Y39" s="312"/>
      <c r="Z39" s="312"/>
      <c r="AA39" s="243"/>
      <c r="AB39" s="243"/>
      <c r="AC39" s="243"/>
      <c r="AD39" s="243"/>
      <c r="AE39" s="243"/>
      <c r="AF39" s="243"/>
      <c r="AG39" s="243"/>
      <c r="AH39" s="243"/>
      <c r="AI39" s="243"/>
      <c r="AJ39" s="243"/>
      <c r="AK39" s="241"/>
      <c r="AL39" s="241"/>
      <c r="AM39" s="241"/>
      <c r="AN39" s="241"/>
      <c r="AO39" s="241"/>
      <c r="AP39" s="241"/>
      <c r="AQ39" s="241"/>
      <c r="AR39" s="241"/>
    </row>
    <row r="40">
      <c r="A40" s="255" t="s">
        <v>197</v>
      </c>
      <c r="B40" s="324" t="s">
        <v>264</v>
      </c>
      <c r="C40" s="255">
        <v>8.0</v>
      </c>
      <c r="D40" s="255">
        <v>0.75</v>
      </c>
      <c r="E40" s="265" t="s">
        <v>168</v>
      </c>
      <c r="F40" s="265" t="s">
        <v>168</v>
      </c>
      <c r="G40" s="264" t="s">
        <v>167</v>
      </c>
      <c r="H40" s="255">
        <v>4.0</v>
      </c>
      <c r="I40" s="250" t="s">
        <v>184</v>
      </c>
      <c r="J40" s="250" t="str">
        <f>ADDRESS(ROW($A$335),COLUMN($A$335))</f>
        <v>$A$335</v>
      </c>
      <c r="K40" s="250" t="s">
        <v>174</v>
      </c>
      <c r="L40" s="233"/>
      <c r="M40" s="233"/>
      <c r="N40" s="233"/>
      <c r="O40" s="233"/>
      <c r="P40" s="241"/>
      <c r="Q40" s="326"/>
      <c r="R40" s="327"/>
      <c r="S40" s="327"/>
      <c r="T40" s="327"/>
      <c r="U40" s="241"/>
      <c r="V40" s="241"/>
      <c r="W40" s="241"/>
      <c r="X40" s="312"/>
      <c r="Y40" s="312"/>
      <c r="Z40" s="312"/>
      <c r="AA40" s="243"/>
      <c r="AB40" s="243"/>
      <c r="AC40" s="243"/>
      <c r="AD40" s="243"/>
      <c r="AE40" s="243"/>
      <c r="AF40" s="243"/>
      <c r="AG40" s="243"/>
      <c r="AH40" s="243"/>
      <c r="AI40" s="243"/>
      <c r="AJ40" s="243"/>
      <c r="AK40" s="241"/>
      <c r="AL40" s="241"/>
      <c r="AM40" s="241"/>
      <c r="AN40" s="241"/>
      <c r="AO40" s="241"/>
      <c r="AP40" s="241"/>
      <c r="AQ40" s="241"/>
      <c r="AR40" s="241"/>
    </row>
    <row r="41">
      <c r="A41" s="255" t="s">
        <v>197</v>
      </c>
      <c r="B41" s="324" t="s">
        <v>266</v>
      </c>
      <c r="C41" s="255">
        <v>8.0</v>
      </c>
      <c r="D41" s="255">
        <v>0.75</v>
      </c>
      <c r="E41" s="264" t="s">
        <v>167</v>
      </c>
      <c r="F41" s="265" t="s">
        <v>168</v>
      </c>
      <c r="G41" s="264" t="s">
        <v>167</v>
      </c>
      <c r="H41" s="255">
        <v>4.0</v>
      </c>
      <c r="I41" s="250" t="s">
        <v>173</v>
      </c>
      <c r="J41" s="250" t="str">
        <f>address(ROW($A$358),COLUMN($A$358))</f>
        <v>$A$358</v>
      </c>
      <c r="K41" s="258" t="str">
        <f>ADDRESS(ROW($O$358),COLUMN($O$358))</f>
        <v>$O$358</v>
      </c>
      <c r="L41" s="233"/>
      <c r="M41" s="233"/>
      <c r="N41" s="233"/>
      <c r="O41" s="233"/>
      <c r="P41" s="241"/>
      <c r="Q41" s="326"/>
      <c r="R41" s="327"/>
      <c r="S41" s="327"/>
      <c r="T41" s="327"/>
      <c r="U41" s="241"/>
      <c r="V41" s="241"/>
      <c r="W41" s="241"/>
      <c r="X41" s="312"/>
      <c r="Y41" s="312"/>
      <c r="Z41" s="312"/>
      <c r="AA41" s="243"/>
      <c r="AB41" s="243"/>
      <c r="AC41" s="243"/>
      <c r="AD41" s="243"/>
      <c r="AE41" s="243"/>
      <c r="AF41" s="243"/>
      <c r="AG41" s="243"/>
      <c r="AH41" s="243"/>
      <c r="AI41" s="243"/>
      <c r="AJ41" s="243"/>
      <c r="AK41" s="241"/>
      <c r="AL41" s="241"/>
      <c r="AM41" s="241"/>
      <c r="AN41" s="241"/>
      <c r="AO41" s="241"/>
      <c r="AP41" s="241"/>
      <c r="AQ41" s="241"/>
      <c r="AR41" s="241"/>
    </row>
    <row r="42">
      <c r="A42" s="255" t="s">
        <v>197</v>
      </c>
      <c r="B42" s="324" t="s">
        <v>268</v>
      </c>
      <c r="C42" s="255">
        <v>10.0</v>
      </c>
      <c r="D42" s="255">
        <v>1.0</v>
      </c>
      <c r="E42" s="264" t="s">
        <v>167</v>
      </c>
      <c r="F42" s="264" t="s">
        <v>167</v>
      </c>
      <c r="G42" s="265" t="s">
        <v>168</v>
      </c>
      <c r="H42" s="255">
        <v>6.0</v>
      </c>
      <c r="I42" s="258" t="s">
        <v>178</v>
      </c>
      <c r="J42" s="258" t="s">
        <v>178</v>
      </c>
      <c r="K42" s="258" t="s">
        <v>178</v>
      </c>
      <c r="L42" s="233"/>
      <c r="M42" s="233"/>
      <c r="N42" s="233"/>
      <c r="O42" s="233"/>
      <c r="P42" s="241"/>
      <c r="Q42" s="326"/>
      <c r="R42" s="327"/>
      <c r="S42" s="327"/>
      <c r="T42" s="327"/>
      <c r="U42" s="241"/>
      <c r="V42" s="241"/>
      <c r="W42" s="241"/>
      <c r="X42" s="312"/>
      <c r="Y42" s="312"/>
      <c r="Z42" s="312"/>
      <c r="AA42" s="243"/>
      <c r="AB42" s="243"/>
      <c r="AC42" s="243"/>
      <c r="AD42" s="243"/>
      <c r="AE42" s="243"/>
      <c r="AF42" s="243"/>
      <c r="AG42" s="243"/>
      <c r="AH42" s="243"/>
      <c r="AI42" s="243"/>
      <c r="AJ42" s="243"/>
      <c r="AK42" s="241"/>
      <c r="AL42" s="241"/>
      <c r="AM42" s="241"/>
      <c r="AN42" s="241"/>
      <c r="AO42" s="241"/>
      <c r="AP42" s="241"/>
      <c r="AQ42" s="241"/>
      <c r="AR42" s="241"/>
    </row>
    <row r="43">
      <c r="A43" s="255" t="s">
        <v>197</v>
      </c>
      <c r="B43" s="324" t="s">
        <v>269</v>
      </c>
      <c r="C43" s="255">
        <v>10.0</v>
      </c>
      <c r="D43" s="255">
        <v>1.0</v>
      </c>
      <c r="E43" s="265" t="s">
        <v>168</v>
      </c>
      <c r="F43" s="264" t="s">
        <v>167</v>
      </c>
      <c r="G43" s="265" t="s">
        <v>168</v>
      </c>
      <c r="H43" s="255">
        <v>4.0</v>
      </c>
      <c r="I43" s="258" t="s">
        <v>178</v>
      </c>
      <c r="J43" s="258" t="s">
        <v>178</v>
      </c>
      <c r="K43" s="258" t="s">
        <v>178</v>
      </c>
      <c r="L43" s="233"/>
      <c r="M43" s="233"/>
      <c r="N43" s="233"/>
      <c r="O43" s="233"/>
      <c r="P43" s="241"/>
      <c r="Q43" s="326"/>
      <c r="R43" s="327"/>
      <c r="S43" s="327"/>
      <c r="T43" s="327"/>
      <c r="U43" s="241"/>
      <c r="V43" s="241"/>
      <c r="W43" s="241"/>
      <c r="X43" s="312"/>
      <c r="Y43" s="312"/>
      <c r="Z43" s="312"/>
      <c r="AA43" s="243"/>
      <c r="AB43" s="243"/>
      <c r="AC43" s="243"/>
      <c r="AD43" s="243"/>
      <c r="AE43" s="243"/>
      <c r="AF43" s="243"/>
      <c r="AG43" s="243"/>
      <c r="AH43" s="243"/>
      <c r="AI43" s="243"/>
      <c r="AJ43" s="243"/>
      <c r="AK43" s="241"/>
      <c r="AL43" s="241"/>
      <c r="AM43" s="241"/>
      <c r="AN43" s="241"/>
      <c r="AO43" s="241"/>
      <c r="AP43" s="241"/>
      <c r="AQ43" s="241"/>
      <c r="AR43" s="241"/>
    </row>
    <row r="44">
      <c r="A44" s="255" t="s">
        <v>197</v>
      </c>
      <c r="B44" s="324" t="s">
        <v>271</v>
      </c>
      <c r="C44" s="255">
        <v>8.0</v>
      </c>
      <c r="D44" s="255">
        <v>0.75</v>
      </c>
      <c r="E44" s="264" t="s">
        <v>167</v>
      </c>
      <c r="F44" s="265" t="s">
        <v>168</v>
      </c>
      <c r="G44" s="264" t="s">
        <v>167</v>
      </c>
      <c r="H44" s="255">
        <v>2.0</v>
      </c>
      <c r="I44" s="250" t="s">
        <v>184</v>
      </c>
      <c r="J44" s="250" t="str">
        <f>address(ROW($A$358),COLUMN($A$358))</f>
        <v>$A$358</v>
      </c>
      <c r="K44" s="250" t="s">
        <v>174</v>
      </c>
      <c r="L44" s="233"/>
      <c r="M44" s="233"/>
      <c r="N44" s="233"/>
      <c r="O44" s="233"/>
      <c r="P44" s="241"/>
      <c r="Q44" s="326"/>
      <c r="R44" s="327"/>
      <c r="S44" s="327"/>
      <c r="T44" s="327"/>
      <c r="U44" s="241"/>
      <c r="V44" s="241"/>
      <c r="W44" s="241"/>
      <c r="X44" s="312"/>
      <c r="Y44" s="312"/>
      <c r="Z44" s="312"/>
      <c r="AA44" s="243"/>
      <c r="AB44" s="243"/>
      <c r="AC44" s="243"/>
      <c r="AD44" s="243"/>
      <c r="AE44" s="243"/>
      <c r="AF44" s="243"/>
      <c r="AG44" s="243"/>
      <c r="AH44" s="243"/>
      <c r="AI44" s="243"/>
      <c r="AJ44" s="243"/>
      <c r="AK44" s="241"/>
      <c r="AL44" s="241"/>
      <c r="AM44" s="241"/>
      <c r="AN44" s="241"/>
      <c r="AO44" s="241"/>
      <c r="AP44" s="241"/>
      <c r="AQ44" s="241"/>
      <c r="AR44" s="241"/>
    </row>
    <row r="45">
      <c r="A45" s="245"/>
      <c r="B45" s="339" t="s">
        <v>273</v>
      </c>
      <c r="C45" s="228"/>
      <c r="D45" s="228"/>
      <c r="E45" s="228"/>
      <c r="F45" s="228"/>
      <c r="G45" s="228"/>
      <c r="H45" s="228"/>
      <c r="I45" s="233"/>
      <c r="J45" s="233"/>
      <c r="K45" s="233"/>
      <c r="L45" s="233"/>
      <c r="M45" s="233"/>
      <c r="N45" s="233"/>
      <c r="O45" s="233"/>
      <c r="P45" s="241"/>
      <c r="Q45" s="326"/>
      <c r="R45" s="327"/>
      <c r="S45" s="327"/>
      <c r="T45" s="327"/>
      <c r="U45" s="241"/>
      <c r="V45" s="241"/>
      <c r="W45" s="241"/>
      <c r="X45" s="312"/>
      <c r="Y45" s="312"/>
      <c r="Z45" s="312"/>
      <c r="AA45" s="243"/>
      <c r="AB45" s="243"/>
      <c r="AC45" s="243"/>
      <c r="AD45" s="243"/>
      <c r="AE45" s="243"/>
      <c r="AF45" s="243"/>
      <c r="AG45" s="243"/>
      <c r="AH45" s="243"/>
      <c r="AI45" s="243"/>
      <c r="AJ45" s="243"/>
      <c r="AK45" s="241"/>
      <c r="AL45" s="241"/>
      <c r="AM45" s="241"/>
      <c r="AN45" s="241"/>
      <c r="AO45" s="241"/>
      <c r="AP45" s="241"/>
      <c r="AQ45" s="241"/>
      <c r="AR45" s="241"/>
    </row>
    <row r="46">
      <c r="A46" s="228"/>
      <c r="B46" s="228"/>
      <c r="C46" s="228"/>
      <c r="D46" s="228"/>
      <c r="E46" s="228"/>
      <c r="F46" s="228"/>
      <c r="G46" s="228"/>
      <c r="H46" s="228"/>
      <c r="I46" s="233"/>
      <c r="J46" s="233"/>
      <c r="K46" s="233"/>
      <c r="L46" s="233"/>
      <c r="M46" s="233"/>
      <c r="N46" s="233"/>
      <c r="O46" s="233"/>
      <c r="P46" s="326"/>
      <c r="Q46" s="326"/>
      <c r="R46" s="327"/>
      <c r="S46" s="327"/>
      <c r="T46" s="327"/>
      <c r="U46" s="241"/>
      <c r="V46" s="241"/>
      <c r="W46" s="241"/>
      <c r="X46" s="312"/>
      <c r="Y46" s="312"/>
      <c r="Z46" s="312"/>
      <c r="AA46" s="243"/>
      <c r="AB46" s="243"/>
      <c r="AC46" s="243"/>
      <c r="AD46" s="243"/>
      <c r="AE46" s="243"/>
      <c r="AF46" s="243"/>
      <c r="AG46" s="243"/>
      <c r="AH46" s="243"/>
      <c r="AI46" s="243"/>
      <c r="AJ46" s="243"/>
      <c r="AK46" s="241"/>
      <c r="AL46" s="241"/>
      <c r="AM46" s="241"/>
      <c r="AN46" s="241"/>
      <c r="AO46" s="241"/>
      <c r="AP46" s="241"/>
      <c r="AQ46" s="241"/>
      <c r="AR46" s="241"/>
    </row>
    <row r="47">
      <c r="A47" s="228"/>
      <c r="B47" s="340" t="s">
        <v>274</v>
      </c>
      <c r="C47" s="228"/>
      <c r="D47" s="228"/>
      <c r="E47" s="228"/>
      <c r="F47" s="228"/>
      <c r="G47" s="228"/>
      <c r="H47" s="228"/>
      <c r="I47" s="233"/>
      <c r="J47" s="233"/>
      <c r="K47" s="233"/>
      <c r="L47" s="233"/>
      <c r="M47" s="233"/>
      <c r="N47" s="233"/>
      <c r="O47" s="233"/>
      <c r="P47" s="326"/>
      <c r="Q47" s="326"/>
      <c r="R47" s="327"/>
      <c r="S47" s="327"/>
      <c r="T47" s="327"/>
      <c r="U47" s="241"/>
      <c r="V47" s="241"/>
      <c r="W47" s="241"/>
      <c r="X47" s="312"/>
      <c r="Y47" s="312"/>
      <c r="Z47" s="312"/>
      <c r="AA47" s="243"/>
      <c r="AB47" s="243"/>
      <c r="AC47" s="243"/>
      <c r="AD47" s="243"/>
      <c r="AE47" s="243"/>
      <c r="AF47" s="243"/>
      <c r="AG47" s="243"/>
      <c r="AH47" s="243"/>
      <c r="AI47" s="243"/>
      <c r="AJ47" s="243"/>
      <c r="AK47" s="241"/>
      <c r="AL47" s="241"/>
      <c r="AM47" s="241"/>
      <c r="AN47" s="241"/>
      <c r="AO47" s="241"/>
      <c r="AP47" s="241"/>
      <c r="AQ47" s="241"/>
      <c r="AR47" s="241"/>
    </row>
    <row r="48">
      <c r="A48" s="245"/>
      <c r="B48" s="246" t="s">
        <v>275</v>
      </c>
      <c r="C48" s="255" t="s">
        <v>11</v>
      </c>
      <c r="D48" s="252" t="s">
        <v>13</v>
      </c>
      <c r="E48" s="252" t="s">
        <v>14</v>
      </c>
      <c r="F48" s="252" t="s">
        <v>159</v>
      </c>
      <c r="G48" s="252" t="s">
        <v>16</v>
      </c>
      <c r="H48" s="252" t="s">
        <v>12</v>
      </c>
      <c r="I48" s="250" t="s">
        <v>160</v>
      </c>
      <c r="J48" s="258" t="s">
        <v>162</v>
      </c>
      <c r="K48" s="258" t="s">
        <v>163</v>
      </c>
      <c r="L48" s="233"/>
      <c r="M48" s="233"/>
      <c r="N48" s="233"/>
      <c r="O48" s="233"/>
      <c r="P48" s="326"/>
      <c r="Q48" s="326"/>
      <c r="R48" s="327"/>
      <c r="S48" s="327"/>
      <c r="T48" s="327"/>
      <c r="U48" s="241"/>
      <c r="V48" s="241"/>
      <c r="W48" s="241"/>
      <c r="X48" s="312"/>
      <c r="Y48" s="312"/>
      <c r="Z48" s="312"/>
      <c r="AA48" s="243"/>
      <c r="AB48" s="243"/>
      <c r="AC48" s="243"/>
      <c r="AD48" s="243"/>
      <c r="AE48" s="243"/>
      <c r="AF48" s="243"/>
      <c r="AG48" s="243"/>
      <c r="AH48" s="243"/>
      <c r="AI48" s="243"/>
      <c r="AJ48" s="243"/>
      <c r="AK48" s="241"/>
      <c r="AL48" s="241"/>
      <c r="AM48" s="241"/>
      <c r="AN48" s="241"/>
      <c r="AO48" s="241"/>
      <c r="AP48" s="241"/>
      <c r="AQ48" s="241"/>
      <c r="AR48" s="241"/>
    </row>
    <row r="49">
      <c r="A49" s="255" t="s">
        <v>206</v>
      </c>
      <c r="B49" s="324" t="s">
        <v>276</v>
      </c>
      <c r="C49" s="255">
        <v>8.0</v>
      </c>
      <c r="D49" s="255">
        <v>0.75</v>
      </c>
      <c r="E49" s="264" t="s">
        <v>167</v>
      </c>
      <c r="F49" s="264" t="s">
        <v>167</v>
      </c>
      <c r="G49" s="265" t="s">
        <v>168</v>
      </c>
      <c r="H49" s="252">
        <v>2.0</v>
      </c>
      <c r="I49" s="258" t="s">
        <v>178</v>
      </c>
      <c r="J49" s="258" t="s">
        <v>178</v>
      </c>
      <c r="K49" s="258" t="s">
        <v>178</v>
      </c>
      <c r="L49" s="233"/>
      <c r="M49" s="233"/>
      <c r="N49" s="233"/>
      <c r="O49" s="233"/>
      <c r="P49" s="326"/>
      <c r="Q49" s="326"/>
      <c r="R49" s="327"/>
      <c r="S49" s="327"/>
      <c r="T49" s="327"/>
      <c r="U49" s="241"/>
      <c r="V49" s="241"/>
      <c r="W49" s="241"/>
      <c r="X49" s="312"/>
      <c r="Y49" s="312"/>
      <c r="Z49" s="312"/>
      <c r="AA49" s="243"/>
      <c r="AB49" s="243"/>
      <c r="AC49" s="243"/>
      <c r="AD49" s="243"/>
      <c r="AE49" s="243"/>
      <c r="AF49" s="243"/>
      <c r="AG49" s="243"/>
      <c r="AH49" s="243"/>
      <c r="AI49" s="243"/>
      <c r="AJ49" s="243"/>
      <c r="AK49" s="241"/>
      <c r="AL49" s="241"/>
      <c r="AM49" s="241"/>
      <c r="AN49" s="241"/>
      <c r="AO49" s="241"/>
      <c r="AP49" s="241"/>
      <c r="AQ49" s="241"/>
      <c r="AR49" s="241"/>
    </row>
    <row r="50">
      <c r="A50" s="255" t="s">
        <v>206</v>
      </c>
      <c r="B50" s="324" t="s">
        <v>23</v>
      </c>
      <c r="C50" s="250">
        <v>8.0</v>
      </c>
      <c r="D50" s="250">
        <v>0.75</v>
      </c>
      <c r="E50" s="342" t="s">
        <v>168</v>
      </c>
      <c r="F50" s="342" t="s">
        <v>168</v>
      </c>
      <c r="G50" s="344" t="s">
        <v>167</v>
      </c>
      <c r="H50" s="250">
        <v>4.0</v>
      </c>
      <c r="I50" s="250" t="s">
        <v>173</v>
      </c>
      <c r="J50" s="250" t="str">
        <f>ADDRESS(ROW($A$403),COLUMN($A$403))</f>
        <v>$A$403</v>
      </c>
      <c r="K50" s="250" t="str">
        <f>ADDRESS(ROW($O$403),COLUMN($O$403))</f>
        <v>$O$403</v>
      </c>
      <c r="L50" s="233"/>
      <c r="M50" s="233"/>
      <c r="N50" s="233"/>
      <c r="O50" s="233"/>
      <c r="P50" s="326"/>
      <c r="Q50" s="326"/>
      <c r="R50" s="327"/>
      <c r="S50" s="327"/>
      <c r="T50" s="327"/>
      <c r="U50" s="241"/>
      <c r="V50" s="241"/>
      <c r="W50" s="241"/>
      <c r="X50" s="312"/>
      <c r="Y50" s="312"/>
      <c r="Z50" s="312"/>
      <c r="AA50" s="243"/>
      <c r="AB50" s="243"/>
      <c r="AC50" s="243"/>
      <c r="AD50" s="243"/>
      <c r="AE50" s="243"/>
      <c r="AF50" s="243"/>
      <c r="AG50" s="243"/>
      <c r="AH50" s="243"/>
      <c r="AI50" s="243"/>
      <c r="AJ50" s="243"/>
      <c r="AK50" s="241"/>
      <c r="AL50" s="241"/>
      <c r="AM50" s="241"/>
      <c r="AN50" s="241"/>
      <c r="AO50" s="241"/>
      <c r="AP50" s="241"/>
      <c r="AQ50" s="241"/>
      <c r="AR50" s="241"/>
    </row>
    <row r="51">
      <c r="A51" s="255" t="s">
        <v>206</v>
      </c>
      <c r="B51" s="319" t="s">
        <v>279</v>
      </c>
      <c r="C51" s="250">
        <v>8.0</v>
      </c>
      <c r="D51" s="250">
        <v>0.75</v>
      </c>
      <c r="E51" s="342" t="s">
        <v>168</v>
      </c>
      <c r="F51" s="342" t="s">
        <v>168</v>
      </c>
      <c r="G51" s="344" t="s">
        <v>167</v>
      </c>
      <c r="H51" s="250">
        <v>4.0</v>
      </c>
      <c r="I51" s="250" t="s">
        <v>173</v>
      </c>
      <c r="J51" s="250" t="str">
        <f t="shared" ref="J51:J53" si="10">address(ROW($A$358),COLUMN($A$358))</f>
        <v>$A$358</v>
      </c>
      <c r="K51" s="258" t="str">
        <f t="shared" ref="K51:K52" si="11">ADDRESS(ROW($O$358),COLUMN($O$358))</f>
        <v>$O$358</v>
      </c>
      <c r="L51" s="233"/>
      <c r="M51" s="233"/>
      <c r="N51" s="233"/>
      <c r="O51" s="233"/>
      <c r="P51" s="326"/>
      <c r="Q51" s="326"/>
      <c r="R51" s="327"/>
      <c r="S51" s="327"/>
      <c r="T51" s="327"/>
      <c r="U51" s="241"/>
      <c r="V51" s="241"/>
      <c r="W51" s="241"/>
      <c r="X51" s="312"/>
      <c r="Y51" s="312"/>
      <c r="Z51" s="312"/>
      <c r="AA51" s="243"/>
      <c r="AB51" s="243"/>
      <c r="AC51" s="243"/>
      <c r="AD51" s="243"/>
      <c r="AE51" s="243"/>
      <c r="AF51" s="243"/>
      <c r="AG51" s="243"/>
      <c r="AH51" s="243"/>
      <c r="AI51" s="243"/>
      <c r="AJ51" s="243"/>
      <c r="AK51" s="241"/>
      <c r="AL51" s="241"/>
      <c r="AM51" s="241"/>
      <c r="AN51" s="241"/>
      <c r="AO51" s="241"/>
      <c r="AP51" s="241"/>
      <c r="AQ51" s="241"/>
      <c r="AR51" s="241"/>
    </row>
    <row r="52">
      <c r="A52" s="250" t="s">
        <v>206</v>
      </c>
      <c r="B52" s="262" t="s">
        <v>280</v>
      </c>
      <c r="C52" s="250">
        <v>8.0</v>
      </c>
      <c r="D52" s="250">
        <v>0.75</v>
      </c>
      <c r="E52" s="342" t="s">
        <v>168</v>
      </c>
      <c r="F52" s="344" t="s">
        <v>167</v>
      </c>
      <c r="G52" s="344" t="s">
        <v>167</v>
      </c>
      <c r="H52" s="250">
        <v>6.0</v>
      </c>
      <c r="I52" s="250" t="s">
        <v>173</v>
      </c>
      <c r="J52" s="250" t="str">
        <f t="shared" si="10"/>
        <v>$A$358</v>
      </c>
      <c r="K52" s="258" t="str">
        <f t="shared" si="11"/>
        <v>$O$358</v>
      </c>
      <c r="L52" s="233"/>
      <c r="M52" s="233"/>
      <c r="N52" s="233"/>
      <c r="O52" s="233"/>
      <c r="P52" s="326"/>
      <c r="Q52" s="326"/>
      <c r="R52" s="327"/>
      <c r="S52" s="327"/>
      <c r="T52" s="327"/>
      <c r="U52" s="241"/>
      <c r="V52" s="241"/>
      <c r="W52" s="241"/>
      <c r="X52" s="312"/>
      <c r="Y52" s="312"/>
      <c r="Z52" s="312"/>
      <c r="AA52" s="243"/>
      <c r="AB52" s="243"/>
      <c r="AC52" s="243"/>
      <c r="AD52" s="243"/>
      <c r="AE52" s="243"/>
      <c r="AF52" s="243"/>
      <c r="AG52" s="243"/>
      <c r="AH52" s="243"/>
      <c r="AI52" s="243"/>
      <c r="AJ52" s="243"/>
      <c r="AK52" s="241"/>
      <c r="AL52" s="241"/>
      <c r="AM52" s="241"/>
      <c r="AN52" s="241"/>
      <c r="AO52" s="241"/>
      <c r="AP52" s="241"/>
      <c r="AQ52" s="241"/>
      <c r="AR52" s="241"/>
    </row>
    <row r="53">
      <c r="A53" s="255" t="s">
        <v>206</v>
      </c>
      <c r="B53" s="324" t="s">
        <v>282</v>
      </c>
      <c r="C53" s="250">
        <v>8.0</v>
      </c>
      <c r="D53" s="250">
        <v>0.75</v>
      </c>
      <c r="E53" s="344" t="s">
        <v>167</v>
      </c>
      <c r="F53" s="342" t="s">
        <v>168</v>
      </c>
      <c r="G53" s="344" t="s">
        <v>167</v>
      </c>
      <c r="H53" s="250">
        <v>4.0</v>
      </c>
      <c r="I53" s="250" t="s">
        <v>169</v>
      </c>
      <c r="J53" s="255" t="str">
        <f t="shared" si="10"/>
        <v>$A$358</v>
      </c>
      <c r="K53" s="250" t="s">
        <v>284</v>
      </c>
      <c r="L53" s="233"/>
      <c r="M53" s="233"/>
      <c r="N53" s="233"/>
      <c r="O53" s="233"/>
      <c r="P53" s="326"/>
      <c r="Q53" s="326"/>
      <c r="R53" s="327"/>
      <c r="S53" s="327"/>
      <c r="T53" s="327"/>
      <c r="U53" s="241"/>
      <c r="V53" s="241"/>
      <c r="W53" s="241"/>
      <c r="X53" s="312"/>
      <c r="Y53" s="312"/>
      <c r="Z53" s="312"/>
      <c r="AA53" s="243"/>
      <c r="AB53" s="243"/>
      <c r="AC53" s="243"/>
      <c r="AD53" s="243"/>
      <c r="AE53" s="243"/>
      <c r="AF53" s="243"/>
      <c r="AG53" s="243"/>
      <c r="AH53" s="243"/>
      <c r="AI53" s="243"/>
      <c r="AJ53" s="243"/>
      <c r="AK53" s="241"/>
      <c r="AL53" s="241"/>
      <c r="AM53" s="241"/>
      <c r="AN53" s="241"/>
      <c r="AO53" s="241"/>
      <c r="AP53" s="241"/>
      <c r="AQ53" s="241"/>
      <c r="AR53" s="241"/>
    </row>
    <row r="54">
      <c r="A54" s="255" t="s">
        <v>206</v>
      </c>
      <c r="B54" s="324" t="s">
        <v>286</v>
      </c>
      <c r="C54" s="250">
        <v>6.0</v>
      </c>
      <c r="D54" s="255">
        <v>0.5</v>
      </c>
      <c r="E54" s="265" t="s">
        <v>168</v>
      </c>
      <c r="F54" s="265" t="s">
        <v>168</v>
      </c>
      <c r="G54" s="264" t="s">
        <v>167</v>
      </c>
      <c r="H54" s="255">
        <v>2.0</v>
      </c>
      <c r="I54" s="315" t="s">
        <v>169</v>
      </c>
      <c r="J54" s="255" t="str">
        <f>ADDRESS(ROW($A$312),COLUMN($A$312))</f>
        <v>$A$312</v>
      </c>
      <c r="K54" s="250" t="str">
        <f>ADDRESS(ROW($O$312),COLUMN($O$312))</f>
        <v>$O$312</v>
      </c>
      <c r="L54" s="233"/>
      <c r="M54" s="233"/>
      <c r="N54" s="233"/>
      <c r="O54" s="233"/>
      <c r="P54" s="326"/>
      <c r="Q54" s="326"/>
      <c r="R54" s="327"/>
      <c r="S54" s="327"/>
      <c r="T54" s="327"/>
      <c r="U54" s="241"/>
      <c r="V54" s="241"/>
      <c r="W54" s="241"/>
      <c r="X54" s="312"/>
      <c r="Y54" s="312"/>
      <c r="Z54" s="312"/>
      <c r="AA54" s="243"/>
      <c r="AB54" s="243"/>
      <c r="AC54" s="243"/>
      <c r="AD54" s="243"/>
      <c r="AE54" s="243"/>
      <c r="AF54" s="243"/>
      <c r="AG54" s="243"/>
      <c r="AH54" s="243"/>
      <c r="AI54" s="243"/>
      <c r="AJ54" s="243"/>
      <c r="AK54" s="241"/>
      <c r="AL54" s="241"/>
      <c r="AM54" s="241"/>
      <c r="AN54" s="241"/>
      <c r="AO54" s="241"/>
      <c r="AP54" s="241"/>
      <c r="AQ54" s="241"/>
      <c r="AR54" s="241"/>
    </row>
    <row r="55">
      <c r="A55" s="255" t="s">
        <v>206</v>
      </c>
      <c r="B55" s="324" t="s">
        <v>291</v>
      </c>
      <c r="C55" s="255">
        <v>8.0</v>
      </c>
      <c r="D55" s="255">
        <v>0.75</v>
      </c>
      <c r="E55" s="265" t="s">
        <v>168</v>
      </c>
      <c r="F55" s="265" t="s">
        <v>168</v>
      </c>
      <c r="G55" s="264" t="s">
        <v>167</v>
      </c>
      <c r="H55" s="250">
        <v>4.0</v>
      </c>
      <c r="I55" s="252" t="s">
        <v>173</v>
      </c>
      <c r="J55" s="255" t="str">
        <f>address(ROW($A$358),COLUMN($A$358))</f>
        <v>$A$358</v>
      </c>
      <c r="K55" s="252" t="str">
        <f>ADDRESS(ROW($O$358),COLUMN($O$358))</f>
        <v>$O$358</v>
      </c>
      <c r="L55" s="233"/>
      <c r="M55" s="233"/>
      <c r="N55" s="233"/>
      <c r="O55" s="233"/>
      <c r="P55" s="326"/>
      <c r="Q55" s="326"/>
      <c r="R55" s="327"/>
      <c r="S55" s="327"/>
      <c r="T55" s="327"/>
      <c r="U55" s="241"/>
      <c r="V55" s="241"/>
      <c r="W55" s="241"/>
      <c r="X55" s="312"/>
      <c r="Y55" s="312"/>
      <c r="Z55" s="312"/>
      <c r="AA55" s="243"/>
      <c r="AB55" s="243"/>
      <c r="AC55" s="243"/>
      <c r="AD55" s="243"/>
      <c r="AE55" s="243"/>
      <c r="AF55" s="243"/>
      <c r="AG55" s="243"/>
      <c r="AH55" s="243"/>
      <c r="AI55" s="243"/>
      <c r="AJ55" s="243"/>
      <c r="AK55" s="241"/>
      <c r="AL55" s="241"/>
      <c r="AM55" s="241"/>
      <c r="AN55" s="241"/>
      <c r="AO55" s="241"/>
      <c r="AP55" s="241"/>
      <c r="AQ55" s="241"/>
      <c r="AR55" s="241"/>
    </row>
    <row r="56">
      <c r="A56" s="245"/>
      <c r="B56" s="339" t="s">
        <v>292</v>
      </c>
      <c r="C56" s="228"/>
      <c r="D56" s="228"/>
      <c r="E56" s="228"/>
      <c r="F56" s="228"/>
      <c r="G56" s="228"/>
      <c r="H56" s="228"/>
      <c r="I56" s="233"/>
      <c r="J56" s="233"/>
      <c r="K56" s="233"/>
      <c r="L56" s="233"/>
      <c r="M56" s="233"/>
      <c r="N56" s="233"/>
      <c r="O56" s="233"/>
      <c r="P56" s="326"/>
      <c r="Q56" s="326"/>
      <c r="R56" s="327"/>
      <c r="S56" s="327"/>
      <c r="T56" s="327"/>
      <c r="U56" s="241"/>
      <c r="V56" s="241"/>
      <c r="W56" s="241"/>
      <c r="X56" s="312"/>
      <c r="Y56" s="312"/>
      <c r="Z56" s="312"/>
      <c r="AA56" s="243"/>
      <c r="AB56" s="243"/>
      <c r="AC56" s="243"/>
      <c r="AD56" s="243"/>
      <c r="AE56" s="243"/>
      <c r="AF56" s="243"/>
      <c r="AG56" s="243"/>
      <c r="AH56" s="243"/>
      <c r="AI56" s="243"/>
      <c r="AJ56" s="243"/>
      <c r="AK56" s="241"/>
      <c r="AL56" s="241"/>
      <c r="AM56" s="241"/>
      <c r="AN56" s="241"/>
      <c r="AO56" s="241"/>
      <c r="AP56" s="241"/>
      <c r="AQ56" s="241"/>
      <c r="AR56" s="241"/>
    </row>
    <row r="57">
      <c r="A57" s="228"/>
      <c r="B57" s="228"/>
      <c r="C57" s="228"/>
      <c r="D57" s="228"/>
      <c r="E57" s="228"/>
      <c r="F57" s="228"/>
      <c r="G57" s="228"/>
      <c r="H57" s="228"/>
      <c r="I57" s="228"/>
      <c r="J57" s="228"/>
      <c r="K57" s="228"/>
      <c r="L57" s="233"/>
      <c r="M57" s="233"/>
      <c r="N57" s="233"/>
      <c r="O57" s="233"/>
      <c r="P57" s="326"/>
      <c r="Q57" s="326"/>
      <c r="R57" s="327"/>
      <c r="S57" s="327"/>
      <c r="T57" s="327"/>
      <c r="U57" s="241"/>
      <c r="V57" s="241"/>
      <c r="W57" s="241"/>
      <c r="X57" s="312"/>
      <c r="Y57" s="312"/>
      <c r="Z57" s="312"/>
      <c r="AA57" s="243"/>
      <c r="AB57" s="243"/>
      <c r="AC57" s="243"/>
      <c r="AD57" s="243"/>
      <c r="AE57" s="243"/>
      <c r="AF57" s="243"/>
      <c r="AG57" s="243"/>
      <c r="AH57" s="243"/>
      <c r="AI57" s="243"/>
      <c r="AJ57" s="243"/>
      <c r="AK57" s="241"/>
      <c r="AL57" s="241"/>
      <c r="AM57" s="241"/>
      <c r="AN57" s="241"/>
      <c r="AO57" s="241"/>
      <c r="AP57" s="241"/>
      <c r="AQ57" s="241"/>
      <c r="AR57" s="241"/>
    </row>
    <row r="58">
      <c r="A58" s="228"/>
      <c r="B58" s="356" t="s">
        <v>294</v>
      </c>
      <c r="C58" s="228"/>
      <c r="D58" s="228"/>
      <c r="E58" s="228"/>
      <c r="F58" s="228"/>
      <c r="G58" s="228"/>
      <c r="H58" s="228"/>
      <c r="I58" s="228"/>
      <c r="J58" s="228"/>
      <c r="K58" s="228"/>
      <c r="L58" s="233"/>
      <c r="M58" s="233"/>
      <c r="N58" s="233"/>
      <c r="O58" s="233"/>
      <c r="P58" s="326"/>
      <c r="Q58" s="326"/>
      <c r="R58" s="327"/>
      <c r="S58" s="327"/>
      <c r="T58" s="327"/>
      <c r="U58" s="241"/>
      <c r="V58" s="241"/>
      <c r="W58" s="241"/>
      <c r="X58" s="312"/>
      <c r="Y58" s="312"/>
      <c r="Z58" s="312"/>
      <c r="AA58" s="243"/>
      <c r="AB58" s="243"/>
      <c r="AC58" s="243"/>
      <c r="AD58" s="243"/>
      <c r="AE58" s="243"/>
      <c r="AF58" s="243"/>
      <c r="AG58" s="243"/>
      <c r="AH58" s="243"/>
      <c r="AI58" s="243"/>
      <c r="AJ58" s="243"/>
      <c r="AK58" s="241"/>
      <c r="AL58" s="241"/>
      <c r="AM58" s="241"/>
      <c r="AN58" s="241"/>
      <c r="AO58" s="241"/>
      <c r="AP58" s="241"/>
      <c r="AQ58" s="241"/>
      <c r="AR58" s="241"/>
    </row>
    <row r="59">
      <c r="A59" s="245"/>
      <c r="B59" s="246" t="s">
        <v>295</v>
      </c>
      <c r="C59" s="252" t="s">
        <v>11</v>
      </c>
      <c r="D59" s="252" t="s">
        <v>296</v>
      </c>
      <c r="E59" s="252" t="s">
        <v>14</v>
      </c>
      <c r="F59" s="252" t="s">
        <v>159</v>
      </c>
      <c r="G59" s="252" t="s">
        <v>16</v>
      </c>
      <c r="H59" s="252" t="s">
        <v>12</v>
      </c>
      <c r="I59" s="228"/>
      <c r="J59" s="228"/>
      <c r="K59" s="228"/>
      <c r="L59" s="233"/>
      <c r="M59" s="233"/>
      <c r="N59" s="233"/>
      <c r="O59" s="233"/>
      <c r="P59" s="326"/>
      <c r="Q59" s="326"/>
      <c r="R59" s="327"/>
      <c r="S59" s="327"/>
      <c r="T59" s="327"/>
      <c r="U59" s="241"/>
      <c r="V59" s="241"/>
      <c r="W59" s="241"/>
      <c r="X59" s="312"/>
      <c r="Y59" s="312"/>
      <c r="Z59" s="312"/>
      <c r="AA59" s="243"/>
      <c r="AB59" s="243"/>
      <c r="AC59" s="243"/>
      <c r="AD59" s="243"/>
      <c r="AE59" s="243"/>
      <c r="AF59" s="243"/>
      <c r="AG59" s="243"/>
      <c r="AH59" s="243"/>
      <c r="AI59" s="243"/>
      <c r="AJ59" s="243"/>
      <c r="AK59" s="241"/>
      <c r="AL59" s="241"/>
      <c r="AM59" s="241"/>
      <c r="AN59" s="241"/>
      <c r="AO59" s="241"/>
      <c r="AP59" s="241"/>
      <c r="AQ59" s="241"/>
      <c r="AR59" s="241"/>
    </row>
    <row r="60">
      <c r="A60" s="255" t="s">
        <v>62</v>
      </c>
      <c r="B60" s="324" t="s">
        <v>297</v>
      </c>
      <c r="C60" s="255">
        <v>8.0</v>
      </c>
      <c r="D60" s="255">
        <v>0.75</v>
      </c>
      <c r="E60" s="359" t="s">
        <v>168</v>
      </c>
      <c r="F60" s="359" t="s">
        <v>168</v>
      </c>
      <c r="G60" s="362" t="s">
        <v>167</v>
      </c>
      <c r="H60" s="252">
        <v>4.0</v>
      </c>
      <c r="I60" s="228"/>
      <c r="J60" s="228"/>
      <c r="K60" s="228"/>
      <c r="L60" s="233"/>
      <c r="M60" s="233"/>
      <c r="N60" s="233"/>
      <c r="O60" s="233"/>
      <c r="P60" s="326"/>
      <c r="Q60" s="326"/>
      <c r="R60" s="327"/>
      <c r="S60" s="327"/>
      <c r="T60" s="327"/>
      <c r="U60" s="241"/>
      <c r="V60" s="241"/>
      <c r="W60" s="241"/>
      <c r="X60" s="312"/>
      <c r="Y60" s="312"/>
      <c r="Z60" s="312"/>
      <c r="AA60" s="243"/>
      <c r="AB60" s="243"/>
      <c r="AC60" s="243"/>
      <c r="AD60" s="243"/>
      <c r="AE60" s="243"/>
      <c r="AF60" s="243"/>
      <c r="AG60" s="243"/>
      <c r="AH60" s="243"/>
      <c r="AI60" s="243"/>
      <c r="AJ60" s="243"/>
      <c r="AK60" s="241"/>
      <c r="AL60" s="241"/>
      <c r="AM60" s="241"/>
      <c r="AN60" s="241"/>
      <c r="AO60" s="241"/>
      <c r="AP60" s="241"/>
      <c r="AQ60" s="241"/>
      <c r="AR60" s="241"/>
    </row>
    <row r="61">
      <c r="A61" s="255" t="s">
        <v>62</v>
      </c>
      <c r="B61" s="321" t="s">
        <v>303</v>
      </c>
      <c r="C61" s="252">
        <v>8.0</v>
      </c>
      <c r="D61" s="364">
        <v>0.75</v>
      </c>
      <c r="E61" s="362" t="s">
        <v>167</v>
      </c>
      <c r="F61" s="362" t="s">
        <v>167</v>
      </c>
      <c r="G61" s="359" t="s">
        <v>168</v>
      </c>
      <c r="H61" s="252">
        <v>2.0</v>
      </c>
      <c r="I61" s="228"/>
      <c r="J61" s="228"/>
      <c r="K61" s="228"/>
      <c r="L61" s="233"/>
      <c r="M61" s="233"/>
      <c r="N61" s="233"/>
      <c r="O61" s="233"/>
      <c r="P61" s="326"/>
      <c r="Q61" s="326"/>
      <c r="R61" s="327"/>
      <c r="S61" s="327"/>
      <c r="T61" s="327"/>
      <c r="U61" s="241"/>
      <c r="V61" s="241"/>
      <c r="W61" s="241"/>
      <c r="X61" s="312"/>
      <c r="Y61" s="312"/>
      <c r="Z61" s="312"/>
      <c r="AA61" s="243"/>
      <c r="AB61" s="243"/>
      <c r="AC61" s="243"/>
      <c r="AD61" s="243"/>
      <c r="AE61" s="243"/>
      <c r="AF61" s="243"/>
      <c r="AG61" s="243"/>
      <c r="AH61" s="243"/>
      <c r="AI61" s="243"/>
      <c r="AJ61" s="243"/>
      <c r="AK61" s="241"/>
      <c r="AL61" s="241"/>
      <c r="AM61" s="241"/>
      <c r="AN61" s="241"/>
      <c r="AO61" s="241"/>
      <c r="AP61" s="241"/>
      <c r="AQ61" s="241"/>
      <c r="AR61" s="241"/>
    </row>
    <row r="62">
      <c r="A62" s="255" t="s">
        <v>62</v>
      </c>
      <c r="B62" s="324" t="s">
        <v>304</v>
      </c>
      <c r="C62" s="255">
        <v>10.0</v>
      </c>
      <c r="D62" s="255">
        <v>1.0</v>
      </c>
      <c r="E62" s="359" t="s">
        <v>168</v>
      </c>
      <c r="F62" s="359" t="s">
        <v>168</v>
      </c>
      <c r="G62" s="359" t="s">
        <v>168</v>
      </c>
      <c r="H62" s="252">
        <v>2.0</v>
      </c>
      <c r="I62" s="233"/>
      <c r="J62" s="233"/>
      <c r="K62" s="233"/>
      <c r="L62" s="233"/>
      <c r="M62" s="233"/>
      <c r="N62" s="233"/>
      <c r="O62" s="233"/>
      <c r="P62" s="326"/>
      <c r="Q62" s="326"/>
      <c r="R62" s="327"/>
      <c r="S62" s="327"/>
      <c r="T62" s="327"/>
      <c r="U62" s="241"/>
      <c r="V62" s="241"/>
      <c r="W62" s="241"/>
      <c r="X62" s="312"/>
      <c r="Y62" s="312"/>
      <c r="Z62" s="312"/>
      <c r="AA62" s="243"/>
      <c r="AB62" s="243"/>
      <c r="AC62" s="243"/>
      <c r="AD62" s="243"/>
      <c r="AE62" s="243"/>
      <c r="AF62" s="243"/>
      <c r="AG62" s="243"/>
      <c r="AH62" s="243"/>
      <c r="AI62" s="243"/>
      <c r="AJ62" s="243"/>
      <c r="AK62" s="241"/>
      <c r="AL62" s="241"/>
      <c r="AM62" s="241"/>
      <c r="AN62" s="241"/>
      <c r="AO62" s="241"/>
      <c r="AP62" s="241"/>
      <c r="AQ62" s="241"/>
      <c r="AR62" s="241"/>
    </row>
    <row r="63">
      <c r="A63" s="255" t="s">
        <v>62</v>
      </c>
      <c r="B63" s="324" t="s">
        <v>305</v>
      </c>
      <c r="C63" s="255">
        <v>12.0</v>
      </c>
      <c r="D63" s="252">
        <v>1.0</v>
      </c>
      <c r="E63" s="362" t="s">
        <v>167</v>
      </c>
      <c r="F63" s="362" t="s">
        <v>167</v>
      </c>
      <c r="G63" s="362" t="s">
        <v>167</v>
      </c>
      <c r="H63" s="252">
        <v>6.0</v>
      </c>
      <c r="I63" s="233"/>
      <c r="J63" s="233"/>
      <c r="K63" s="233"/>
      <c r="L63" s="233"/>
      <c r="M63" s="233"/>
      <c r="N63" s="233"/>
      <c r="O63" s="233"/>
      <c r="P63" s="326"/>
      <c r="Q63" s="326"/>
      <c r="R63" s="327"/>
      <c r="S63" s="327"/>
      <c r="T63" s="327"/>
      <c r="U63" s="241"/>
      <c r="V63" s="241"/>
      <c r="W63" s="241"/>
      <c r="X63" s="312"/>
      <c r="Y63" s="312"/>
      <c r="Z63" s="312"/>
      <c r="AA63" s="243"/>
      <c r="AB63" s="243"/>
      <c r="AC63" s="243"/>
      <c r="AD63" s="243"/>
      <c r="AE63" s="243"/>
      <c r="AF63" s="243"/>
      <c r="AG63" s="243"/>
      <c r="AH63" s="243"/>
      <c r="AI63" s="243"/>
      <c r="AJ63" s="243"/>
      <c r="AK63" s="241"/>
      <c r="AL63" s="241"/>
      <c r="AM63" s="241"/>
      <c r="AN63" s="241"/>
      <c r="AO63" s="241"/>
      <c r="AP63" s="241"/>
      <c r="AQ63" s="241"/>
      <c r="AR63" s="241"/>
    </row>
    <row r="64">
      <c r="A64" s="255" t="s">
        <v>62</v>
      </c>
      <c r="B64" s="324" t="s">
        <v>306</v>
      </c>
      <c r="C64" s="255">
        <v>6.0</v>
      </c>
      <c r="D64" s="255">
        <v>0.5</v>
      </c>
      <c r="E64" s="359" t="s">
        <v>168</v>
      </c>
      <c r="F64" s="362" t="s">
        <v>167</v>
      </c>
      <c r="G64" s="362" t="s">
        <v>167</v>
      </c>
      <c r="H64" s="252">
        <v>6.0</v>
      </c>
      <c r="I64" s="228"/>
      <c r="J64" s="228"/>
      <c r="K64" s="228"/>
      <c r="L64" s="233"/>
      <c r="M64" s="233"/>
      <c r="N64" s="233"/>
      <c r="O64" s="233"/>
      <c r="P64" s="326"/>
      <c r="Q64" s="326"/>
      <c r="R64" s="327"/>
      <c r="S64" s="327"/>
      <c r="T64" s="327"/>
      <c r="U64" s="241"/>
      <c r="V64" s="241"/>
      <c r="W64" s="241"/>
      <c r="X64" s="312"/>
      <c r="Y64" s="312"/>
      <c r="Z64" s="312"/>
      <c r="AA64" s="243"/>
      <c r="AB64" s="243"/>
      <c r="AC64" s="243"/>
      <c r="AD64" s="243"/>
      <c r="AE64" s="243"/>
      <c r="AF64" s="243"/>
      <c r="AG64" s="243"/>
      <c r="AH64" s="243"/>
      <c r="AI64" s="243"/>
      <c r="AJ64" s="243"/>
      <c r="AK64" s="241"/>
      <c r="AL64" s="241"/>
      <c r="AM64" s="241"/>
      <c r="AN64" s="241"/>
      <c r="AO64" s="241"/>
      <c r="AP64" s="241"/>
      <c r="AQ64" s="241"/>
      <c r="AR64" s="241"/>
    </row>
    <row r="65">
      <c r="A65" s="255" t="s">
        <v>62</v>
      </c>
      <c r="B65" s="324" t="s">
        <v>307</v>
      </c>
      <c r="C65" s="250">
        <v>8.0</v>
      </c>
      <c r="D65" s="250">
        <v>0.75</v>
      </c>
      <c r="E65" s="367" t="s">
        <v>168</v>
      </c>
      <c r="F65" s="368" t="s">
        <v>167</v>
      </c>
      <c r="G65" s="367" t="s">
        <v>168</v>
      </c>
      <c r="H65" s="258">
        <v>2.0</v>
      </c>
      <c r="I65" s="233"/>
      <c r="J65" s="233"/>
      <c r="K65" s="233"/>
      <c r="L65" s="233"/>
      <c r="M65" s="233"/>
      <c r="N65" s="233"/>
      <c r="O65" s="233"/>
      <c r="P65" s="326"/>
      <c r="Q65" s="326"/>
      <c r="R65" s="327"/>
      <c r="S65" s="327"/>
      <c r="T65" s="327"/>
      <c r="U65" s="241"/>
      <c r="V65" s="241"/>
      <c r="W65" s="241"/>
      <c r="X65" s="312"/>
      <c r="Y65" s="312"/>
      <c r="Z65" s="312"/>
      <c r="AA65" s="243"/>
      <c r="AB65" s="243"/>
      <c r="AC65" s="243"/>
      <c r="AD65" s="243"/>
      <c r="AE65" s="243"/>
      <c r="AF65" s="243"/>
      <c r="AG65" s="243"/>
      <c r="AH65" s="243"/>
      <c r="AI65" s="243"/>
      <c r="AJ65" s="243"/>
      <c r="AK65" s="241"/>
      <c r="AL65" s="241"/>
      <c r="AM65" s="241"/>
      <c r="AN65" s="241"/>
      <c r="AO65" s="241"/>
      <c r="AP65" s="241"/>
      <c r="AQ65" s="241"/>
      <c r="AR65" s="241"/>
    </row>
    <row r="66">
      <c r="A66" s="255" t="s">
        <v>62</v>
      </c>
      <c r="B66" s="324" t="s">
        <v>310</v>
      </c>
      <c r="C66" s="250">
        <v>10.0</v>
      </c>
      <c r="D66" s="250">
        <v>1.0</v>
      </c>
      <c r="E66" s="368" t="s">
        <v>167</v>
      </c>
      <c r="F66" s="368" t="s">
        <v>167</v>
      </c>
      <c r="G66" s="367" t="s">
        <v>168</v>
      </c>
      <c r="H66" s="258">
        <v>2.0</v>
      </c>
      <c r="I66" s="233"/>
      <c r="J66" s="233"/>
      <c r="K66" s="233"/>
      <c r="L66" s="233"/>
      <c r="M66" s="233"/>
      <c r="N66" s="233"/>
      <c r="O66" s="233"/>
      <c r="P66" s="326"/>
      <c r="Q66" s="326"/>
      <c r="R66" s="327"/>
      <c r="S66" s="327"/>
      <c r="T66" s="327"/>
      <c r="U66" s="241"/>
      <c r="V66" s="241"/>
      <c r="W66" s="241"/>
      <c r="X66" s="312"/>
      <c r="Y66" s="312"/>
      <c r="Z66" s="312"/>
      <c r="AA66" s="243"/>
      <c r="AB66" s="243"/>
      <c r="AC66" s="243"/>
      <c r="AD66" s="243"/>
      <c r="AE66" s="243"/>
      <c r="AF66" s="243"/>
      <c r="AG66" s="243"/>
      <c r="AH66" s="243"/>
      <c r="AI66" s="243"/>
      <c r="AJ66" s="243"/>
      <c r="AK66" s="241"/>
      <c r="AL66" s="241"/>
      <c r="AM66" s="241"/>
      <c r="AN66" s="241"/>
      <c r="AO66" s="241"/>
      <c r="AP66" s="241"/>
      <c r="AQ66" s="241"/>
      <c r="AR66" s="241"/>
    </row>
    <row r="67">
      <c r="A67" s="255" t="s">
        <v>62</v>
      </c>
      <c r="B67" s="324" t="s">
        <v>311</v>
      </c>
      <c r="C67" s="250">
        <v>10.0</v>
      </c>
      <c r="D67" s="250">
        <v>1.0</v>
      </c>
      <c r="E67" s="367" t="s">
        <v>168</v>
      </c>
      <c r="F67" s="368" t="s">
        <v>167</v>
      </c>
      <c r="G67" s="368" t="s">
        <v>167</v>
      </c>
      <c r="H67" s="258">
        <v>4.0</v>
      </c>
      <c r="I67" s="233"/>
      <c r="J67" s="233"/>
      <c r="K67" s="233"/>
      <c r="L67" s="233"/>
      <c r="M67" s="233"/>
      <c r="N67" s="233"/>
      <c r="O67" s="233"/>
      <c r="P67" s="326"/>
      <c r="Q67" s="326"/>
      <c r="R67" s="327"/>
      <c r="S67" s="327"/>
      <c r="T67" s="327"/>
      <c r="U67" s="241"/>
      <c r="V67" s="241"/>
      <c r="W67" s="241"/>
      <c r="X67" s="312"/>
      <c r="Y67" s="312"/>
      <c r="Z67" s="312"/>
      <c r="AA67" s="243"/>
      <c r="AB67" s="243"/>
      <c r="AC67" s="243"/>
      <c r="AD67" s="243"/>
      <c r="AE67" s="243"/>
      <c r="AF67" s="243"/>
      <c r="AG67" s="243"/>
      <c r="AH67" s="243"/>
      <c r="AI67" s="243"/>
      <c r="AJ67" s="243"/>
      <c r="AK67" s="241"/>
      <c r="AL67" s="241"/>
      <c r="AM67" s="241"/>
      <c r="AN67" s="241"/>
      <c r="AO67" s="241"/>
      <c r="AP67" s="241"/>
      <c r="AQ67" s="241"/>
      <c r="AR67" s="241"/>
    </row>
    <row r="68">
      <c r="A68" s="255" t="s">
        <v>62</v>
      </c>
      <c r="B68" s="324" t="s">
        <v>312</v>
      </c>
      <c r="C68" s="250">
        <v>8.0</v>
      </c>
      <c r="D68" s="250">
        <v>0.75</v>
      </c>
      <c r="E68" s="367" t="s">
        <v>168</v>
      </c>
      <c r="F68" s="367" t="s">
        <v>168</v>
      </c>
      <c r="G68" s="367" t="s">
        <v>168</v>
      </c>
      <c r="H68" s="258">
        <v>0.0</v>
      </c>
      <c r="I68" s="233"/>
      <c r="J68" s="233"/>
      <c r="K68" s="233"/>
      <c r="L68" s="233"/>
      <c r="M68" s="233"/>
      <c r="N68" s="233"/>
      <c r="O68" s="233"/>
      <c r="P68" s="326"/>
      <c r="Q68" s="326"/>
      <c r="R68" s="327"/>
      <c r="S68" s="327"/>
      <c r="T68" s="327"/>
      <c r="U68" s="241"/>
      <c r="V68" s="241"/>
      <c r="W68" s="241"/>
      <c r="X68" s="312"/>
      <c r="Y68" s="312"/>
      <c r="Z68" s="312"/>
      <c r="AA68" s="243"/>
      <c r="AB68" s="243"/>
      <c r="AC68" s="243"/>
      <c r="AD68" s="243"/>
      <c r="AE68" s="243"/>
      <c r="AF68" s="243"/>
      <c r="AG68" s="243"/>
      <c r="AH68" s="243"/>
      <c r="AI68" s="243"/>
      <c r="AJ68" s="243"/>
      <c r="AK68" s="241"/>
      <c r="AL68" s="241"/>
      <c r="AM68" s="241"/>
      <c r="AN68" s="241"/>
      <c r="AO68" s="241"/>
      <c r="AP68" s="241"/>
      <c r="AQ68" s="241"/>
      <c r="AR68" s="241"/>
    </row>
    <row r="69">
      <c r="A69" s="255" t="s">
        <v>62</v>
      </c>
      <c r="B69" s="375" t="s">
        <v>313</v>
      </c>
      <c r="C69" s="252">
        <v>10.0</v>
      </c>
      <c r="D69" s="252">
        <v>1.0</v>
      </c>
      <c r="E69" s="359" t="s">
        <v>168</v>
      </c>
      <c r="F69" s="362" t="s">
        <v>167</v>
      </c>
      <c r="G69" s="362" t="s">
        <v>167</v>
      </c>
      <c r="H69" s="252">
        <v>6.0</v>
      </c>
      <c r="I69" s="233"/>
      <c r="J69" s="233"/>
      <c r="K69" s="233"/>
      <c r="L69" s="233"/>
      <c r="M69" s="233"/>
      <c r="N69" s="233"/>
      <c r="O69" s="233"/>
      <c r="P69" s="326"/>
      <c r="Q69" s="326"/>
      <c r="R69" s="327"/>
      <c r="S69" s="327"/>
      <c r="T69" s="327"/>
      <c r="U69" s="241"/>
      <c r="V69" s="241"/>
      <c r="W69" s="241"/>
      <c r="X69" s="312"/>
      <c r="Y69" s="312"/>
      <c r="Z69" s="312"/>
      <c r="AA69" s="243"/>
      <c r="AB69" s="243"/>
      <c r="AC69" s="243"/>
      <c r="AD69" s="243"/>
      <c r="AE69" s="243"/>
      <c r="AF69" s="243"/>
      <c r="AG69" s="243"/>
      <c r="AH69" s="243"/>
      <c r="AI69" s="243"/>
      <c r="AJ69" s="243"/>
      <c r="AK69" s="241"/>
      <c r="AL69" s="241"/>
      <c r="AM69" s="241"/>
      <c r="AN69" s="241"/>
      <c r="AO69" s="241"/>
      <c r="AP69" s="241"/>
      <c r="AQ69" s="241"/>
      <c r="AR69" s="241"/>
    </row>
    <row r="70">
      <c r="A70" s="255" t="s">
        <v>62</v>
      </c>
      <c r="B70" s="375" t="s">
        <v>316</v>
      </c>
      <c r="C70" s="252">
        <v>10.0</v>
      </c>
      <c r="D70" s="252">
        <v>1.0</v>
      </c>
      <c r="E70" s="362" t="s">
        <v>167</v>
      </c>
      <c r="F70" s="359" t="s">
        <v>168</v>
      </c>
      <c r="G70" s="362" t="s">
        <v>167</v>
      </c>
      <c r="H70" s="252">
        <v>6.0</v>
      </c>
      <c r="I70" s="228"/>
      <c r="J70" s="228"/>
      <c r="K70" s="228"/>
      <c r="L70" s="233"/>
      <c r="M70" s="233"/>
      <c r="N70" s="233"/>
      <c r="O70" s="233"/>
      <c r="P70" s="326"/>
      <c r="Q70" s="326"/>
      <c r="R70" s="327"/>
      <c r="S70" s="327"/>
      <c r="T70" s="327"/>
      <c r="U70" s="241"/>
      <c r="V70" s="241"/>
      <c r="W70" s="241"/>
      <c r="X70" s="312"/>
      <c r="Y70" s="312"/>
      <c r="Z70" s="312"/>
      <c r="AA70" s="243"/>
      <c r="AB70" s="243"/>
      <c r="AC70" s="243"/>
      <c r="AD70" s="243"/>
      <c r="AE70" s="243"/>
      <c r="AF70" s="243"/>
      <c r="AG70" s="243"/>
      <c r="AH70" s="243"/>
      <c r="AI70" s="243"/>
      <c r="AJ70" s="243"/>
      <c r="AK70" s="241"/>
      <c r="AL70" s="241"/>
      <c r="AM70" s="241"/>
      <c r="AN70" s="241"/>
      <c r="AO70" s="241"/>
      <c r="AP70" s="241"/>
      <c r="AQ70" s="241"/>
      <c r="AR70" s="241"/>
    </row>
    <row r="71">
      <c r="A71" s="255" t="s">
        <v>62</v>
      </c>
      <c r="B71" s="375" t="s">
        <v>317</v>
      </c>
      <c r="C71" s="252">
        <v>10.0</v>
      </c>
      <c r="D71" s="252">
        <v>1.0</v>
      </c>
      <c r="E71" s="362" t="s">
        <v>167</v>
      </c>
      <c r="F71" s="362" t="s">
        <v>167</v>
      </c>
      <c r="G71" s="359" t="s">
        <v>168</v>
      </c>
      <c r="H71" s="252">
        <v>6.0</v>
      </c>
      <c r="I71" s="228"/>
      <c r="J71" s="228"/>
      <c r="K71" s="228"/>
      <c r="L71" s="233"/>
      <c r="M71" s="233"/>
      <c r="N71" s="233"/>
      <c r="O71" s="233"/>
      <c r="P71" s="326"/>
      <c r="Q71" s="326"/>
      <c r="R71" s="327"/>
      <c r="S71" s="327"/>
      <c r="T71" s="327"/>
      <c r="U71" s="241"/>
      <c r="V71" s="241"/>
      <c r="W71" s="241"/>
      <c r="X71" s="312"/>
      <c r="Y71" s="312"/>
      <c r="Z71" s="312"/>
      <c r="AA71" s="243"/>
      <c r="AB71" s="243"/>
      <c r="AC71" s="243"/>
      <c r="AD71" s="243"/>
      <c r="AE71" s="243"/>
      <c r="AF71" s="243"/>
      <c r="AG71" s="243"/>
      <c r="AH71" s="243"/>
      <c r="AI71" s="243"/>
      <c r="AJ71" s="243"/>
      <c r="AK71" s="241"/>
      <c r="AL71" s="241"/>
      <c r="AM71" s="241"/>
      <c r="AN71" s="241"/>
      <c r="AO71" s="241"/>
      <c r="AP71" s="241"/>
      <c r="AQ71" s="241"/>
      <c r="AR71" s="241"/>
    </row>
    <row r="72">
      <c r="A72" s="255" t="s">
        <v>62</v>
      </c>
      <c r="B72" s="324" t="s">
        <v>319</v>
      </c>
      <c r="C72" s="255">
        <v>8.0</v>
      </c>
      <c r="D72" s="255">
        <v>0.75</v>
      </c>
      <c r="E72" s="362" t="s">
        <v>167</v>
      </c>
      <c r="F72" s="359" t="s">
        <v>168</v>
      </c>
      <c r="G72" s="359" t="s">
        <v>168</v>
      </c>
      <c r="H72" s="252">
        <v>2.0</v>
      </c>
      <c r="I72" s="228"/>
      <c r="J72" s="228"/>
      <c r="K72" s="228"/>
      <c r="L72" s="233"/>
      <c r="M72" s="233"/>
      <c r="N72" s="233"/>
      <c r="O72" s="233"/>
      <c r="P72" s="326"/>
      <c r="Q72" s="326"/>
      <c r="R72" s="327"/>
      <c r="S72" s="327"/>
      <c r="T72" s="327"/>
      <c r="U72" s="241"/>
      <c r="V72" s="241"/>
      <c r="W72" s="241"/>
      <c r="X72" s="312"/>
      <c r="Y72" s="312"/>
      <c r="Z72" s="312"/>
      <c r="AA72" s="243"/>
      <c r="AB72" s="243"/>
      <c r="AC72" s="243"/>
      <c r="AD72" s="243"/>
      <c r="AE72" s="243"/>
      <c r="AF72" s="243"/>
      <c r="AG72" s="243"/>
      <c r="AH72" s="243"/>
      <c r="AI72" s="243"/>
      <c r="AJ72" s="243"/>
      <c r="AK72" s="241"/>
      <c r="AL72" s="241"/>
      <c r="AM72" s="241"/>
      <c r="AN72" s="241"/>
      <c r="AO72" s="241"/>
      <c r="AP72" s="241"/>
      <c r="AQ72" s="241"/>
      <c r="AR72" s="241"/>
    </row>
    <row r="73">
      <c r="A73" s="255" t="s">
        <v>62</v>
      </c>
      <c r="B73" s="321" t="s">
        <v>320</v>
      </c>
      <c r="C73" s="252">
        <v>8.0</v>
      </c>
      <c r="D73" s="252">
        <v>0.75</v>
      </c>
      <c r="E73" s="359" t="s">
        <v>168</v>
      </c>
      <c r="F73" s="359" t="s">
        <v>168</v>
      </c>
      <c r="G73" s="362" t="s">
        <v>167</v>
      </c>
      <c r="H73" s="252">
        <v>4.0</v>
      </c>
      <c r="I73" s="228"/>
      <c r="J73" s="228"/>
      <c r="K73" s="228"/>
      <c r="L73" s="233"/>
      <c r="M73" s="233"/>
      <c r="N73" s="233"/>
      <c r="O73" s="233"/>
      <c r="P73" s="326"/>
      <c r="Q73" s="326"/>
      <c r="R73" s="327"/>
      <c r="S73" s="327"/>
      <c r="T73" s="327"/>
      <c r="U73" s="241"/>
      <c r="V73" s="241"/>
      <c r="W73" s="241"/>
      <c r="X73" s="312"/>
      <c r="Y73" s="312"/>
      <c r="Z73" s="312"/>
      <c r="AA73" s="243"/>
      <c r="AB73" s="243"/>
      <c r="AC73" s="243"/>
      <c r="AD73" s="243"/>
      <c r="AE73" s="243"/>
      <c r="AF73" s="243"/>
      <c r="AG73" s="243"/>
      <c r="AH73" s="243"/>
      <c r="AI73" s="243"/>
      <c r="AJ73" s="243"/>
      <c r="AK73" s="241"/>
      <c r="AL73" s="241"/>
      <c r="AM73" s="241"/>
      <c r="AN73" s="241"/>
      <c r="AO73" s="241"/>
      <c r="AP73" s="241"/>
      <c r="AQ73" s="241"/>
      <c r="AR73" s="241"/>
    </row>
    <row r="74">
      <c r="A74" s="255" t="s">
        <v>62</v>
      </c>
      <c r="B74" s="324" t="s">
        <v>321</v>
      </c>
      <c r="C74" s="255">
        <v>8.0</v>
      </c>
      <c r="D74" s="255">
        <v>0.75</v>
      </c>
      <c r="E74" s="362" t="s">
        <v>167</v>
      </c>
      <c r="F74" s="359" t="s">
        <v>168</v>
      </c>
      <c r="G74" s="359" t="s">
        <v>168</v>
      </c>
      <c r="H74" s="252">
        <v>0.0</v>
      </c>
      <c r="I74" s="228"/>
      <c r="J74" s="228"/>
      <c r="K74" s="228"/>
      <c r="L74" s="233"/>
      <c r="M74" s="233"/>
      <c r="N74" s="233"/>
      <c r="O74" s="233"/>
      <c r="P74" s="326"/>
      <c r="Q74" s="326"/>
      <c r="R74" s="327"/>
      <c r="S74" s="327"/>
      <c r="T74" s="327"/>
      <c r="U74" s="241"/>
      <c r="V74" s="241"/>
      <c r="W74" s="241"/>
      <c r="X74" s="312"/>
      <c r="Y74" s="312"/>
      <c r="Z74" s="312"/>
      <c r="AA74" s="243"/>
      <c r="AB74" s="243"/>
      <c r="AC74" s="243"/>
      <c r="AD74" s="243"/>
      <c r="AE74" s="243"/>
      <c r="AF74" s="243"/>
      <c r="AG74" s="243"/>
      <c r="AH74" s="243"/>
      <c r="AI74" s="243"/>
      <c r="AJ74" s="243"/>
      <c r="AK74" s="241"/>
      <c r="AL74" s="241"/>
      <c r="AM74" s="241"/>
      <c r="AN74" s="241"/>
      <c r="AO74" s="241"/>
      <c r="AP74" s="241"/>
      <c r="AQ74" s="241"/>
      <c r="AR74" s="241"/>
    </row>
    <row r="75">
      <c r="A75" s="245"/>
      <c r="B75" s="246" t="s">
        <v>322</v>
      </c>
      <c r="C75" s="233"/>
      <c r="D75" s="233"/>
      <c r="E75" s="233"/>
      <c r="F75" s="233"/>
      <c r="G75" s="233"/>
      <c r="H75" s="233"/>
      <c r="I75" s="233"/>
      <c r="J75" s="233"/>
      <c r="K75" s="233"/>
      <c r="L75" s="233"/>
      <c r="M75" s="233"/>
      <c r="N75" s="233"/>
      <c r="O75" s="233"/>
      <c r="P75" s="326"/>
      <c r="Q75" s="326"/>
      <c r="R75" s="327"/>
      <c r="S75" s="327"/>
      <c r="T75" s="327"/>
      <c r="U75" s="241"/>
      <c r="V75" s="241"/>
      <c r="W75" s="241"/>
      <c r="X75" s="312"/>
      <c r="Y75" s="312"/>
      <c r="Z75" s="312"/>
      <c r="AA75" s="243"/>
      <c r="AB75" s="243"/>
      <c r="AC75" s="243"/>
      <c r="AD75" s="243"/>
      <c r="AE75" s="243"/>
      <c r="AF75" s="243"/>
      <c r="AG75" s="243"/>
      <c r="AH75" s="243"/>
      <c r="AI75" s="243"/>
      <c r="AJ75" s="243"/>
      <c r="AK75" s="241"/>
      <c r="AL75" s="241"/>
      <c r="AM75" s="241"/>
      <c r="AN75" s="241"/>
      <c r="AO75" s="241"/>
      <c r="AP75" s="241"/>
      <c r="AQ75" s="241"/>
      <c r="AR75" s="241"/>
    </row>
    <row r="76">
      <c r="A76" s="228"/>
      <c r="B76" s="228"/>
      <c r="C76" s="233"/>
      <c r="D76" s="233"/>
      <c r="E76" s="233"/>
      <c r="F76" s="233"/>
      <c r="G76" s="233"/>
      <c r="H76" s="233"/>
      <c r="I76" s="233"/>
      <c r="J76" s="233"/>
      <c r="K76" s="233"/>
      <c r="L76" s="233"/>
      <c r="M76" s="233"/>
      <c r="N76" s="233"/>
      <c r="O76" s="233"/>
      <c r="P76" s="326"/>
      <c r="Q76" s="326"/>
      <c r="R76" s="327"/>
      <c r="S76" s="327"/>
      <c r="T76" s="327"/>
      <c r="U76" s="241"/>
      <c r="V76" s="241"/>
      <c r="W76" s="241"/>
      <c r="X76" s="312"/>
      <c r="Y76" s="312"/>
      <c r="Z76" s="312"/>
      <c r="AA76" s="243"/>
      <c r="AB76" s="243"/>
      <c r="AC76" s="243"/>
      <c r="AD76" s="243"/>
      <c r="AE76" s="243"/>
      <c r="AF76" s="243"/>
      <c r="AG76" s="243"/>
      <c r="AH76" s="243"/>
      <c r="AI76" s="243"/>
      <c r="AJ76" s="243"/>
      <c r="AK76" s="241"/>
      <c r="AL76" s="241"/>
      <c r="AM76" s="241"/>
      <c r="AN76" s="241"/>
      <c r="AO76" s="241"/>
      <c r="AP76" s="241"/>
      <c r="AQ76" s="241"/>
      <c r="AR76" s="241"/>
    </row>
    <row r="77">
      <c r="A77" s="228"/>
      <c r="B77" s="340" t="s">
        <v>323</v>
      </c>
      <c r="C77" s="233"/>
      <c r="D77" s="233"/>
      <c r="E77" s="233"/>
      <c r="F77" s="233"/>
      <c r="G77" s="233"/>
      <c r="H77" s="233"/>
      <c r="I77" s="233"/>
      <c r="J77" s="233"/>
      <c r="K77" s="233"/>
      <c r="L77" s="233"/>
      <c r="M77" s="233"/>
      <c r="N77" s="233"/>
      <c r="O77" s="233"/>
      <c r="P77" s="326"/>
      <c r="Q77" s="326"/>
      <c r="R77" s="327"/>
      <c r="S77" s="327"/>
      <c r="T77" s="327"/>
      <c r="U77" s="241"/>
      <c r="V77" s="241"/>
      <c r="W77" s="241"/>
      <c r="X77" s="312"/>
      <c r="Y77" s="312"/>
      <c r="Z77" s="312"/>
      <c r="AA77" s="243"/>
      <c r="AB77" s="243"/>
      <c r="AC77" s="243"/>
      <c r="AD77" s="243"/>
      <c r="AE77" s="243"/>
      <c r="AF77" s="243"/>
      <c r="AG77" s="243"/>
      <c r="AH77" s="243"/>
      <c r="AI77" s="243"/>
      <c r="AJ77" s="243"/>
      <c r="AK77" s="241"/>
      <c r="AL77" s="241"/>
      <c r="AM77" s="241"/>
      <c r="AN77" s="241"/>
      <c r="AO77" s="241"/>
      <c r="AP77" s="241"/>
      <c r="AQ77" s="241"/>
      <c r="AR77" s="241"/>
    </row>
    <row r="78">
      <c r="A78" s="245"/>
      <c r="B78" s="246" t="s">
        <v>324</v>
      </c>
      <c r="C78" s="250" t="s">
        <v>11</v>
      </c>
      <c r="D78" s="252" t="s">
        <v>13</v>
      </c>
      <c r="E78" s="252" t="s">
        <v>14</v>
      </c>
      <c r="F78" s="252" t="s">
        <v>159</v>
      </c>
      <c r="G78" s="252" t="s">
        <v>16</v>
      </c>
      <c r="H78" s="252" t="s">
        <v>12</v>
      </c>
      <c r="I78" s="255" t="s">
        <v>160</v>
      </c>
      <c r="J78" s="252" t="s">
        <v>325</v>
      </c>
      <c r="K78" s="252" t="s">
        <v>163</v>
      </c>
      <c r="L78" s="255" t="s">
        <v>326</v>
      </c>
      <c r="M78" s="250" t="s">
        <v>327</v>
      </c>
      <c r="N78" s="233"/>
      <c r="O78" s="233"/>
      <c r="P78" s="326"/>
      <c r="Q78" s="326"/>
      <c r="R78" s="327"/>
      <c r="S78" s="327"/>
      <c r="T78" s="327"/>
      <c r="U78" s="241"/>
      <c r="V78" s="241"/>
      <c r="W78" s="241"/>
      <c r="X78" s="312"/>
      <c r="Y78" s="312"/>
      <c r="Z78" s="312"/>
      <c r="AA78" s="243"/>
      <c r="AB78" s="243"/>
      <c r="AC78" s="243"/>
      <c r="AD78" s="243"/>
      <c r="AE78" s="243"/>
      <c r="AF78" s="243"/>
      <c r="AG78" s="243"/>
      <c r="AH78" s="243"/>
      <c r="AI78" s="243"/>
      <c r="AJ78" s="243"/>
      <c r="AK78" s="241"/>
      <c r="AL78" s="241"/>
      <c r="AM78" s="241"/>
      <c r="AN78" s="241"/>
      <c r="AO78" s="241"/>
      <c r="AP78" s="241"/>
      <c r="AQ78" s="241"/>
      <c r="AR78" s="241"/>
    </row>
    <row r="79">
      <c r="A79" s="385" t="s">
        <v>216</v>
      </c>
      <c r="B79" s="387" t="s">
        <v>328</v>
      </c>
      <c r="C79" s="313">
        <v>8.0</v>
      </c>
      <c r="D79" s="313">
        <v>0.5</v>
      </c>
      <c r="E79" s="390" t="s">
        <v>329</v>
      </c>
      <c r="F79" s="393" t="s">
        <v>331</v>
      </c>
      <c r="G79" s="390" t="s">
        <v>329</v>
      </c>
      <c r="H79" s="313">
        <v>4.0</v>
      </c>
      <c r="I79" s="313" t="s">
        <v>178</v>
      </c>
      <c r="J79" s="313">
        <v>0.9</v>
      </c>
      <c r="K79" s="313" t="s">
        <v>178</v>
      </c>
      <c r="L79" s="313">
        <v>5.0</v>
      </c>
      <c r="M79" s="313" t="s">
        <v>333</v>
      </c>
      <c r="N79" s="233"/>
      <c r="O79" s="233"/>
      <c r="P79" s="326"/>
      <c r="Q79" s="326"/>
      <c r="R79" s="327"/>
      <c r="S79" s="327"/>
      <c r="T79" s="327"/>
      <c r="U79" s="241"/>
      <c r="V79" s="241"/>
      <c r="W79" s="241"/>
      <c r="X79" s="312"/>
      <c r="Y79" s="312"/>
      <c r="Z79" s="312"/>
      <c r="AA79" s="243"/>
      <c r="AB79" s="243"/>
      <c r="AC79" s="243"/>
      <c r="AD79" s="243"/>
      <c r="AE79" s="243"/>
      <c r="AF79" s="243"/>
      <c r="AG79" s="243"/>
      <c r="AH79" s="243"/>
      <c r="AI79" s="243"/>
      <c r="AJ79" s="243"/>
      <c r="AK79" s="241"/>
      <c r="AL79" s="241"/>
      <c r="AM79" s="241"/>
      <c r="AN79" s="241"/>
      <c r="AO79" s="241"/>
      <c r="AP79" s="241"/>
      <c r="AQ79" s="241"/>
      <c r="AR79" s="241"/>
    </row>
    <row r="80">
      <c r="A80" s="385" t="s">
        <v>216</v>
      </c>
      <c r="B80" s="387" t="s">
        <v>334</v>
      </c>
      <c r="C80" s="313">
        <v>10.0</v>
      </c>
      <c r="D80" s="313">
        <v>1.0</v>
      </c>
      <c r="E80" s="390" t="s">
        <v>329</v>
      </c>
      <c r="F80" s="390" t="s">
        <v>329</v>
      </c>
      <c r="G80" s="393" t="s">
        <v>331</v>
      </c>
      <c r="H80" s="313">
        <v>4.0</v>
      </c>
      <c r="I80" s="313" t="s">
        <v>178</v>
      </c>
      <c r="J80" s="313">
        <v>0.75</v>
      </c>
      <c r="K80" s="313" t="s">
        <v>178</v>
      </c>
      <c r="L80" s="313">
        <v>10.0</v>
      </c>
      <c r="M80" s="313" t="s">
        <v>335</v>
      </c>
      <c r="N80" s="233"/>
      <c r="O80" s="233"/>
      <c r="P80" s="326"/>
      <c r="Q80" s="326"/>
      <c r="R80" s="327"/>
      <c r="S80" s="327"/>
      <c r="T80" s="327"/>
      <c r="U80" s="241"/>
      <c r="V80" s="241"/>
      <c r="W80" s="241"/>
      <c r="X80" s="312"/>
      <c r="Y80" s="312"/>
      <c r="Z80" s="312"/>
      <c r="AA80" s="243"/>
      <c r="AB80" s="243"/>
      <c r="AC80" s="243"/>
      <c r="AD80" s="243"/>
      <c r="AE80" s="243"/>
      <c r="AF80" s="243"/>
      <c r="AG80" s="243"/>
      <c r="AH80" s="243"/>
      <c r="AI80" s="243"/>
      <c r="AJ80" s="243"/>
      <c r="AK80" s="241"/>
      <c r="AL80" s="241"/>
      <c r="AM80" s="241"/>
      <c r="AN80" s="241"/>
      <c r="AO80" s="241"/>
      <c r="AP80" s="241"/>
      <c r="AQ80" s="241"/>
      <c r="AR80" s="241"/>
    </row>
    <row r="81">
      <c r="A81" s="385" t="s">
        <v>216</v>
      </c>
      <c r="B81" s="387" t="s">
        <v>337</v>
      </c>
      <c r="C81" s="313">
        <v>6.0</v>
      </c>
      <c r="D81" s="313">
        <v>0.5</v>
      </c>
      <c r="E81" s="393" t="s">
        <v>331</v>
      </c>
      <c r="F81" s="393" t="s">
        <v>331</v>
      </c>
      <c r="G81" s="390" t="s">
        <v>329</v>
      </c>
      <c r="H81" s="313">
        <v>2.0</v>
      </c>
      <c r="I81" s="313" t="s">
        <v>178</v>
      </c>
      <c r="J81" s="313">
        <v>0.9</v>
      </c>
      <c r="K81" s="313" t="s">
        <v>178</v>
      </c>
      <c r="L81" s="313">
        <v>7.0</v>
      </c>
      <c r="M81" s="313" t="s">
        <v>338</v>
      </c>
      <c r="N81" s="233"/>
      <c r="O81" s="233"/>
      <c r="P81" s="326"/>
      <c r="Q81" s="326"/>
      <c r="R81" s="327"/>
      <c r="S81" s="327"/>
      <c r="T81" s="327"/>
      <c r="U81" s="241"/>
      <c r="V81" s="241"/>
      <c r="W81" s="241"/>
      <c r="X81" s="312"/>
      <c r="Y81" s="312"/>
      <c r="Z81" s="312"/>
      <c r="AA81" s="243"/>
      <c r="AB81" s="243"/>
      <c r="AC81" s="243"/>
      <c r="AD81" s="243"/>
      <c r="AE81" s="243"/>
      <c r="AF81" s="243"/>
      <c r="AG81" s="243"/>
      <c r="AH81" s="243"/>
      <c r="AI81" s="243"/>
      <c r="AJ81" s="243"/>
      <c r="AK81" s="241"/>
      <c r="AL81" s="241"/>
      <c r="AM81" s="241"/>
      <c r="AN81" s="241"/>
      <c r="AO81" s="241"/>
      <c r="AP81" s="241"/>
      <c r="AQ81" s="241"/>
      <c r="AR81" s="241"/>
    </row>
    <row r="82">
      <c r="A82" s="385" t="s">
        <v>216</v>
      </c>
      <c r="B82" s="387" t="s">
        <v>339</v>
      </c>
      <c r="C82" s="313">
        <v>6.0</v>
      </c>
      <c r="D82" s="313">
        <v>0.5</v>
      </c>
      <c r="E82" s="393" t="s">
        <v>331</v>
      </c>
      <c r="F82" s="390" t="s">
        <v>329</v>
      </c>
      <c r="G82" s="390" t="s">
        <v>329</v>
      </c>
      <c r="H82" s="313">
        <v>4.0</v>
      </c>
      <c r="I82" s="313" t="s">
        <v>178</v>
      </c>
      <c r="J82" s="313">
        <v>1.0</v>
      </c>
      <c r="K82" s="313" t="s">
        <v>178</v>
      </c>
      <c r="L82" s="313">
        <v>10.0</v>
      </c>
      <c r="M82" s="313" t="s">
        <v>340</v>
      </c>
      <c r="N82" s="233"/>
      <c r="O82" s="233"/>
      <c r="P82" s="326"/>
      <c r="Q82" s="326"/>
      <c r="R82" s="327"/>
      <c r="S82" s="327"/>
      <c r="T82" s="327"/>
      <c r="U82" s="241"/>
      <c r="V82" s="241"/>
      <c r="W82" s="241"/>
      <c r="X82" s="312"/>
      <c r="Y82" s="312"/>
      <c r="Z82" s="312"/>
      <c r="AA82" s="243"/>
      <c r="AB82" s="243"/>
      <c r="AC82" s="243"/>
      <c r="AD82" s="243"/>
      <c r="AE82" s="243"/>
      <c r="AF82" s="243"/>
      <c r="AG82" s="243"/>
      <c r="AH82" s="243"/>
      <c r="AI82" s="243"/>
      <c r="AJ82" s="243"/>
      <c r="AK82" s="241"/>
      <c r="AL82" s="241"/>
      <c r="AM82" s="241"/>
      <c r="AN82" s="241"/>
      <c r="AO82" s="241"/>
      <c r="AP82" s="241"/>
      <c r="AQ82" s="241"/>
      <c r="AR82" s="241"/>
    </row>
    <row r="83">
      <c r="A83" s="385" t="s">
        <v>216</v>
      </c>
      <c r="B83" s="387" t="s">
        <v>341</v>
      </c>
      <c r="C83" s="313">
        <v>8.0</v>
      </c>
      <c r="D83" s="313">
        <v>0.75</v>
      </c>
      <c r="E83" s="393" t="s">
        <v>331</v>
      </c>
      <c r="F83" s="390" t="s">
        <v>329</v>
      </c>
      <c r="G83" s="393" t="s">
        <v>331</v>
      </c>
      <c r="H83" s="313">
        <v>4.0</v>
      </c>
      <c r="I83" s="313" t="s">
        <v>178</v>
      </c>
      <c r="J83" s="313">
        <v>0.0</v>
      </c>
      <c r="K83" s="313" t="s">
        <v>178</v>
      </c>
      <c r="L83" s="313">
        <v>10.0</v>
      </c>
      <c r="M83" s="313" t="s">
        <v>342</v>
      </c>
      <c r="N83" s="233"/>
      <c r="O83" s="233"/>
      <c r="P83" s="326"/>
      <c r="Q83" s="326"/>
      <c r="R83" s="327"/>
      <c r="S83" s="327"/>
      <c r="T83" s="327"/>
      <c r="U83" s="241"/>
      <c r="V83" s="241"/>
      <c r="W83" s="241"/>
      <c r="X83" s="312"/>
      <c r="Y83" s="312"/>
      <c r="Z83" s="312"/>
      <c r="AA83" s="243"/>
      <c r="AB83" s="243"/>
      <c r="AC83" s="243"/>
      <c r="AD83" s="243"/>
      <c r="AE83" s="243"/>
      <c r="AF83" s="243"/>
      <c r="AG83" s="243"/>
      <c r="AH83" s="243"/>
      <c r="AI83" s="243"/>
      <c r="AJ83" s="243"/>
      <c r="AK83" s="241"/>
      <c r="AL83" s="241"/>
      <c r="AM83" s="241"/>
      <c r="AN83" s="241"/>
      <c r="AO83" s="241"/>
      <c r="AP83" s="241"/>
      <c r="AQ83" s="241"/>
      <c r="AR83" s="241"/>
    </row>
    <row r="84">
      <c r="A84" s="385" t="s">
        <v>216</v>
      </c>
      <c r="B84" s="387" t="s">
        <v>343</v>
      </c>
      <c r="C84" s="313">
        <v>10.0</v>
      </c>
      <c r="D84" s="313">
        <v>1.0</v>
      </c>
      <c r="E84" s="390" t="s">
        <v>329</v>
      </c>
      <c r="F84" s="393" t="s">
        <v>331</v>
      </c>
      <c r="G84" s="390" t="s">
        <v>329</v>
      </c>
      <c r="H84" s="313">
        <v>4.0</v>
      </c>
      <c r="I84" s="313" t="s">
        <v>178</v>
      </c>
      <c r="J84" s="313">
        <v>0.0</v>
      </c>
      <c r="K84" s="313" t="s">
        <v>178</v>
      </c>
      <c r="L84" s="313">
        <v>10.0</v>
      </c>
      <c r="M84" s="313" t="s">
        <v>342</v>
      </c>
      <c r="N84" s="233"/>
      <c r="O84" s="233"/>
      <c r="P84" s="326"/>
      <c r="Q84" s="326"/>
      <c r="R84" s="327"/>
      <c r="S84" s="327"/>
      <c r="T84" s="327"/>
      <c r="U84" s="241"/>
      <c r="V84" s="241"/>
      <c r="W84" s="241"/>
      <c r="X84" s="312"/>
      <c r="Y84" s="312"/>
      <c r="Z84" s="312"/>
      <c r="AA84" s="243"/>
      <c r="AB84" s="243"/>
      <c r="AC84" s="243"/>
      <c r="AD84" s="243"/>
      <c r="AE84" s="243"/>
      <c r="AF84" s="243"/>
      <c r="AG84" s="243"/>
      <c r="AH84" s="243"/>
      <c r="AI84" s="243"/>
      <c r="AJ84" s="243"/>
      <c r="AK84" s="241"/>
      <c r="AL84" s="241"/>
      <c r="AM84" s="241"/>
      <c r="AN84" s="241"/>
      <c r="AO84" s="241"/>
      <c r="AP84" s="241"/>
      <c r="AQ84" s="241"/>
      <c r="AR84" s="241"/>
    </row>
    <row r="85">
      <c r="A85" s="385" t="s">
        <v>216</v>
      </c>
      <c r="B85" s="387" t="s">
        <v>345</v>
      </c>
      <c r="C85" s="313">
        <v>6.0</v>
      </c>
      <c r="D85" s="313">
        <v>0.5</v>
      </c>
      <c r="E85" s="393" t="s">
        <v>331</v>
      </c>
      <c r="F85" s="393" t="s">
        <v>331</v>
      </c>
      <c r="G85" s="390" t="s">
        <v>329</v>
      </c>
      <c r="H85" s="313">
        <v>2.0</v>
      </c>
      <c r="I85" s="313" t="s">
        <v>178</v>
      </c>
      <c r="J85" s="313">
        <v>1.0</v>
      </c>
      <c r="K85" s="313" t="s">
        <v>178</v>
      </c>
      <c r="L85" s="313">
        <v>10.0</v>
      </c>
      <c r="M85" s="313" t="s">
        <v>340</v>
      </c>
      <c r="N85" s="233"/>
      <c r="O85" s="233"/>
      <c r="P85" s="326"/>
      <c r="Q85" s="326"/>
      <c r="R85" s="327"/>
      <c r="S85" s="327"/>
      <c r="T85" s="327"/>
      <c r="U85" s="241"/>
      <c r="V85" s="241"/>
      <c r="W85" s="241"/>
      <c r="X85" s="312"/>
      <c r="Y85" s="312"/>
      <c r="Z85" s="312"/>
      <c r="AA85" s="243"/>
      <c r="AB85" s="243"/>
      <c r="AC85" s="243"/>
      <c r="AD85" s="243"/>
      <c r="AE85" s="243"/>
      <c r="AF85" s="243"/>
      <c r="AG85" s="243"/>
      <c r="AH85" s="243"/>
      <c r="AI85" s="243"/>
      <c r="AJ85" s="243"/>
      <c r="AK85" s="241"/>
      <c r="AL85" s="241"/>
      <c r="AM85" s="241"/>
      <c r="AN85" s="241"/>
      <c r="AO85" s="241"/>
      <c r="AP85" s="241"/>
      <c r="AQ85" s="241"/>
      <c r="AR85" s="241"/>
    </row>
    <row r="86">
      <c r="A86" s="385" t="s">
        <v>216</v>
      </c>
      <c r="B86" s="387" t="s">
        <v>346</v>
      </c>
      <c r="C86" s="313">
        <v>8.0</v>
      </c>
      <c r="D86" s="313">
        <v>0.75</v>
      </c>
      <c r="E86" s="390" t="s">
        <v>329</v>
      </c>
      <c r="F86" s="393" t="s">
        <v>331</v>
      </c>
      <c r="G86" s="390" t="s">
        <v>329</v>
      </c>
      <c r="H86" s="313">
        <v>4.0</v>
      </c>
      <c r="I86" s="313" t="s">
        <v>178</v>
      </c>
      <c r="J86" s="313">
        <v>0.0</v>
      </c>
      <c r="K86" s="313" t="s">
        <v>178</v>
      </c>
      <c r="L86" s="313">
        <v>5.0</v>
      </c>
      <c r="M86" s="313" t="s">
        <v>342</v>
      </c>
      <c r="N86" s="233"/>
      <c r="O86" s="233"/>
      <c r="P86" s="326"/>
      <c r="Q86" s="326"/>
      <c r="R86" s="327"/>
      <c r="S86" s="327"/>
      <c r="T86" s="327"/>
      <c r="U86" s="241"/>
      <c r="V86" s="241"/>
      <c r="W86" s="241"/>
      <c r="X86" s="312"/>
      <c r="Y86" s="312"/>
      <c r="Z86" s="312"/>
      <c r="AA86" s="243"/>
      <c r="AB86" s="243"/>
      <c r="AC86" s="243"/>
      <c r="AD86" s="243"/>
      <c r="AE86" s="243"/>
      <c r="AF86" s="243"/>
      <c r="AG86" s="243"/>
      <c r="AH86" s="243"/>
      <c r="AI86" s="243"/>
      <c r="AJ86" s="243"/>
      <c r="AK86" s="241"/>
      <c r="AL86" s="241"/>
      <c r="AM86" s="241"/>
      <c r="AN86" s="241"/>
      <c r="AO86" s="241"/>
      <c r="AP86" s="241"/>
      <c r="AQ86" s="241"/>
      <c r="AR86" s="241"/>
    </row>
    <row r="87">
      <c r="A87" s="385" t="s">
        <v>216</v>
      </c>
      <c r="B87" s="387" t="s">
        <v>347</v>
      </c>
      <c r="C87" s="313">
        <v>8.0</v>
      </c>
      <c r="D87" s="313">
        <v>0.75</v>
      </c>
      <c r="E87" s="390" t="s">
        <v>329</v>
      </c>
      <c r="F87" s="390" t="s">
        <v>329</v>
      </c>
      <c r="G87" s="390" t="s">
        <v>329</v>
      </c>
      <c r="H87" s="313">
        <v>4.0</v>
      </c>
      <c r="I87" s="313" t="s">
        <v>178</v>
      </c>
      <c r="J87" s="313">
        <v>0.0</v>
      </c>
      <c r="K87" s="313" t="s">
        <v>178</v>
      </c>
      <c r="L87" s="313">
        <v>10.0</v>
      </c>
      <c r="M87" s="313" t="s">
        <v>342</v>
      </c>
      <c r="N87" s="233"/>
      <c r="O87" s="233"/>
      <c r="P87" s="326"/>
      <c r="Q87" s="326"/>
      <c r="R87" s="327"/>
      <c r="S87" s="327"/>
      <c r="T87" s="327"/>
      <c r="U87" s="241"/>
      <c r="V87" s="241"/>
      <c r="W87" s="241"/>
      <c r="X87" s="312"/>
      <c r="Y87" s="312"/>
      <c r="Z87" s="312"/>
      <c r="AA87" s="243"/>
      <c r="AB87" s="243"/>
      <c r="AC87" s="243"/>
      <c r="AD87" s="243"/>
      <c r="AE87" s="243"/>
      <c r="AF87" s="243"/>
      <c r="AG87" s="243"/>
      <c r="AH87" s="243"/>
      <c r="AI87" s="243"/>
      <c r="AJ87" s="243"/>
      <c r="AK87" s="241"/>
      <c r="AL87" s="241"/>
      <c r="AM87" s="241"/>
      <c r="AN87" s="241"/>
      <c r="AO87" s="241"/>
      <c r="AP87" s="241"/>
      <c r="AQ87" s="241"/>
      <c r="AR87" s="241"/>
    </row>
    <row r="88">
      <c r="A88" s="385" t="s">
        <v>216</v>
      </c>
      <c r="B88" s="387" t="s">
        <v>348</v>
      </c>
      <c r="C88" s="313">
        <v>10.0</v>
      </c>
      <c r="D88" s="313">
        <v>1.0</v>
      </c>
      <c r="E88" s="390" t="s">
        <v>329</v>
      </c>
      <c r="F88" s="393" t="s">
        <v>331</v>
      </c>
      <c r="G88" s="393" t="s">
        <v>331</v>
      </c>
      <c r="H88" s="313">
        <v>4.0</v>
      </c>
      <c r="I88" s="313" t="s">
        <v>178</v>
      </c>
      <c r="J88" s="313">
        <v>0.0</v>
      </c>
      <c r="K88" s="313" t="s">
        <v>178</v>
      </c>
      <c r="L88" s="313">
        <v>10.0</v>
      </c>
      <c r="M88" s="313" t="s">
        <v>342</v>
      </c>
      <c r="N88" s="233"/>
      <c r="O88" s="233"/>
      <c r="P88" s="326"/>
      <c r="Q88" s="326"/>
      <c r="R88" s="327"/>
      <c r="S88" s="327"/>
      <c r="T88" s="327"/>
      <c r="U88" s="241"/>
      <c r="V88" s="241"/>
      <c r="W88" s="241"/>
      <c r="X88" s="312"/>
      <c r="Y88" s="312"/>
      <c r="Z88" s="312"/>
      <c r="AA88" s="243"/>
      <c r="AB88" s="243"/>
      <c r="AC88" s="243"/>
      <c r="AD88" s="243"/>
      <c r="AE88" s="243"/>
      <c r="AF88" s="243"/>
      <c r="AG88" s="243"/>
      <c r="AH88" s="243"/>
      <c r="AI88" s="243"/>
      <c r="AJ88" s="243"/>
      <c r="AK88" s="241"/>
      <c r="AL88" s="241"/>
      <c r="AM88" s="241"/>
      <c r="AN88" s="241"/>
      <c r="AO88" s="241"/>
      <c r="AP88" s="241"/>
      <c r="AQ88" s="241"/>
      <c r="AR88" s="241"/>
    </row>
    <row r="89">
      <c r="A89" s="385" t="s">
        <v>216</v>
      </c>
      <c r="B89" s="387" t="s">
        <v>349</v>
      </c>
      <c r="C89" s="313">
        <v>8.0</v>
      </c>
      <c r="D89" s="313">
        <v>1.0</v>
      </c>
      <c r="E89" s="390" t="s">
        <v>329</v>
      </c>
      <c r="F89" s="390" t="s">
        <v>329</v>
      </c>
      <c r="G89" s="390" t="s">
        <v>329</v>
      </c>
      <c r="H89" s="313">
        <v>4.0</v>
      </c>
      <c r="I89" s="313" t="s">
        <v>178</v>
      </c>
      <c r="J89" s="313">
        <v>0.0</v>
      </c>
      <c r="K89" s="313" t="s">
        <v>178</v>
      </c>
      <c r="L89" s="313">
        <v>10.0</v>
      </c>
      <c r="M89" s="313" t="s">
        <v>342</v>
      </c>
      <c r="N89" s="233"/>
      <c r="O89" s="233"/>
      <c r="P89" s="326"/>
      <c r="Q89" s="326"/>
      <c r="R89" s="327"/>
      <c r="S89" s="327"/>
      <c r="T89" s="327"/>
      <c r="U89" s="241"/>
      <c r="V89" s="241"/>
      <c r="W89" s="241"/>
      <c r="X89" s="312"/>
      <c r="Y89" s="312"/>
      <c r="Z89" s="312"/>
      <c r="AA89" s="243"/>
      <c r="AB89" s="243"/>
      <c r="AC89" s="243"/>
      <c r="AD89" s="243"/>
      <c r="AE89" s="243"/>
      <c r="AF89" s="243"/>
      <c r="AG89" s="243"/>
      <c r="AH89" s="243"/>
      <c r="AI89" s="243"/>
      <c r="AJ89" s="243"/>
      <c r="AK89" s="241"/>
      <c r="AL89" s="241"/>
      <c r="AM89" s="241"/>
      <c r="AN89" s="241"/>
      <c r="AO89" s="241"/>
      <c r="AP89" s="241"/>
      <c r="AQ89" s="241"/>
      <c r="AR89" s="241"/>
    </row>
    <row r="90">
      <c r="A90" s="385" t="s">
        <v>216</v>
      </c>
      <c r="B90" s="387" t="s">
        <v>350</v>
      </c>
      <c r="C90" s="313">
        <v>10.0</v>
      </c>
      <c r="D90" s="313">
        <v>1.0</v>
      </c>
      <c r="E90" s="390" t="s">
        <v>329</v>
      </c>
      <c r="F90" s="393" t="s">
        <v>331</v>
      </c>
      <c r="G90" s="390" t="s">
        <v>329</v>
      </c>
      <c r="H90" s="313">
        <v>4.0</v>
      </c>
      <c r="I90" s="313" t="s">
        <v>178</v>
      </c>
      <c r="J90" s="313">
        <v>0.0</v>
      </c>
      <c r="K90" s="313" t="s">
        <v>178</v>
      </c>
      <c r="L90" s="313">
        <v>3.0</v>
      </c>
      <c r="M90" s="313" t="s">
        <v>342</v>
      </c>
      <c r="N90" s="233"/>
      <c r="O90" s="233"/>
      <c r="P90" s="326"/>
      <c r="Q90" s="326"/>
      <c r="R90" s="327"/>
      <c r="S90" s="327"/>
      <c r="T90" s="327"/>
      <c r="U90" s="241"/>
      <c r="V90" s="241"/>
      <c r="W90" s="241"/>
      <c r="X90" s="312"/>
      <c r="Y90" s="312"/>
      <c r="Z90" s="312"/>
      <c r="AA90" s="243"/>
      <c r="AB90" s="243"/>
      <c r="AC90" s="243"/>
      <c r="AD90" s="243"/>
      <c r="AE90" s="243"/>
      <c r="AF90" s="243"/>
      <c r="AG90" s="243"/>
      <c r="AH90" s="243"/>
      <c r="AI90" s="243"/>
      <c r="AJ90" s="243"/>
      <c r="AK90" s="241"/>
      <c r="AL90" s="241"/>
      <c r="AM90" s="241"/>
      <c r="AN90" s="241"/>
      <c r="AO90" s="241"/>
      <c r="AP90" s="241"/>
      <c r="AQ90" s="241"/>
      <c r="AR90" s="241"/>
    </row>
    <row r="91">
      <c r="A91" s="385" t="s">
        <v>216</v>
      </c>
      <c r="B91" s="387" t="s">
        <v>351</v>
      </c>
      <c r="C91" s="313">
        <v>8.0</v>
      </c>
      <c r="D91" s="313">
        <v>0.75</v>
      </c>
      <c r="E91" s="393" t="s">
        <v>331</v>
      </c>
      <c r="F91" s="390" t="s">
        <v>329</v>
      </c>
      <c r="G91" s="393" t="s">
        <v>331</v>
      </c>
      <c r="H91" s="313">
        <v>8.0</v>
      </c>
      <c r="I91" s="313" t="s">
        <v>178</v>
      </c>
      <c r="J91" s="313">
        <v>0.0</v>
      </c>
      <c r="K91" s="313" t="s">
        <v>178</v>
      </c>
      <c r="L91" s="313">
        <v>10.0</v>
      </c>
      <c r="M91" s="313" t="s">
        <v>342</v>
      </c>
      <c r="N91" s="228"/>
      <c r="O91" s="228"/>
      <c r="P91" s="326"/>
      <c r="Q91" s="326"/>
      <c r="R91" s="327"/>
      <c r="S91" s="327"/>
      <c r="T91" s="327"/>
      <c r="U91" s="241"/>
      <c r="V91" s="241"/>
      <c r="W91" s="241"/>
      <c r="X91" s="312"/>
      <c r="Y91" s="312"/>
      <c r="Z91" s="312"/>
      <c r="AA91" s="243"/>
      <c r="AB91" s="243"/>
      <c r="AC91" s="243"/>
      <c r="AD91" s="243"/>
      <c r="AE91" s="243"/>
      <c r="AF91" s="243"/>
      <c r="AG91" s="243"/>
      <c r="AH91" s="243"/>
      <c r="AI91" s="243"/>
      <c r="AJ91" s="243"/>
      <c r="AK91" s="241"/>
      <c r="AL91" s="241"/>
      <c r="AM91" s="241"/>
      <c r="AN91" s="241"/>
      <c r="AO91" s="241"/>
      <c r="AP91" s="241"/>
      <c r="AQ91" s="241"/>
      <c r="AR91" s="241"/>
    </row>
    <row r="92">
      <c r="A92" s="385" t="s">
        <v>216</v>
      </c>
      <c r="B92" s="387" t="s">
        <v>352</v>
      </c>
      <c r="C92" s="313">
        <v>6.0</v>
      </c>
      <c r="D92" s="313">
        <v>0.5</v>
      </c>
      <c r="E92" s="393" t="s">
        <v>331</v>
      </c>
      <c r="F92" s="393" t="s">
        <v>331</v>
      </c>
      <c r="G92" s="390" t="s">
        <v>329</v>
      </c>
      <c r="H92" s="313">
        <v>2.0</v>
      </c>
      <c r="I92" s="313" t="s">
        <v>178</v>
      </c>
      <c r="J92" s="313">
        <v>1.0</v>
      </c>
      <c r="K92" s="313" t="s">
        <v>178</v>
      </c>
      <c r="L92" s="313">
        <v>10.0</v>
      </c>
      <c r="M92" s="313" t="s">
        <v>340</v>
      </c>
      <c r="N92" s="228"/>
      <c r="O92" s="228"/>
      <c r="P92" s="326"/>
      <c r="Q92" s="326"/>
      <c r="R92" s="327"/>
      <c r="S92" s="327"/>
      <c r="T92" s="327"/>
      <c r="U92" s="241"/>
      <c r="V92" s="241"/>
      <c r="W92" s="241"/>
      <c r="X92" s="312"/>
      <c r="Y92" s="312"/>
      <c r="Z92" s="312"/>
      <c r="AA92" s="243"/>
      <c r="AB92" s="243"/>
      <c r="AC92" s="243"/>
      <c r="AD92" s="243"/>
      <c r="AE92" s="243"/>
      <c r="AF92" s="243"/>
      <c r="AG92" s="243"/>
      <c r="AH92" s="243"/>
      <c r="AI92" s="243"/>
      <c r="AJ92" s="243"/>
      <c r="AK92" s="241"/>
      <c r="AL92" s="241"/>
      <c r="AM92" s="241"/>
      <c r="AN92" s="241"/>
      <c r="AO92" s="241"/>
      <c r="AP92" s="241"/>
      <c r="AQ92" s="241"/>
      <c r="AR92" s="241"/>
    </row>
    <row r="93">
      <c r="A93" s="385" t="s">
        <v>216</v>
      </c>
      <c r="B93" s="387" t="s">
        <v>354</v>
      </c>
      <c r="C93" s="313">
        <v>8.0</v>
      </c>
      <c r="D93" s="313">
        <v>0.75</v>
      </c>
      <c r="E93" s="393" t="s">
        <v>331</v>
      </c>
      <c r="F93" s="390" t="s">
        <v>329</v>
      </c>
      <c r="G93" s="390" t="s">
        <v>329</v>
      </c>
      <c r="H93" s="313">
        <v>6.0</v>
      </c>
      <c r="I93" s="410" t="s">
        <v>173</v>
      </c>
      <c r="J93" s="255" t="str">
        <f>address(ROW($A$498),COLUMN($A$498))</f>
        <v>$A$498</v>
      </c>
      <c r="K93" s="255" t="str">
        <f>address(ROW($O$498),COLUMN($O$498))</f>
        <v>$O$498</v>
      </c>
      <c r="L93" s="313">
        <v>10.0</v>
      </c>
      <c r="M93" s="313" t="s">
        <v>342</v>
      </c>
      <c r="N93" s="228"/>
      <c r="O93" s="228"/>
      <c r="P93" s="326"/>
      <c r="Q93" s="326"/>
      <c r="R93" s="327"/>
      <c r="S93" s="327"/>
      <c r="T93" s="327"/>
      <c r="U93" s="241"/>
      <c r="V93" s="241"/>
      <c r="W93" s="241"/>
      <c r="X93" s="312"/>
      <c r="Y93" s="312"/>
      <c r="Z93" s="312"/>
      <c r="AA93" s="243"/>
      <c r="AB93" s="243"/>
      <c r="AC93" s="243"/>
      <c r="AD93" s="243"/>
      <c r="AE93" s="243"/>
      <c r="AF93" s="243"/>
      <c r="AG93" s="243"/>
      <c r="AH93" s="243"/>
      <c r="AI93" s="243"/>
      <c r="AJ93" s="243"/>
      <c r="AK93" s="241"/>
      <c r="AL93" s="241"/>
      <c r="AM93" s="241"/>
      <c r="AN93" s="241"/>
      <c r="AO93" s="241"/>
      <c r="AP93" s="241"/>
      <c r="AQ93" s="241"/>
      <c r="AR93" s="241"/>
    </row>
    <row r="94">
      <c r="A94" s="385" t="s">
        <v>216</v>
      </c>
      <c r="B94" s="387" t="s">
        <v>357</v>
      </c>
      <c r="C94" s="313">
        <v>6.0</v>
      </c>
      <c r="D94" s="313">
        <v>0.5</v>
      </c>
      <c r="E94" s="393" t="s">
        <v>331</v>
      </c>
      <c r="F94" s="393" t="s">
        <v>331</v>
      </c>
      <c r="G94" s="390" t="s">
        <v>329</v>
      </c>
      <c r="H94" s="313">
        <v>4.0</v>
      </c>
      <c r="I94" s="313" t="s">
        <v>178</v>
      </c>
      <c r="J94" s="313">
        <v>1.0</v>
      </c>
      <c r="K94" s="313" t="s">
        <v>178</v>
      </c>
      <c r="L94" s="313">
        <v>10.0</v>
      </c>
      <c r="M94" s="313" t="s">
        <v>340</v>
      </c>
      <c r="N94" s="228"/>
      <c r="O94" s="228"/>
      <c r="P94" s="326"/>
      <c r="Q94" s="326"/>
      <c r="R94" s="327"/>
      <c r="S94" s="327"/>
      <c r="T94" s="327"/>
      <c r="U94" s="241"/>
      <c r="V94" s="241"/>
      <c r="W94" s="241"/>
      <c r="X94" s="312"/>
      <c r="Y94" s="312"/>
      <c r="Z94" s="312"/>
      <c r="AA94" s="243"/>
      <c r="AB94" s="243"/>
      <c r="AC94" s="243"/>
      <c r="AD94" s="243"/>
      <c r="AE94" s="243"/>
      <c r="AF94" s="243"/>
      <c r="AG94" s="243"/>
      <c r="AH94" s="243"/>
      <c r="AI94" s="243"/>
      <c r="AJ94" s="243"/>
      <c r="AK94" s="241"/>
      <c r="AL94" s="241"/>
      <c r="AM94" s="241"/>
      <c r="AN94" s="241"/>
      <c r="AO94" s="241"/>
      <c r="AP94" s="241"/>
      <c r="AQ94" s="241"/>
      <c r="AR94" s="241"/>
    </row>
    <row r="95">
      <c r="A95" s="385" t="s">
        <v>216</v>
      </c>
      <c r="B95" s="387" t="s">
        <v>358</v>
      </c>
      <c r="C95" s="313">
        <v>6.0</v>
      </c>
      <c r="D95" s="313">
        <v>0.5</v>
      </c>
      <c r="E95" s="393" t="s">
        <v>331</v>
      </c>
      <c r="F95" s="393" t="s">
        <v>331</v>
      </c>
      <c r="G95" s="390" t="s">
        <v>329</v>
      </c>
      <c r="H95" s="313">
        <v>2.0</v>
      </c>
      <c r="I95" s="313" t="s">
        <v>178</v>
      </c>
      <c r="J95" s="313">
        <v>0.9</v>
      </c>
      <c r="K95" s="313" t="s">
        <v>178</v>
      </c>
      <c r="L95" s="313">
        <v>10.0</v>
      </c>
      <c r="M95" s="313" t="s">
        <v>359</v>
      </c>
      <c r="N95" s="228"/>
      <c r="O95" s="228"/>
      <c r="P95" s="326"/>
      <c r="Q95" s="326"/>
      <c r="R95" s="327"/>
      <c r="S95" s="327"/>
      <c r="T95" s="327"/>
      <c r="U95" s="241"/>
      <c r="V95" s="241"/>
      <c r="W95" s="241"/>
      <c r="X95" s="312"/>
      <c r="Y95" s="312"/>
      <c r="Z95" s="312"/>
      <c r="AA95" s="243"/>
      <c r="AB95" s="243"/>
      <c r="AC95" s="243"/>
      <c r="AD95" s="243"/>
      <c r="AE95" s="243"/>
      <c r="AF95" s="243"/>
      <c r="AG95" s="243"/>
      <c r="AH95" s="243"/>
      <c r="AI95" s="243"/>
      <c r="AJ95" s="243"/>
      <c r="AK95" s="241"/>
      <c r="AL95" s="241"/>
      <c r="AM95" s="241"/>
      <c r="AN95" s="241"/>
      <c r="AO95" s="241"/>
      <c r="AP95" s="241"/>
      <c r="AQ95" s="241"/>
      <c r="AR95" s="241"/>
    </row>
    <row r="96">
      <c r="A96" s="385" t="s">
        <v>216</v>
      </c>
      <c r="B96" s="387" t="s">
        <v>361</v>
      </c>
      <c r="C96" s="313">
        <v>8.0</v>
      </c>
      <c r="D96" s="313">
        <v>0.75</v>
      </c>
      <c r="E96" s="393" t="s">
        <v>331</v>
      </c>
      <c r="F96" s="390" t="s">
        <v>329</v>
      </c>
      <c r="G96" s="393" t="s">
        <v>331</v>
      </c>
      <c r="H96" s="313">
        <v>8.0</v>
      </c>
      <c r="I96" s="313" t="s">
        <v>178</v>
      </c>
      <c r="J96" s="313">
        <v>0.0</v>
      </c>
      <c r="K96" s="313" t="s">
        <v>178</v>
      </c>
      <c r="L96" s="313">
        <v>10.0</v>
      </c>
      <c r="M96" s="313" t="s">
        <v>342</v>
      </c>
      <c r="N96" s="228"/>
      <c r="O96" s="228"/>
      <c r="P96" s="326"/>
      <c r="Q96" s="326"/>
      <c r="R96" s="327"/>
      <c r="S96" s="327"/>
      <c r="T96" s="327"/>
      <c r="U96" s="241"/>
      <c r="V96" s="241"/>
      <c r="W96" s="241"/>
      <c r="X96" s="312"/>
      <c r="Y96" s="312"/>
      <c r="Z96" s="312"/>
      <c r="AA96" s="243"/>
      <c r="AB96" s="243"/>
      <c r="AC96" s="243"/>
      <c r="AD96" s="243"/>
      <c r="AE96" s="243"/>
      <c r="AF96" s="243"/>
      <c r="AG96" s="243"/>
      <c r="AH96" s="243"/>
      <c r="AI96" s="243"/>
      <c r="AJ96" s="243"/>
      <c r="AK96" s="241"/>
      <c r="AL96" s="241"/>
      <c r="AM96" s="241"/>
      <c r="AN96" s="241"/>
      <c r="AO96" s="241"/>
      <c r="AP96" s="241"/>
      <c r="AQ96" s="241"/>
      <c r="AR96" s="241"/>
    </row>
    <row r="97">
      <c r="A97" s="385" t="s">
        <v>216</v>
      </c>
      <c r="B97" s="387" t="s">
        <v>362</v>
      </c>
      <c r="C97" s="313">
        <v>6.0</v>
      </c>
      <c r="D97" s="313">
        <v>0.5</v>
      </c>
      <c r="E97" s="393" t="s">
        <v>331</v>
      </c>
      <c r="F97" s="393" t="s">
        <v>331</v>
      </c>
      <c r="G97" s="390" t="s">
        <v>329</v>
      </c>
      <c r="H97" s="313">
        <v>4.0</v>
      </c>
      <c r="I97" s="313" t="s">
        <v>178</v>
      </c>
      <c r="J97" s="313">
        <v>0.75</v>
      </c>
      <c r="K97" s="313" t="s">
        <v>178</v>
      </c>
      <c r="L97" s="313">
        <v>10.0</v>
      </c>
      <c r="M97" s="313" t="s">
        <v>335</v>
      </c>
      <c r="N97" s="228"/>
      <c r="O97" s="228"/>
      <c r="P97" s="326"/>
      <c r="Q97" s="326"/>
      <c r="R97" s="327"/>
      <c r="S97" s="327"/>
      <c r="T97" s="327"/>
      <c r="U97" s="241"/>
      <c r="V97" s="241"/>
      <c r="W97" s="241"/>
      <c r="X97" s="312"/>
      <c r="Y97" s="312"/>
      <c r="Z97" s="312"/>
      <c r="AA97" s="243"/>
      <c r="AB97" s="243"/>
      <c r="AC97" s="243"/>
      <c r="AD97" s="243"/>
      <c r="AE97" s="243"/>
      <c r="AF97" s="243"/>
      <c r="AG97" s="243"/>
      <c r="AH97" s="243"/>
      <c r="AI97" s="243"/>
      <c r="AJ97" s="243"/>
      <c r="AK97" s="241"/>
      <c r="AL97" s="241"/>
      <c r="AM97" s="241"/>
      <c r="AN97" s="241"/>
      <c r="AO97" s="241"/>
      <c r="AP97" s="241"/>
      <c r="AQ97" s="241"/>
      <c r="AR97" s="241"/>
    </row>
    <row r="98">
      <c r="A98" s="385" t="s">
        <v>216</v>
      </c>
      <c r="B98" s="387" t="s">
        <v>363</v>
      </c>
      <c r="C98" s="313">
        <v>8.0</v>
      </c>
      <c r="D98" s="313">
        <v>0.75</v>
      </c>
      <c r="E98" s="393" t="s">
        <v>331</v>
      </c>
      <c r="F98" s="390" t="s">
        <v>329</v>
      </c>
      <c r="G98" s="393" t="s">
        <v>331</v>
      </c>
      <c r="H98" s="313">
        <v>6.0</v>
      </c>
      <c r="I98" s="313" t="s">
        <v>178</v>
      </c>
      <c r="J98" s="313">
        <v>0.0</v>
      </c>
      <c r="K98" s="313" t="s">
        <v>178</v>
      </c>
      <c r="L98" s="313">
        <v>10.0</v>
      </c>
      <c r="M98" s="313" t="s">
        <v>342</v>
      </c>
      <c r="N98" s="228"/>
      <c r="O98" s="228"/>
      <c r="P98" s="326"/>
      <c r="Q98" s="326"/>
      <c r="R98" s="327"/>
      <c r="S98" s="327"/>
      <c r="T98" s="327"/>
      <c r="U98" s="241"/>
      <c r="V98" s="241"/>
      <c r="W98" s="241"/>
      <c r="X98" s="312"/>
      <c r="Y98" s="312"/>
      <c r="Z98" s="312"/>
      <c r="AA98" s="243"/>
      <c r="AB98" s="243"/>
      <c r="AC98" s="243"/>
      <c r="AD98" s="243"/>
      <c r="AE98" s="243"/>
      <c r="AF98" s="243"/>
      <c r="AG98" s="243"/>
      <c r="AH98" s="243"/>
      <c r="AI98" s="243"/>
      <c r="AJ98" s="243"/>
      <c r="AK98" s="241"/>
      <c r="AL98" s="241"/>
      <c r="AM98" s="241"/>
      <c r="AN98" s="241"/>
      <c r="AO98" s="241"/>
      <c r="AP98" s="241"/>
      <c r="AQ98" s="241"/>
      <c r="AR98" s="241"/>
    </row>
    <row r="99">
      <c r="A99" s="385" t="s">
        <v>216</v>
      </c>
      <c r="B99" s="387" t="s">
        <v>364</v>
      </c>
      <c r="C99" s="313">
        <v>8.0</v>
      </c>
      <c r="D99" s="313">
        <v>0.75</v>
      </c>
      <c r="E99" s="390" t="s">
        <v>329</v>
      </c>
      <c r="F99" s="393" t="s">
        <v>331</v>
      </c>
      <c r="G99" s="393" t="s">
        <v>331</v>
      </c>
      <c r="H99" s="313">
        <v>2.0</v>
      </c>
      <c r="I99" s="313" t="s">
        <v>178</v>
      </c>
      <c r="J99" s="313">
        <v>0.9</v>
      </c>
      <c r="K99" s="313" t="s">
        <v>178</v>
      </c>
      <c r="L99" s="313">
        <v>10.0</v>
      </c>
      <c r="M99" s="313" t="s">
        <v>359</v>
      </c>
      <c r="N99" s="228"/>
      <c r="O99" s="228"/>
      <c r="P99" s="326"/>
      <c r="Q99" s="326"/>
      <c r="R99" s="327"/>
      <c r="S99" s="327"/>
      <c r="T99" s="327"/>
      <c r="U99" s="241"/>
      <c r="V99" s="241"/>
      <c r="W99" s="241"/>
      <c r="X99" s="312"/>
      <c r="Y99" s="312"/>
      <c r="Z99" s="312"/>
      <c r="AA99" s="243"/>
      <c r="AB99" s="243"/>
      <c r="AC99" s="243"/>
      <c r="AD99" s="243"/>
      <c r="AE99" s="243"/>
      <c r="AF99" s="243"/>
      <c r="AG99" s="243"/>
      <c r="AH99" s="243"/>
      <c r="AI99" s="243"/>
      <c r="AJ99" s="243"/>
      <c r="AK99" s="241"/>
      <c r="AL99" s="241"/>
      <c r="AM99" s="241"/>
      <c r="AN99" s="241"/>
      <c r="AO99" s="241"/>
      <c r="AP99" s="241"/>
      <c r="AQ99" s="241"/>
      <c r="AR99" s="241"/>
    </row>
    <row r="100">
      <c r="A100" s="385" t="s">
        <v>216</v>
      </c>
      <c r="B100" s="387" t="s">
        <v>365</v>
      </c>
      <c r="C100" s="313">
        <v>6.0</v>
      </c>
      <c r="D100" s="313">
        <v>0.5</v>
      </c>
      <c r="E100" s="393" t="s">
        <v>331</v>
      </c>
      <c r="F100" s="393" t="s">
        <v>331</v>
      </c>
      <c r="G100" s="390" t="s">
        <v>329</v>
      </c>
      <c r="H100" s="313">
        <v>2.0</v>
      </c>
      <c r="I100" s="313" t="s">
        <v>178</v>
      </c>
      <c r="J100" s="313">
        <v>1.0</v>
      </c>
      <c r="K100" s="313" t="s">
        <v>178</v>
      </c>
      <c r="L100" s="313">
        <v>10.0</v>
      </c>
      <c r="M100" s="313" t="s">
        <v>340</v>
      </c>
      <c r="N100" s="233"/>
      <c r="O100" s="233"/>
      <c r="P100" s="233"/>
      <c r="Q100" s="233"/>
      <c r="R100" s="233"/>
      <c r="S100" s="233"/>
      <c r="T100" s="233"/>
      <c r="U100" s="241"/>
      <c r="V100" s="241"/>
      <c r="W100" s="241"/>
      <c r="X100" s="233"/>
      <c r="Y100" s="233"/>
      <c r="Z100" s="312"/>
      <c r="AA100" s="243"/>
      <c r="AB100" s="243"/>
      <c r="AC100" s="243"/>
      <c r="AD100" s="243"/>
      <c r="AE100" s="243"/>
      <c r="AF100" s="243"/>
      <c r="AG100" s="243"/>
      <c r="AH100" s="243"/>
      <c r="AI100" s="243"/>
      <c r="AJ100" s="243"/>
      <c r="AK100" s="241"/>
      <c r="AL100" s="241"/>
      <c r="AM100" s="241"/>
      <c r="AN100" s="241"/>
      <c r="AO100" s="241"/>
      <c r="AP100" s="241"/>
      <c r="AQ100" s="241"/>
      <c r="AR100" s="241"/>
    </row>
    <row r="101">
      <c r="A101" s="385" t="s">
        <v>216</v>
      </c>
      <c r="B101" s="387" t="s">
        <v>366</v>
      </c>
      <c r="C101" s="313">
        <v>8.0</v>
      </c>
      <c r="D101" s="313">
        <v>0.75</v>
      </c>
      <c r="E101" s="393" t="s">
        <v>331</v>
      </c>
      <c r="F101" s="390" t="s">
        <v>329</v>
      </c>
      <c r="G101" s="390" t="s">
        <v>329</v>
      </c>
      <c r="H101" s="313">
        <v>2.0</v>
      </c>
      <c r="I101" s="313" t="s">
        <v>178</v>
      </c>
      <c r="J101" s="313">
        <v>1.0</v>
      </c>
      <c r="K101" s="313" t="s">
        <v>178</v>
      </c>
      <c r="L101" s="313">
        <v>10.0</v>
      </c>
      <c r="M101" s="313" t="s">
        <v>340</v>
      </c>
      <c r="N101" s="233"/>
      <c r="O101" s="233"/>
      <c r="P101" s="233"/>
      <c r="Q101" s="233"/>
      <c r="R101" s="233"/>
      <c r="S101" s="233"/>
      <c r="T101" s="233"/>
      <c r="U101" s="241"/>
      <c r="V101" s="241"/>
      <c r="W101" s="241"/>
      <c r="X101" s="233"/>
      <c r="Y101" s="233"/>
      <c r="Z101" s="312"/>
      <c r="AA101" s="243"/>
      <c r="AB101" s="243"/>
      <c r="AC101" s="243"/>
      <c r="AD101" s="243"/>
      <c r="AE101" s="243"/>
      <c r="AF101" s="243"/>
      <c r="AG101" s="243"/>
      <c r="AH101" s="243"/>
      <c r="AI101" s="243"/>
      <c r="AJ101" s="243"/>
      <c r="AK101" s="241"/>
      <c r="AL101" s="241"/>
      <c r="AM101" s="241"/>
      <c r="AN101" s="241"/>
      <c r="AO101" s="241"/>
      <c r="AP101" s="241"/>
      <c r="AQ101" s="241"/>
      <c r="AR101" s="241"/>
    </row>
    <row r="102">
      <c r="A102" s="385" t="s">
        <v>216</v>
      </c>
      <c r="B102" s="387" t="s">
        <v>367</v>
      </c>
      <c r="C102" s="313">
        <v>6.0</v>
      </c>
      <c r="D102" s="313">
        <v>0.5</v>
      </c>
      <c r="E102" s="393" t="s">
        <v>331</v>
      </c>
      <c r="F102" s="393" t="s">
        <v>331</v>
      </c>
      <c r="G102" s="390" t="s">
        <v>329</v>
      </c>
      <c r="H102" s="313">
        <v>2.0</v>
      </c>
      <c r="I102" s="313" t="s">
        <v>178</v>
      </c>
      <c r="J102" s="313">
        <v>0.9</v>
      </c>
      <c r="K102" s="313" t="s">
        <v>178</v>
      </c>
      <c r="L102" s="313">
        <v>6.0</v>
      </c>
      <c r="M102" s="313" t="s">
        <v>368</v>
      </c>
      <c r="N102" s="233"/>
      <c r="O102" s="233"/>
      <c r="P102" s="233"/>
      <c r="Q102" s="233"/>
      <c r="R102" s="233"/>
      <c r="S102" s="233"/>
      <c r="T102" s="233"/>
      <c r="U102" s="241"/>
      <c r="V102" s="241"/>
      <c r="W102" s="241"/>
      <c r="X102" s="233"/>
      <c r="Y102" s="233"/>
      <c r="Z102" s="312"/>
      <c r="AA102" s="243"/>
      <c r="AB102" s="243"/>
      <c r="AC102" s="243"/>
      <c r="AD102" s="243"/>
      <c r="AE102" s="243"/>
      <c r="AF102" s="243"/>
      <c r="AG102" s="243"/>
      <c r="AH102" s="243"/>
      <c r="AI102" s="243"/>
      <c r="AJ102" s="243"/>
      <c r="AK102" s="241"/>
      <c r="AL102" s="241"/>
      <c r="AM102" s="241"/>
      <c r="AN102" s="241"/>
      <c r="AO102" s="241"/>
      <c r="AP102" s="241"/>
      <c r="AQ102" s="241"/>
      <c r="AR102" s="241"/>
    </row>
    <row r="103">
      <c r="A103" s="385" t="s">
        <v>216</v>
      </c>
      <c r="B103" s="387" t="s">
        <v>369</v>
      </c>
      <c r="C103" s="313">
        <v>8.0</v>
      </c>
      <c r="D103" s="313">
        <v>0.75</v>
      </c>
      <c r="E103" s="393" t="s">
        <v>331</v>
      </c>
      <c r="F103" s="393" t="s">
        <v>331</v>
      </c>
      <c r="G103" s="390" t="s">
        <v>329</v>
      </c>
      <c r="H103" s="313">
        <v>2.0</v>
      </c>
      <c r="I103" s="313" t="s">
        <v>178</v>
      </c>
      <c r="J103" s="313">
        <v>1.0</v>
      </c>
      <c r="K103" s="313" t="s">
        <v>178</v>
      </c>
      <c r="L103" s="313">
        <v>10.0</v>
      </c>
      <c r="M103" s="313" t="s">
        <v>340</v>
      </c>
      <c r="N103" s="233"/>
      <c r="O103" s="233"/>
      <c r="P103" s="233"/>
      <c r="Q103" s="233"/>
      <c r="R103" s="233"/>
      <c r="S103" s="233"/>
      <c r="T103" s="233"/>
      <c r="U103" s="241"/>
      <c r="V103" s="241"/>
      <c r="W103" s="241"/>
      <c r="X103" s="233"/>
      <c r="Y103" s="233"/>
      <c r="Z103" s="312"/>
      <c r="AA103" s="243"/>
      <c r="AB103" s="243"/>
      <c r="AC103" s="243"/>
      <c r="AD103" s="243"/>
      <c r="AE103" s="243"/>
      <c r="AF103" s="243"/>
      <c r="AG103" s="243"/>
      <c r="AH103" s="243"/>
      <c r="AI103" s="243"/>
      <c r="AJ103" s="243"/>
      <c r="AK103" s="241"/>
      <c r="AL103" s="241"/>
      <c r="AM103" s="241"/>
      <c r="AN103" s="241"/>
      <c r="AO103" s="241"/>
      <c r="AP103" s="241"/>
      <c r="AQ103" s="241"/>
      <c r="AR103" s="241"/>
    </row>
    <row r="104">
      <c r="A104" s="385" t="s">
        <v>216</v>
      </c>
      <c r="B104" s="387" t="s">
        <v>370</v>
      </c>
      <c r="C104" s="313">
        <v>12.0</v>
      </c>
      <c r="D104" s="313">
        <v>0.75</v>
      </c>
      <c r="E104" s="390" t="s">
        <v>329</v>
      </c>
      <c r="F104" s="393" t="s">
        <v>331</v>
      </c>
      <c r="G104" s="390" t="s">
        <v>329</v>
      </c>
      <c r="H104" s="313">
        <v>2.0</v>
      </c>
      <c r="I104" s="313" t="s">
        <v>178</v>
      </c>
      <c r="J104" s="313">
        <v>0.75</v>
      </c>
      <c r="K104" s="313" t="s">
        <v>178</v>
      </c>
      <c r="L104" s="313">
        <v>10.0</v>
      </c>
      <c r="M104" s="313" t="s">
        <v>335</v>
      </c>
      <c r="N104" s="233"/>
      <c r="O104" s="233"/>
      <c r="P104" s="233"/>
      <c r="Q104" s="233"/>
      <c r="R104" s="233"/>
      <c r="S104" s="233"/>
      <c r="T104" s="233"/>
      <c r="U104" s="241"/>
      <c r="V104" s="241"/>
      <c r="W104" s="241"/>
      <c r="X104" s="233"/>
      <c r="Y104" s="233"/>
      <c r="Z104" s="312"/>
      <c r="AA104" s="243"/>
      <c r="AB104" s="243"/>
      <c r="AC104" s="243"/>
      <c r="AD104" s="243"/>
      <c r="AE104" s="243"/>
      <c r="AF104" s="243"/>
      <c r="AG104" s="243"/>
      <c r="AH104" s="243"/>
      <c r="AI104" s="243"/>
      <c r="AJ104" s="243"/>
      <c r="AK104" s="241"/>
      <c r="AL104" s="241"/>
      <c r="AM104" s="241"/>
      <c r="AN104" s="241"/>
      <c r="AO104" s="241"/>
      <c r="AP104" s="241"/>
      <c r="AQ104" s="241"/>
      <c r="AR104" s="241"/>
    </row>
    <row r="105">
      <c r="A105" s="385" t="s">
        <v>216</v>
      </c>
      <c r="B105" s="387" t="s">
        <v>371</v>
      </c>
      <c r="C105" s="313">
        <v>10.0</v>
      </c>
      <c r="D105" s="313">
        <v>1.0</v>
      </c>
      <c r="E105" s="393" t="s">
        <v>331</v>
      </c>
      <c r="F105" s="390" t="s">
        <v>329</v>
      </c>
      <c r="G105" s="393" t="s">
        <v>331</v>
      </c>
      <c r="H105" s="313">
        <v>4.0</v>
      </c>
      <c r="I105" s="313" t="s">
        <v>178</v>
      </c>
      <c r="J105" s="313">
        <v>0.0</v>
      </c>
      <c r="K105" s="313" t="s">
        <v>178</v>
      </c>
      <c r="L105" s="313">
        <v>10.0</v>
      </c>
      <c r="M105" s="313" t="s">
        <v>342</v>
      </c>
      <c r="N105" s="233"/>
      <c r="O105" s="233"/>
      <c r="P105" s="233"/>
      <c r="Q105" s="233"/>
      <c r="R105" s="233"/>
      <c r="S105" s="233"/>
      <c r="T105" s="233"/>
      <c r="U105" s="241"/>
      <c r="V105" s="241"/>
      <c r="W105" s="241"/>
      <c r="X105" s="233"/>
      <c r="Y105" s="233"/>
      <c r="Z105" s="312"/>
      <c r="AA105" s="243"/>
      <c r="AB105" s="243"/>
      <c r="AC105" s="243"/>
      <c r="AD105" s="243"/>
      <c r="AE105" s="243"/>
      <c r="AF105" s="243"/>
      <c r="AG105" s="243"/>
      <c r="AH105" s="243"/>
      <c r="AI105" s="243"/>
      <c r="AJ105" s="243"/>
      <c r="AK105" s="241"/>
      <c r="AL105" s="241"/>
      <c r="AM105" s="241"/>
      <c r="AN105" s="241"/>
      <c r="AO105" s="241"/>
      <c r="AP105" s="241"/>
      <c r="AQ105" s="241"/>
      <c r="AR105" s="241"/>
    </row>
    <row r="106">
      <c r="A106" s="385" t="s">
        <v>216</v>
      </c>
      <c r="B106" s="387" t="s">
        <v>372</v>
      </c>
      <c r="C106" s="313">
        <v>10.0</v>
      </c>
      <c r="D106" s="313">
        <v>1.0</v>
      </c>
      <c r="E106" s="390" t="s">
        <v>329</v>
      </c>
      <c r="F106" s="393" t="s">
        <v>331</v>
      </c>
      <c r="G106" s="393" t="s">
        <v>331</v>
      </c>
      <c r="H106" s="313">
        <v>2.0</v>
      </c>
      <c r="I106" s="313" t="s">
        <v>178</v>
      </c>
      <c r="J106" s="313">
        <v>0.9</v>
      </c>
      <c r="K106" s="313" t="s">
        <v>178</v>
      </c>
      <c r="L106" s="313">
        <v>10.0</v>
      </c>
      <c r="M106" s="313" t="s">
        <v>359</v>
      </c>
      <c r="N106" s="233"/>
      <c r="O106" s="233"/>
      <c r="P106" s="233"/>
      <c r="Q106" s="233"/>
      <c r="R106" s="233"/>
      <c r="S106" s="233"/>
      <c r="T106" s="233"/>
      <c r="U106" s="233"/>
      <c r="V106" s="233"/>
      <c r="W106" s="233"/>
      <c r="X106" s="233"/>
      <c r="Y106" s="233"/>
      <c r="Z106" s="312"/>
      <c r="AA106" s="243"/>
      <c r="AB106" s="243"/>
      <c r="AC106" s="243"/>
      <c r="AD106" s="243"/>
      <c r="AE106" s="243"/>
      <c r="AF106" s="243"/>
      <c r="AG106" s="243"/>
      <c r="AH106" s="243"/>
      <c r="AI106" s="243"/>
      <c r="AJ106" s="243"/>
      <c r="AK106" s="241"/>
      <c r="AL106" s="241"/>
      <c r="AM106" s="241"/>
      <c r="AN106" s="241"/>
      <c r="AO106" s="241"/>
      <c r="AP106" s="241"/>
      <c r="AQ106" s="241"/>
      <c r="AR106" s="241"/>
    </row>
    <row r="107">
      <c r="A107" s="385" t="s">
        <v>216</v>
      </c>
      <c r="B107" s="387" t="s">
        <v>373</v>
      </c>
      <c r="C107" s="313">
        <v>6.0</v>
      </c>
      <c r="D107" s="313">
        <v>0.5</v>
      </c>
      <c r="E107" s="393" t="s">
        <v>331</v>
      </c>
      <c r="F107" s="393" t="s">
        <v>331</v>
      </c>
      <c r="G107" s="390" t="s">
        <v>329</v>
      </c>
      <c r="H107" s="313">
        <v>2.0</v>
      </c>
      <c r="I107" s="313" t="s">
        <v>178</v>
      </c>
      <c r="J107" s="313">
        <v>1.0</v>
      </c>
      <c r="K107" s="313" t="s">
        <v>178</v>
      </c>
      <c r="L107" s="313">
        <v>10.0</v>
      </c>
      <c r="M107" s="313" t="s">
        <v>340</v>
      </c>
      <c r="N107" s="233"/>
      <c r="O107" s="233"/>
      <c r="P107" s="233"/>
      <c r="Q107" s="233"/>
      <c r="R107" s="233"/>
      <c r="S107" s="233"/>
      <c r="T107" s="233"/>
      <c r="U107" s="233"/>
      <c r="V107" s="233"/>
      <c r="W107" s="233"/>
      <c r="X107" s="233"/>
      <c r="Y107" s="233"/>
      <c r="Z107" s="312"/>
      <c r="AA107" s="243"/>
      <c r="AB107" s="243"/>
      <c r="AC107" s="243"/>
      <c r="AD107" s="243"/>
      <c r="AE107" s="243"/>
      <c r="AF107" s="243"/>
      <c r="AG107" s="243"/>
      <c r="AH107" s="243"/>
      <c r="AI107" s="243"/>
      <c r="AJ107" s="243"/>
      <c r="AK107" s="241"/>
      <c r="AL107" s="241"/>
      <c r="AM107" s="241"/>
      <c r="AN107" s="241"/>
      <c r="AO107" s="241"/>
      <c r="AP107" s="241"/>
      <c r="AQ107" s="241"/>
      <c r="AR107" s="241"/>
    </row>
    <row r="108">
      <c r="A108" s="385" t="s">
        <v>216</v>
      </c>
      <c r="B108" s="387" t="s">
        <v>374</v>
      </c>
      <c r="C108" s="313">
        <v>8.0</v>
      </c>
      <c r="D108" s="313">
        <v>0.75</v>
      </c>
      <c r="E108" s="393" t="s">
        <v>331</v>
      </c>
      <c r="F108" s="390" t="s">
        <v>329</v>
      </c>
      <c r="G108" s="393" t="s">
        <v>331</v>
      </c>
      <c r="H108" s="313">
        <v>6.0</v>
      </c>
      <c r="I108" s="313" t="s">
        <v>178</v>
      </c>
      <c r="J108" s="313">
        <v>0.0</v>
      </c>
      <c r="K108" s="313" t="s">
        <v>178</v>
      </c>
      <c r="L108" s="313">
        <v>10.0</v>
      </c>
      <c r="M108" s="313" t="s">
        <v>342</v>
      </c>
      <c r="N108" s="233"/>
      <c r="O108" s="233"/>
      <c r="P108" s="233"/>
      <c r="Q108" s="233"/>
      <c r="R108" s="233"/>
      <c r="S108" s="233"/>
      <c r="T108" s="233"/>
      <c r="U108" s="233"/>
      <c r="V108" s="233"/>
      <c r="W108" s="233"/>
      <c r="X108" s="233"/>
      <c r="Y108" s="233"/>
      <c r="Z108" s="312"/>
      <c r="AA108" s="243"/>
      <c r="AB108" s="243"/>
      <c r="AC108" s="243"/>
      <c r="AD108" s="243"/>
      <c r="AE108" s="243"/>
      <c r="AF108" s="243"/>
      <c r="AG108" s="243"/>
      <c r="AH108" s="243"/>
      <c r="AI108" s="243"/>
      <c r="AJ108" s="243"/>
      <c r="AK108" s="241"/>
      <c r="AL108" s="241"/>
      <c r="AM108" s="241"/>
      <c r="AN108" s="241"/>
      <c r="AO108" s="241"/>
      <c r="AP108" s="241"/>
      <c r="AQ108" s="241"/>
      <c r="AR108" s="241"/>
    </row>
    <row r="109">
      <c r="A109" s="385" t="s">
        <v>216</v>
      </c>
      <c r="B109" s="387" t="s">
        <v>375</v>
      </c>
      <c r="C109" s="313">
        <v>8.0</v>
      </c>
      <c r="D109" s="313">
        <v>0.75</v>
      </c>
      <c r="E109" s="393" t="s">
        <v>331</v>
      </c>
      <c r="F109" s="393" t="s">
        <v>331</v>
      </c>
      <c r="G109" s="390" t="s">
        <v>329</v>
      </c>
      <c r="H109" s="313">
        <v>2.0</v>
      </c>
      <c r="I109" s="313" t="s">
        <v>178</v>
      </c>
      <c r="J109" s="313">
        <v>1.0</v>
      </c>
      <c r="K109" s="313" t="s">
        <v>178</v>
      </c>
      <c r="L109" s="313">
        <v>10.0</v>
      </c>
      <c r="M109" s="313" t="s">
        <v>340</v>
      </c>
      <c r="N109" s="233"/>
      <c r="O109" s="233"/>
      <c r="P109" s="233"/>
      <c r="Q109" s="233"/>
      <c r="R109" s="233"/>
      <c r="S109" s="233"/>
      <c r="T109" s="233"/>
      <c r="U109" s="233"/>
      <c r="V109" s="233"/>
      <c r="W109" s="233"/>
      <c r="X109" s="233"/>
      <c r="Y109" s="233"/>
      <c r="Z109" s="312"/>
      <c r="AA109" s="243"/>
      <c r="AB109" s="243"/>
      <c r="AC109" s="243"/>
      <c r="AD109" s="243"/>
      <c r="AE109" s="243"/>
      <c r="AF109" s="243"/>
      <c r="AG109" s="243"/>
      <c r="AH109" s="243"/>
      <c r="AI109" s="243"/>
      <c r="AJ109" s="243"/>
      <c r="AK109" s="241"/>
      <c r="AL109" s="241"/>
      <c r="AM109" s="241"/>
      <c r="AN109" s="241"/>
      <c r="AO109" s="241"/>
      <c r="AP109" s="241"/>
      <c r="AQ109" s="241"/>
      <c r="AR109" s="241"/>
    </row>
    <row r="110">
      <c r="A110" s="385" t="s">
        <v>216</v>
      </c>
      <c r="B110" s="387" t="s">
        <v>376</v>
      </c>
      <c r="C110" s="313">
        <v>8.0</v>
      </c>
      <c r="D110" s="313">
        <v>0.75</v>
      </c>
      <c r="E110" s="393" t="s">
        <v>331</v>
      </c>
      <c r="F110" s="393" t="s">
        <v>331</v>
      </c>
      <c r="G110" s="390" t="s">
        <v>329</v>
      </c>
      <c r="H110" s="313">
        <v>4.0</v>
      </c>
      <c r="I110" s="313" t="s">
        <v>178</v>
      </c>
      <c r="J110" s="313">
        <v>0.75</v>
      </c>
      <c r="K110" s="313" t="s">
        <v>178</v>
      </c>
      <c r="L110" s="313">
        <v>10.0</v>
      </c>
      <c r="M110" s="313" t="s">
        <v>335</v>
      </c>
      <c r="N110" s="233"/>
      <c r="O110" s="233"/>
      <c r="P110" s="233"/>
      <c r="Q110" s="233"/>
      <c r="R110" s="233"/>
      <c r="S110" s="233"/>
      <c r="T110" s="233"/>
      <c r="U110" s="233"/>
      <c r="V110" s="233"/>
      <c r="W110" s="233"/>
      <c r="X110" s="233"/>
      <c r="Y110" s="233"/>
      <c r="Z110" s="312"/>
      <c r="AA110" s="243"/>
      <c r="AB110" s="243"/>
      <c r="AC110" s="243"/>
      <c r="AD110" s="243"/>
      <c r="AE110" s="243"/>
      <c r="AF110" s="243"/>
      <c r="AG110" s="243"/>
      <c r="AH110" s="243"/>
      <c r="AI110" s="243"/>
      <c r="AJ110" s="243"/>
      <c r="AK110" s="241"/>
      <c r="AL110" s="241"/>
      <c r="AM110" s="241"/>
      <c r="AN110" s="241"/>
      <c r="AO110" s="241"/>
      <c r="AP110" s="241"/>
      <c r="AQ110" s="241"/>
      <c r="AR110" s="241"/>
    </row>
    <row r="111">
      <c r="A111" s="385" t="s">
        <v>216</v>
      </c>
      <c r="B111" s="387" t="s">
        <v>377</v>
      </c>
      <c r="C111" s="313">
        <v>8.0</v>
      </c>
      <c r="D111" s="313">
        <v>0.75</v>
      </c>
      <c r="E111" s="393" t="s">
        <v>331</v>
      </c>
      <c r="F111" s="390" t="s">
        <v>329</v>
      </c>
      <c r="G111" s="390" t="s">
        <v>329</v>
      </c>
      <c r="H111" s="313">
        <v>6.0</v>
      </c>
      <c r="I111" s="313" t="s">
        <v>178</v>
      </c>
      <c r="J111" s="313">
        <v>0.0</v>
      </c>
      <c r="K111" s="313" t="s">
        <v>178</v>
      </c>
      <c r="L111" s="313">
        <v>10.0</v>
      </c>
      <c r="M111" s="313" t="s">
        <v>342</v>
      </c>
      <c r="N111" s="233"/>
      <c r="O111" s="233"/>
      <c r="P111" s="233"/>
      <c r="Q111" s="233"/>
      <c r="R111" s="233"/>
      <c r="S111" s="233"/>
      <c r="T111" s="233"/>
      <c r="U111" s="233"/>
      <c r="V111" s="233"/>
      <c r="W111" s="233"/>
      <c r="X111" s="233"/>
      <c r="Y111" s="233"/>
      <c r="Z111" s="312"/>
      <c r="AA111" s="243"/>
      <c r="AB111" s="243"/>
      <c r="AC111" s="243"/>
      <c r="AD111" s="243"/>
      <c r="AE111" s="243"/>
      <c r="AF111" s="243"/>
      <c r="AG111" s="243"/>
      <c r="AH111" s="243"/>
      <c r="AI111" s="243"/>
      <c r="AJ111" s="243"/>
      <c r="AK111" s="241"/>
      <c r="AL111" s="241"/>
      <c r="AM111" s="241"/>
      <c r="AN111" s="241"/>
      <c r="AO111" s="241"/>
      <c r="AP111" s="241"/>
      <c r="AQ111" s="241"/>
      <c r="AR111" s="241"/>
    </row>
    <row r="112">
      <c r="A112" s="385" t="s">
        <v>216</v>
      </c>
      <c r="B112" s="387" t="s">
        <v>378</v>
      </c>
      <c r="C112" s="313">
        <v>10.0</v>
      </c>
      <c r="D112" s="313">
        <v>1.0</v>
      </c>
      <c r="E112" s="390" t="s">
        <v>329</v>
      </c>
      <c r="F112" s="393" t="s">
        <v>331</v>
      </c>
      <c r="G112" s="390" t="s">
        <v>329</v>
      </c>
      <c r="H112" s="313">
        <v>4.0</v>
      </c>
      <c r="I112" s="313" t="s">
        <v>178</v>
      </c>
      <c r="J112" s="313">
        <v>0.0</v>
      </c>
      <c r="K112" s="313" t="s">
        <v>178</v>
      </c>
      <c r="L112" s="313">
        <v>10.0</v>
      </c>
      <c r="M112" s="313" t="s">
        <v>342</v>
      </c>
      <c r="N112" s="233"/>
      <c r="O112" s="233"/>
      <c r="P112" s="233"/>
      <c r="Q112" s="233"/>
      <c r="R112" s="233"/>
      <c r="S112" s="233"/>
      <c r="T112" s="233"/>
      <c r="U112" s="233"/>
      <c r="V112" s="233"/>
      <c r="W112" s="233"/>
      <c r="X112" s="233"/>
      <c r="Y112" s="233"/>
      <c r="Z112" s="312"/>
      <c r="AA112" s="243"/>
      <c r="AB112" s="243"/>
      <c r="AC112" s="243"/>
      <c r="AD112" s="243"/>
      <c r="AE112" s="243"/>
      <c r="AF112" s="243"/>
      <c r="AG112" s="243"/>
      <c r="AH112" s="243"/>
      <c r="AI112" s="243"/>
      <c r="AJ112" s="243"/>
      <c r="AK112" s="241"/>
      <c r="AL112" s="241"/>
      <c r="AM112" s="241"/>
      <c r="AN112" s="241"/>
      <c r="AO112" s="241"/>
      <c r="AP112" s="241"/>
      <c r="AQ112" s="241"/>
      <c r="AR112" s="241"/>
    </row>
    <row r="113">
      <c r="A113" s="385" t="s">
        <v>216</v>
      </c>
      <c r="B113" s="387" t="s">
        <v>379</v>
      </c>
      <c r="C113" s="313">
        <v>6.0</v>
      </c>
      <c r="D113" s="313">
        <v>0.5</v>
      </c>
      <c r="E113" s="393" t="s">
        <v>331</v>
      </c>
      <c r="F113" s="393" t="s">
        <v>331</v>
      </c>
      <c r="G113" s="390" t="s">
        <v>329</v>
      </c>
      <c r="H113" s="313">
        <v>2.0</v>
      </c>
      <c r="I113" s="313" t="s">
        <v>178</v>
      </c>
      <c r="J113" s="313">
        <v>1.0</v>
      </c>
      <c r="K113" s="313" t="s">
        <v>178</v>
      </c>
      <c r="L113" s="313">
        <v>5.0</v>
      </c>
      <c r="M113" s="313" t="s">
        <v>380</v>
      </c>
      <c r="N113" s="233"/>
      <c r="O113" s="233"/>
      <c r="P113" s="233"/>
      <c r="Q113" s="233"/>
      <c r="R113" s="233"/>
      <c r="S113" s="233"/>
      <c r="T113" s="233"/>
      <c r="U113" s="233"/>
      <c r="V113" s="233"/>
      <c r="W113" s="233"/>
      <c r="X113" s="233"/>
      <c r="Y113" s="233"/>
      <c r="Z113" s="312"/>
      <c r="AA113" s="243"/>
      <c r="AB113" s="243"/>
      <c r="AC113" s="243"/>
      <c r="AD113" s="243"/>
      <c r="AE113" s="243"/>
      <c r="AF113" s="243"/>
      <c r="AG113" s="243"/>
      <c r="AH113" s="243"/>
      <c r="AI113" s="243"/>
      <c r="AJ113" s="243"/>
      <c r="AK113" s="241"/>
      <c r="AL113" s="241"/>
      <c r="AM113" s="241"/>
      <c r="AN113" s="241"/>
      <c r="AO113" s="241"/>
      <c r="AP113" s="241"/>
      <c r="AQ113" s="241"/>
      <c r="AR113" s="241"/>
    </row>
    <row r="114">
      <c r="A114" s="385" t="s">
        <v>216</v>
      </c>
      <c r="B114" s="387" t="s">
        <v>382</v>
      </c>
      <c r="C114" s="313">
        <v>10.0</v>
      </c>
      <c r="D114" s="313">
        <v>1.0</v>
      </c>
      <c r="E114" s="390" t="s">
        <v>329</v>
      </c>
      <c r="F114" s="393" t="s">
        <v>331</v>
      </c>
      <c r="G114" s="393" t="s">
        <v>331</v>
      </c>
      <c r="H114" s="313">
        <v>2.0</v>
      </c>
      <c r="I114" s="313" t="s">
        <v>178</v>
      </c>
      <c r="J114" s="313">
        <v>0.0</v>
      </c>
      <c r="K114" s="313" t="s">
        <v>178</v>
      </c>
      <c r="L114" s="313">
        <v>10.0</v>
      </c>
      <c r="M114" s="313" t="s">
        <v>342</v>
      </c>
      <c r="N114" s="233"/>
      <c r="O114" s="233"/>
      <c r="P114" s="233"/>
      <c r="Q114" s="233"/>
      <c r="R114" s="233"/>
      <c r="S114" s="233"/>
      <c r="T114" s="233"/>
      <c r="U114" s="233"/>
      <c r="V114" s="233"/>
      <c r="W114" s="233"/>
      <c r="X114" s="233"/>
      <c r="Y114" s="233"/>
      <c r="Z114" s="312"/>
      <c r="AA114" s="243"/>
      <c r="AB114" s="243"/>
      <c r="AC114" s="243"/>
      <c r="AD114" s="243"/>
      <c r="AE114" s="243"/>
      <c r="AF114" s="243"/>
      <c r="AG114" s="243"/>
      <c r="AH114" s="243"/>
      <c r="AI114" s="243"/>
      <c r="AJ114" s="243"/>
      <c r="AK114" s="241"/>
      <c r="AL114" s="241"/>
      <c r="AM114" s="241"/>
      <c r="AN114" s="241"/>
      <c r="AO114" s="241"/>
      <c r="AP114" s="241"/>
      <c r="AQ114" s="241"/>
      <c r="AR114" s="241"/>
    </row>
    <row r="115">
      <c r="A115" s="385" t="s">
        <v>216</v>
      </c>
      <c r="B115" s="387" t="s">
        <v>383</v>
      </c>
      <c r="C115" s="313">
        <v>10.0</v>
      </c>
      <c r="D115" s="313">
        <v>1.0</v>
      </c>
      <c r="E115" s="393" t="s">
        <v>331</v>
      </c>
      <c r="F115" s="390" t="s">
        <v>329</v>
      </c>
      <c r="G115" s="390" t="s">
        <v>329</v>
      </c>
      <c r="H115" s="313">
        <v>4.0</v>
      </c>
      <c r="I115" s="313" t="s">
        <v>178</v>
      </c>
      <c r="J115" s="313">
        <v>0.0</v>
      </c>
      <c r="K115" s="313" t="s">
        <v>178</v>
      </c>
      <c r="L115" s="313">
        <v>10.0</v>
      </c>
      <c r="M115" s="313" t="s">
        <v>342</v>
      </c>
      <c r="N115" s="233"/>
      <c r="O115" s="233"/>
      <c r="P115" s="233"/>
      <c r="Q115" s="233"/>
      <c r="R115" s="233"/>
      <c r="S115" s="233"/>
      <c r="T115" s="233"/>
      <c r="U115" s="233"/>
      <c r="V115" s="233"/>
      <c r="W115" s="233"/>
      <c r="X115" s="233"/>
      <c r="Y115" s="233"/>
      <c r="Z115" s="312"/>
      <c r="AA115" s="243"/>
      <c r="AB115" s="243"/>
      <c r="AC115" s="243"/>
      <c r="AD115" s="243"/>
      <c r="AE115" s="243"/>
      <c r="AF115" s="243"/>
      <c r="AG115" s="243"/>
      <c r="AH115" s="243"/>
      <c r="AI115" s="243"/>
      <c r="AJ115" s="243"/>
      <c r="AK115" s="241"/>
      <c r="AL115" s="241"/>
      <c r="AM115" s="241"/>
      <c r="AN115" s="241"/>
      <c r="AO115" s="241"/>
      <c r="AP115" s="241"/>
      <c r="AQ115" s="241"/>
      <c r="AR115" s="241"/>
    </row>
    <row r="116">
      <c r="A116" s="385" t="s">
        <v>216</v>
      </c>
      <c r="B116" s="387" t="s">
        <v>384</v>
      </c>
      <c r="C116" s="313">
        <v>8.0</v>
      </c>
      <c r="D116" s="313">
        <v>0.75</v>
      </c>
      <c r="E116" s="390" t="s">
        <v>329</v>
      </c>
      <c r="F116" s="393" t="s">
        <v>331</v>
      </c>
      <c r="G116" s="390" t="s">
        <v>329</v>
      </c>
      <c r="H116" s="313">
        <v>6.0</v>
      </c>
      <c r="I116" s="313" t="s">
        <v>178</v>
      </c>
      <c r="J116" s="313">
        <v>0.75</v>
      </c>
      <c r="K116" s="313" t="s">
        <v>178</v>
      </c>
      <c r="L116" s="313">
        <v>10.0</v>
      </c>
      <c r="M116" s="313" t="s">
        <v>335</v>
      </c>
      <c r="N116" s="233"/>
      <c r="O116" s="233"/>
      <c r="P116" s="233"/>
      <c r="Q116" s="233"/>
      <c r="R116" s="233"/>
      <c r="S116" s="233"/>
      <c r="T116" s="233"/>
      <c r="U116" s="233"/>
      <c r="V116" s="233"/>
      <c r="W116" s="233"/>
      <c r="X116" s="233"/>
      <c r="Y116" s="233"/>
      <c r="Z116" s="312"/>
      <c r="AA116" s="243"/>
      <c r="AB116" s="243"/>
      <c r="AC116" s="243"/>
      <c r="AD116" s="243"/>
      <c r="AE116" s="243"/>
      <c r="AF116" s="243"/>
      <c r="AG116" s="243"/>
      <c r="AH116" s="243"/>
      <c r="AI116" s="243"/>
      <c r="AJ116" s="243"/>
      <c r="AK116" s="241"/>
      <c r="AL116" s="241"/>
      <c r="AM116" s="241"/>
      <c r="AN116" s="241"/>
      <c r="AO116" s="241"/>
      <c r="AP116" s="241"/>
      <c r="AQ116" s="241"/>
      <c r="AR116" s="241"/>
    </row>
    <row r="117">
      <c r="A117" s="385" t="s">
        <v>216</v>
      </c>
      <c r="B117" s="387" t="s">
        <v>386</v>
      </c>
      <c r="C117" s="313">
        <v>8.0</v>
      </c>
      <c r="D117" s="313">
        <v>0.75</v>
      </c>
      <c r="E117" s="393" t="s">
        <v>331</v>
      </c>
      <c r="F117" s="393" t="s">
        <v>331</v>
      </c>
      <c r="G117" s="390" t="s">
        <v>329</v>
      </c>
      <c r="H117" s="313">
        <v>4.0</v>
      </c>
      <c r="I117" s="313" t="s">
        <v>178</v>
      </c>
      <c r="J117" s="313">
        <v>1.0</v>
      </c>
      <c r="K117" s="313" t="s">
        <v>178</v>
      </c>
      <c r="L117" s="313">
        <v>10.0</v>
      </c>
      <c r="M117" s="313" t="s">
        <v>340</v>
      </c>
      <c r="N117" s="233"/>
      <c r="O117" s="233"/>
      <c r="P117" s="233"/>
      <c r="Q117" s="233"/>
      <c r="R117" s="233"/>
      <c r="S117" s="233"/>
      <c r="T117" s="233"/>
      <c r="U117" s="233"/>
      <c r="V117" s="233"/>
      <c r="W117" s="233"/>
      <c r="X117" s="233"/>
      <c r="Y117" s="233"/>
      <c r="Z117" s="312"/>
      <c r="AA117" s="243"/>
      <c r="AB117" s="243"/>
      <c r="AC117" s="243"/>
      <c r="AD117" s="243"/>
      <c r="AE117" s="243"/>
      <c r="AF117" s="243"/>
      <c r="AG117" s="243"/>
      <c r="AH117" s="243"/>
      <c r="AI117" s="243"/>
      <c r="AJ117" s="243"/>
      <c r="AK117" s="241"/>
      <c r="AL117" s="241"/>
      <c r="AM117" s="241"/>
      <c r="AN117" s="241"/>
      <c r="AO117" s="241"/>
      <c r="AP117" s="241"/>
      <c r="AQ117" s="241"/>
      <c r="AR117" s="241"/>
    </row>
    <row r="118">
      <c r="A118" s="385" t="s">
        <v>216</v>
      </c>
      <c r="B118" s="387" t="s">
        <v>387</v>
      </c>
      <c r="C118" s="313">
        <v>8.0</v>
      </c>
      <c r="D118" s="313">
        <v>0.75</v>
      </c>
      <c r="E118" s="393" t="s">
        <v>331</v>
      </c>
      <c r="F118" s="390" t="s">
        <v>329</v>
      </c>
      <c r="G118" s="393" t="s">
        <v>331</v>
      </c>
      <c r="H118" s="313">
        <v>6.0</v>
      </c>
      <c r="I118" s="313" t="s">
        <v>178</v>
      </c>
      <c r="J118" s="313">
        <v>0.0</v>
      </c>
      <c r="K118" s="313" t="s">
        <v>178</v>
      </c>
      <c r="L118" s="313">
        <v>10.0</v>
      </c>
      <c r="M118" s="313" t="s">
        <v>342</v>
      </c>
      <c r="N118" s="233"/>
      <c r="O118" s="233"/>
      <c r="P118" s="233"/>
      <c r="Q118" s="233"/>
      <c r="R118" s="233"/>
      <c r="S118" s="233"/>
      <c r="T118" s="233"/>
      <c r="U118" s="233"/>
      <c r="V118" s="233"/>
      <c r="W118" s="233"/>
      <c r="X118" s="233"/>
      <c r="Y118" s="233"/>
      <c r="Z118" s="312"/>
      <c r="AA118" s="243"/>
      <c r="AB118" s="243"/>
      <c r="AC118" s="243"/>
      <c r="AD118" s="243"/>
      <c r="AE118" s="243"/>
      <c r="AF118" s="243"/>
      <c r="AG118" s="243"/>
      <c r="AH118" s="243"/>
      <c r="AI118" s="243"/>
      <c r="AJ118" s="243"/>
      <c r="AK118" s="241"/>
      <c r="AL118" s="241"/>
      <c r="AM118" s="241"/>
      <c r="AN118" s="241"/>
      <c r="AO118" s="241"/>
      <c r="AP118" s="241"/>
      <c r="AQ118" s="241"/>
      <c r="AR118" s="241"/>
    </row>
    <row r="119">
      <c r="A119" s="385" t="s">
        <v>216</v>
      </c>
      <c r="B119" s="387" t="s">
        <v>388</v>
      </c>
      <c r="C119" s="313">
        <v>8.0</v>
      </c>
      <c r="D119" s="313">
        <v>0.75</v>
      </c>
      <c r="E119" s="393" t="s">
        <v>331</v>
      </c>
      <c r="F119" s="390" t="s">
        <v>329</v>
      </c>
      <c r="G119" s="393" t="s">
        <v>331</v>
      </c>
      <c r="H119" s="313">
        <v>4.0</v>
      </c>
      <c r="I119" s="313" t="s">
        <v>178</v>
      </c>
      <c r="J119" s="313">
        <v>0.0</v>
      </c>
      <c r="K119" s="313" t="s">
        <v>178</v>
      </c>
      <c r="L119" s="313">
        <v>10.0</v>
      </c>
      <c r="M119" s="313" t="s">
        <v>342</v>
      </c>
      <c r="N119" s="233"/>
      <c r="O119" s="233"/>
      <c r="P119" s="233"/>
      <c r="Q119" s="233"/>
      <c r="R119" s="233"/>
      <c r="S119" s="233"/>
      <c r="T119" s="233"/>
      <c r="U119" s="233"/>
      <c r="V119" s="233"/>
      <c r="W119" s="233"/>
      <c r="X119" s="233"/>
      <c r="Y119" s="233"/>
      <c r="Z119" s="312"/>
      <c r="AA119" s="243"/>
      <c r="AB119" s="243"/>
      <c r="AC119" s="243"/>
      <c r="AD119" s="243"/>
      <c r="AE119" s="243"/>
      <c r="AF119" s="243"/>
      <c r="AG119" s="243"/>
      <c r="AH119" s="243"/>
      <c r="AI119" s="243"/>
      <c r="AJ119" s="243"/>
      <c r="AK119" s="241"/>
      <c r="AL119" s="241"/>
      <c r="AM119" s="241"/>
      <c r="AN119" s="241"/>
      <c r="AO119" s="241"/>
      <c r="AP119" s="241"/>
      <c r="AQ119" s="241"/>
      <c r="AR119" s="241"/>
    </row>
    <row r="120">
      <c r="A120" s="385" t="s">
        <v>216</v>
      </c>
      <c r="B120" s="387" t="s">
        <v>389</v>
      </c>
      <c r="C120" s="313">
        <v>8.0</v>
      </c>
      <c r="D120" s="313">
        <v>0.75</v>
      </c>
      <c r="E120" s="390" t="s">
        <v>329</v>
      </c>
      <c r="F120" s="393" t="s">
        <v>331</v>
      </c>
      <c r="G120" s="393" t="s">
        <v>331</v>
      </c>
      <c r="H120" s="313">
        <v>4.0</v>
      </c>
      <c r="I120" s="313" t="s">
        <v>178</v>
      </c>
      <c r="J120" s="313">
        <v>0.0</v>
      </c>
      <c r="K120" s="313" t="s">
        <v>178</v>
      </c>
      <c r="L120" s="313">
        <v>10.0</v>
      </c>
      <c r="M120" s="313" t="s">
        <v>342</v>
      </c>
      <c r="N120" s="233"/>
      <c r="O120" s="233"/>
      <c r="P120" s="233"/>
      <c r="Q120" s="233"/>
      <c r="R120" s="233"/>
      <c r="S120" s="233"/>
      <c r="T120" s="233"/>
      <c r="U120" s="233"/>
      <c r="V120" s="233"/>
      <c r="W120" s="233"/>
      <c r="X120" s="233"/>
      <c r="Y120" s="233"/>
      <c r="Z120" s="312"/>
      <c r="AA120" s="243"/>
      <c r="AB120" s="243"/>
      <c r="AC120" s="243"/>
      <c r="AD120" s="243"/>
      <c r="AE120" s="243"/>
      <c r="AF120" s="243"/>
      <c r="AG120" s="243"/>
      <c r="AH120" s="243"/>
      <c r="AI120" s="243"/>
      <c r="AJ120" s="243"/>
      <c r="AK120" s="241"/>
      <c r="AL120" s="241"/>
      <c r="AM120" s="241"/>
      <c r="AN120" s="241"/>
      <c r="AO120" s="241"/>
      <c r="AP120" s="241"/>
      <c r="AQ120" s="241"/>
      <c r="AR120" s="241"/>
    </row>
    <row r="121">
      <c r="A121" s="385" t="s">
        <v>216</v>
      </c>
      <c r="B121" s="387" t="s">
        <v>390</v>
      </c>
      <c r="C121" s="313">
        <v>8.0</v>
      </c>
      <c r="D121" s="313">
        <v>0.75</v>
      </c>
      <c r="E121" s="393" t="s">
        <v>331</v>
      </c>
      <c r="F121" s="390" t="s">
        <v>329</v>
      </c>
      <c r="G121" s="390" t="s">
        <v>329</v>
      </c>
      <c r="H121" s="313">
        <v>6.0</v>
      </c>
      <c r="I121" s="313" t="s">
        <v>178</v>
      </c>
      <c r="J121" s="313">
        <v>0.0</v>
      </c>
      <c r="K121" s="313" t="s">
        <v>178</v>
      </c>
      <c r="L121" s="313">
        <v>5.0</v>
      </c>
      <c r="M121" s="313" t="s">
        <v>342</v>
      </c>
      <c r="N121" s="233"/>
      <c r="O121" s="233"/>
      <c r="P121" s="233"/>
      <c r="Q121" s="233"/>
      <c r="R121" s="233"/>
      <c r="S121" s="233"/>
      <c r="T121" s="233"/>
      <c r="U121" s="233"/>
      <c r="V121" s="233"/>
      <c r="W121" s="233"/>
      <c r="X121" s="233"/>
      <c r="Y121" s="233"/>
      <c r="Z121" s="312"/>
      <c r="AA121" s="243"/>
      <c r="AB121" s="243"/>
      <c r="AC121" s="243"/>
      <c r="AD121" s="243"/>
      <c r="AE121" s="243"/>
      <c r="AF121" s="243"/>
      <c r="AG121" s="243"/>
      <c r="AH121" s="243"/>
      <c r="AI121" s="243"/>
      <c r="AJ121" s="243"/>
      <c r="AK121" s="241"/>
      <c r="AL121" s="241"/>
      <c r="AM121" s="241"/>
      <c r="AN121" s="241"/>
      <c r="AO121" s="241"/>
      <c r="AP121" s="241"/>
      <c r="AQ121" s="241"/>
      <c r="AR121" s="241"/>
    </row>
    <row r="122">
      <c r="A122" s="385" t="s">
        <v>216</v>
      </c>
      <c r="B122" s="387" t="s">
        <v>391</v>
      </c>
      <c r="C122" s="313">
        <v>6.0</v>
      </c>
      <c r="D122" s="313">
        <v>0.5</v>
      </c>
      <c r="E122" s="393" t="s">
        <v>331</v>
      </c>
      <c r="F122" s="393" t="s">
        <v>331</v>
      </c>
      <c r="G122" s="390" t="s">
        <v>329</v>
      </c>
      <c r="H122" s="313">
        <v>2.0</v>
      </c>
      <c r="I122" s="313" t="s">
        <v>178</v>
      </c>
      <c r="J122" s="313">
        <v>1.0</v>
      </c>
      <c r="K122" s="313" t="s">
        <v>178</v>
      </c>
      <c r="L122" s="313">
        <v>10.0</v>
      </c>
      <c r="M122" s="313" t="s">
        <v>340</v>
      </c>
      <c r="N122" s="233"/>
      <c r="O122" s="233"/>
      <c r="P122" s="233"/>
      <c r="Q122" s="233"/>
      <c r="R122" s="233"/>
      <c r="S122" s="233"/>
      <c r="T122" s="233"/>
      <c r="U122" s="233"/>
      <c r="V122" s="233"/>
      <c r="W122" s="233"/>
      <c r="X122" s="233"/>
      <c r="Y122" s="233"/>
      <c r="Z122" s="312"/>
      <c r="AA122" s="243"/>
      <c r="AB122" s="243"/>
      <c r="AC122" s="243"/>
      <c r="AD122" s="243"/>
      <c r="AE122" s="243"/>
      <c r="AF122" s="243"/>
      <c r="AG122" s="243"/>
      <c r="AH122" s="243"/>
      <c r="AI122" s="243"/>
      <c r="AJ122" s="243"/>
      <c r="AK122" s="241"/>
      <c r="AL122" s="241"/>
      <c r="AM122" s="241"/>
      <c r="AN122" s="241"/>
      <c r="AO122" s="241"/>
      <c r="AP122" s="241"/>
      <c r="AQ122" s="241"/>
      <c r="AR122" s="241"/>
    </row>
    <row r="123">
      <c r="A123" s="385" t="s">
        <v>216</v>
      </c>
      <c r="B123" s="387" t="s">
        <v>393</v>
      </c>
      <c r="C123" s="313">
        <v>10.0</v>
      </c>
      <c r="D123" s="313">
        <v>1.0</v>
      </c>
      <c r="E123" s="390" t="s">
        <v>329</v>
      </c>
      <c r="F123" s="393" t="s">
        <v>331</v>
      </c>
      <c r="G123" s="393" t="s">
        <v>331</v>
      </c>
      <c r="H123" s="313">
        <v>2.0</v>
      </c>
      <c r="I123" s="313" t="s">
        <v>178</v>
      </c>
      <c r="J123" s="313">
        <v>0.0</v>
      </c>
      <c r="K123" s="313" t="s">
        <v>178</v>
      </c>
      <c r="L123" s="313">
        <v>10.0</v>
      </c>
      <c r="M123" s="313" t="s">
        <v>342</v>
      </c>
      <c r="N123" s="233"/>
      <c r="O123" s="233"/>
      <c r="P123" s="233"/>
      <c r="Q123" s="233"/>
      <c r="R123" s="233"/>
      <c r="S123" s="233"/>
      <c r="T123" s="233"/>
      <c r="U123" s="233"/>
      <c r="V123" s="233"/>
      <c r="W123" s="233"/>
      <c r="X123" s="233"/>
      <c r="Y123" s="233"/>
      <c r="Z123" s="312"/>
      <c r="AA123" s="243"/>
      <c r="AB123" s="243"/>
      <c r="AC123" s="243"/>
      <c r="AD123" s="243"/>
      <c r="AE123" s="243"/>
      <c r="AF123" s="243"/>
      <c r="AG123" s="243"/>
      <c r="AH123" s="243"/>
      <c r="AI123" s="243"/>
      <c r="AJ123" s="243"/>
      <c r="AK123" s="241"/>
      <c r="AL123" s="241"/>
      <c r="AM123" s="241"/>
      <c r="AN123" s="241"/>
      <c r="AO123" s="241"/>
      <c r="AP123" s="241"/>
      <c r="AQ123" s="241"/>
      <c r="AR123" s="241"/>
    </row>
    <row r="124">
      <c r="A124" s="385" t="s">
        <v>216</v>
      </c>
      <c r="B124" s="387" t="s">
        <v>395</v>
      </c>
      <c r="C124" s="313">
        <v>8.0</v>
      </c>
      <c r="D124" s="313">
        <v>0.75</v>
      </c>
      <c r="E124" s="393" t="s">
        <v>331</v>
      </c>
      <c r="F124" s="393" t="s">
        <v>331</v>
      </c>
      <c r="G124" s="390" t="s">
        <v>329</v>
      </c>
      <c r="H124" s="313">
        <v>2.0</v>
      </c>
      <c r="I124" s="313" t="s">
        <v>178</v>
      </c>
      <c r="J124" s="313">
        <v>1.0</v>
      </c>
      <c r="K124" s="313" t="s">
        <v>178</v>
      </c>
      <c r="L124" s="313">
        <v>10.0</v>
      </c>
      <c r="M124" s="313" t="s">
        <v>340</v>
      </c>
      <c r="N124" s="233"/>
      <c r="O124" s="233"/>
      <c r="P124" s="233"/>
      <c r="Q124" s="233"/>
      <c r="R124" s="233"/>
      <c r="S124" s="233"/>
      <c r="T124" s="233"/>
      <c r="U124" s="233"/>
      <c r="V124" s="233"/>
      <c r="W124" s="233"/>
      <c r="X124" s="233"/>
      <c r="Y124" s="233"/>
      <c r="Z124" s="312"/>
      <c r="AA124" s="243"/>
      <c r="AB124" s="243"/>
      <c r="AC124" s="243"/>
      <c r="AD124" s="243"/>
      <c r="AE124" s="243"/>
      <c r="AF124" s="243"/>
      <c r="AG124" s="243"/>
      <c r="AH124" s="243"/>
      <c r="AI124" s="243"/>
      <c r="AJ124" s="243"/>
      <c r="AK124" s="241"/>
      <c r="AL124" s="241"/>
      <c r="AM124" s="241"/>
      <c r="AN124" s="241"/>
      <c r="AO124" s="241"/>
      <c r="AP124" s="241"/>
      <c r="AQ124" s="241"/>
      <c r="AR124" s="241"/>
    </row>
    <row r="125">
      <c r="A125" s="385" t="s">
        <v>216</v>
      </c>
      <c r="B125" s="387" t="s">
        <v>396</v>
      </c>
      <c r="C125" s="313">
        <v>10.0</v>
      </c>
      <c r="D125" s="313">
        <v>1.0</v>
      </c>
      <c r="E125" s="390" t="s">
        <v>329</v>
      </c>
      <c r="F125" s="393" t="s">
        <v>331</v>
      </c>
      <c r="G125" s="390" t="s">
        <v>329</v>
      </c>
      <c r="H125" s="313">
        <v>2.0</v>
      </c>
      <c r="I125" s="313" t="s">
        <v>178</v>
      </c>
      <c r="J125" s="313">
        <v>0.75</v>
      </c>
      <c r="K125" s="313" t="s">
        <v>178</v>
      </c>
      <c r="L125" s="313">
        <v>10.0</v>
      </c>
      <c r="M125" s="313" t="s">
        <v>335</v>
      </c>
      <c r="N125" s="233"/>
      <c r="O125" s="233"/>
      <c r="P125" s="233"/>
      <c r="Q125" s="233"/>
      <c r="R125" s="233"/>
      <c r="S125" s="233"/>
      <c r="T125" s="233"/>
      <c r="U125" s="233"/>
      <c r="V125" s="233"/>
      <c r="W125" s="233"/>
      <c r="X125" s="233"/>
      <c r="Y125" s="233"/>
      <c r="Z125" s="312"/>
      <c r="AA125" s="243"/>
      <c r="AB125" s="243"/>
      <c r="AC125" s="243"/>
      <c r="AD125" s="243"/>
      <c r="AE125" s="243"/>
      <c r="AF125" s="243"/>
      <c r="AG125" s="243"/>
      <c r="AH125" s="243"/>
      <c r="AI125" s="243"/>
      <c r="AJ125" s="243"/>
      <c r="AK125" s="241"/>
      <c r="AL125" s="241"/>
      <c r="AM125" s="241"/>
      <c r="AN125" s="241"/>
      <c r="AO125" s="241"/>
      <c r="AP125" s="241"/>
      <c r="AQ125" s="241"/>
      <c r="AR125" s="241"/>
    </row>
    <row r="126">
      <c r="A126" s="385" t="s">
        <v>216</v>
      </c>
      <c r="B126" s="387" t="s">
        <v>397</v>
      </c>
      <c r="C126" s="313">
        <v>10.0</v>
      </c>
      <c r="D126" s="313">
        <v>1.0</v>
      </c>
      <c r="E126" s="390" t="s">
        <v>329</v>
      </c>
      <c r="F126" s="393" t="s">
        <v>331</v>
      </c>
      <c r="G126" s="393" t="s">
        <v>331</v>
      </c>
      <c r="H126" s="313">
        <v>6.0</v>
      </c>
      <c r="I126" s="313" t="s">
        <v>178</v>
      </c>
      <c r="J126" s="313">
        <v>0.0</v>
      </c>
      <c r="K126" s="313" t="s">
        <v>178</v>
      </c>
      <c r="L126" s="313">
        <v>10.0</v>
      </c>
      <c r="M126" s="313" t="s">
        <v>342</v>
      </c>
      <c r="N126" s="233"/>
      <c r="O126" s="233"/>
      <c r="P126" s="233"/>
      <c r="Q126" s="233"/>
      <c r="R126" s="233"/>
      <c r="S126" s="233"/>
      <c r="T126" s="233"/>
      <c r="U126" s="233"/>
      <c r="V126" s="233"/>
      <c r="W126" s="233"/>
      <c r="X126" s="233"/>
      <c r="Y126" s="233"/>
      <c r="Z126" s="312"/>
      <c r="AA126" s="243"/>
      <c r="AB126" s="243"/>
      <c r="AC126" s="243"/>
      <c r="AD126" s="243"/>
      <c r="AE126" s="243"/>
      <c r="AF126" s="243"/>
      <c r="AG126" s="243"/>
      <c r="AH126" s="243"/>
      <c r="AI126" s="243"/>
      <c r="AJ126" s="243"/>
      <c r="AK126" s="241"/>
      <c r="AL126" s="241"/>
      <c r="AM126" s="241"/>
      <c r="AN126" s="241"/>
      <c r="AO126" s="241"/>
      <c r="AP126" s="241"/>
      <c r="AQ126" s="241"/>
      <c r="AR126" s="241"/>
    </row>
    <row r="127">
      <c r="A127" s="385" t="s">
        <v>216</v>
      </c>
      <c r="B127" s="387" t="s">
        <v>399</v>
      </c>
      <c r="C127" s="313">
        <v>10.0</v>
      </c>
      <c r="D127" s="313">
        <v>1.0</v>
      </c>
      <c r="E127" s="390" t="s">
        <v>329</v>
      </c>
      <c r="F127" s="393" t="s">
        <v>331</v>
      </c>
      <c r="G127" s="390" t="s">
        <v>329</v>
      </c>
      <c r="H127" s="313">
        <v>2.0</v>
      </c>
      <c r="I127" s="313" t="s">
        <v>178</v>
      </c>
      <c r="J127" s="313">
        <v>1.0</v>
      </c>
      <c r="K127" s="313" t="s">
        <v>178</v>
      </c>
      <c r="L127" s="313">
        <v>3.0</v>
      </c>
      <c r="M127" s="313" t="s">
        <v>400</v>
      </c>
      <c r="N127" s="233"/>
      <c r="O127" s="233"/>
      <c r="P127" s="233"/>
      <c r="Q127" s="233"/>
      <c r="R127" s="233"/>
      <c r="S127" s="233"/>
      <c r="T127" s="233"/>
      <c r="U127" s="233"/>
      <c r="V127" s="233"/>
      <c r="W127" s="233"/>
      <c r="X127" s="233"/>
      <c r="Y127" s="233"/>
      <c r="Z127" s="312"/>
      <c r="AA127" s="243"/>
      <c r="AB127" s="243"/>
      <c r="AC127" s="243"/>
      <c r="AD127" s="243"/>
      <c r="AE127" s="243"/>
      <c r="AF127" s="243"/>
      <c r="AG127" s="243"/>
      <c r="AH127" s="243"/>
      <c r="AI127" s="243"/>
      <c r="AJ127" s="243"/>
      <c r="AK127" s="241"/>
      <c r="AL127" s="241"/>
      <c r="AM127" s="241"/>
      <c r="AN127" s="241"/>
      <c r="AO127" s="241"/>
      <c r="AP127" s="241"/>
      <c r="AQ127" s="241"/>
      <c r="AR127" s="241"/>
    </row>
    <row r="128">
      <c r="A128" s="385" t="s">
        <v>216</v>
      </c>
      <c r="B128" s="387" t="s">
        <v>402</v>
      </c>
      <c r="C128" s="313">
        <v>8.0</v>
      </c>
      <c r="D128" s="313">
        <v>1.0</v>
      </c>
      <c r="E128" s="390" t="s">
        <v>329</v>
      </c>
      <c r="F128" s="390" t="s">
        <v>329</v>
      </c>
      <c r="G128" s="393" t="s">
        <v>331</v>
      </c>
      <c r="H128" s="313">
        <v>4.0</v>
      </c>
      <c r="I128" s="313" t="s">
        <v>178</v>
      </c>
      <c r="J128" s="313">
        <v>0.0</v>
      </c>
      <c r="K128" s="313" t="s">
        <v>178</v>
      </c>
      <c r="L128" s="313">
        <v>3.0</v>
      </c>
      <c r="M128" s="313" t="s">
        <v>342</v>
      </c>
      <c r="N128" s="233"/>
      <c r="O128" s="233"/>
      <c r="P128" s="233"/>
      <c r="Q128" s="233"/>
      <c r="R128" s="233"/>
      <c r="S128" s="233"/>
      <c r="T128" s="233"/>
      <c r="U128" s="233"/>
      <c r="V128" s="233"/>
      <c r="W128" s="233"/>
      <c r="X128" s="233"/>
      <c r="Y128" s="233"/>
      <c r="Z128" s="312"/>
      <c r="AA128" s="243"/>
      <c r="AB128" s="243"/>
      <c r="AC128" s="243"/>
      <c r="AD128" s="243"/>
      <c r="AE128" s="243"/>
      <c r="AF128" s="243"/>
      <c r="AG128" s="243"/>
      <c r="AH128" s="243"/>
      <c r="AI128" s="243"/>
      <c r="AJ128" s="243"/>
      <c r="AK128" s="241"/>
      <c r="AL128" s="241"/>
      <c r="AM128" s="241"/>
      <c r="AN128" s="241"/>
      <c r="AO128" s="241"/>
      <c r="AP128" s="241"/>
      <c r="AQ128" s="241"/>
      <c r="AR128" s="241"/>
    </row>
    <row r="129">
      <c r="A129" s="385" t="s">
        <v>216</v>
      </c>
      <c r="B129" s="387" t="s">
        <v>404</v>
      </c>
      <c r="C129" s="313">
        <v>10.0</v>
      </c>
      <c r="D129" s="313">
        <v>1.0</v>
      </c>
      <c r="E129" s="390" t="s">
        <v>329</v>
      </c>
      <c r="F129" s="390" t="s">
        <v>329</v>
      </c>
      <c r="G129" s="393" t="s">
        <v>331</v>
      </c>
      <c r="H129" s="313">
        <v>4.0</v>
      </c>
      <c r="I129" s="313" t="s">
        <v>178</v>
      </c>
      <c r="J129" s="313">
        <v>0.0</v>
      </c>
      <c r="K129" s="313" t="s">
        <v>178</v>
      </c>
      <c r="L129" s="313">
        <v>10.0</v>
      </c>
      <c r="M129" s="313" t="s">
        <v>342</v>
      </c>
      <c r="N129" s="233"/>
      <c r="O129" s="233"/>
      <c r="P129" s="233"/>
      <c r="Q129" s="233"/>
      <c r="R129" s="233"/>
      <c r="S129" s="233"/>
      <c r="T129" s="233"/>
      <c r="U129" s="233"/>
      <c r="V129" s="233"/>
      <c r="W129" s="233"/>
      <c r="X129" s="233"/>
      <c r="Y129" s="233"/>
      <c r="Z129" s="312"/>
      <c r="AA129" s="243"/>
      <c r="AB129" s="243"/>
      <c r="AC129" s="243"/>
      <c r="AD129" s="243"/>
      <c r="AE129" s="243"/>
      <c r="AF129" s="243"/>
      <c r="AG129" s="243"/>
      <c r="AH129" s="243"/>
      <c r="AI129" s="243"/>
      <c r="AJ129" s="243"/>
      <c r="AK129" s="241"/>
      <c r="AL129" s="241"/>
      <c r="AM129" s="241"/>
      <c r="AN129" s="241"/>
      <c r="AO129" s="241"/>
      <c r="AP129" s="241"/>
      <c r="AQ129" s="241"/>
      <c r="AR129" s="241"/>
    </row>
    <row r="130">
      <c r="A130" s="385" t="s">
        <v>216</v>
      </c>
      <c r="B130" s="387" t="s">
        <v>405</v>
      </c>
      <c r="C130" s="313">
        <v>10.0</v>
      </c>
      <c r="D130" s="313">
        <v>1.0</v>
      </c>
      <c r="E130" s="390" t="s">
        <v>329</v>
      </c>
      <c r="F130" s="393" t="s">
        <v>331</v>
      </c>
      <c r="G130" s="393" t="s">
        <v>331</v>
      </c>
      <c r="H130" s="313">
        <v>2.0</v>
      </c>
      <c r="I130" s="313" t="s">
        <v>178</v>
      </c>
      <c r="J130" s="313">
        <v>0.0</v>
      </c>
      <c r="K130" s="313" t="s">
        <v>178</v>
      </c>
      <c r="L130" s="313">
        <v>10.0</v>
      </c>
      <c r="M130" s="313" t="s">
        <v>342</v>
      </c>
      <c r="N130" s="233"/>
      <c r="O130" s="233"/>
      <c r="P130" s="233"/>
      <c r="Q130" s="233"/>
      <c r="R130" s="233"/>
      <c r="S130" s="233"/>
      <c r="T130" s="233"/>
      <c r="U130" s="233"/>
      <c r="V130" s="233"/>
      <c r="W130" s="233"/>
      <c r="X130" s="233"/>
      <c r="Y130" s="233"/>
      <c r="Z130" s="312"/>
      <c r="AA130" s="243"/>
      <c r="AB130" s="243"/>
      <c r="AC130" s="243"/>
      <c r="AD130" s="243"/>
      <c r="AE130" s="243"/>
      <c r="AF130" s="243"/>
      <c r="AG130" s="243"/>
      <c r="AH130" s="243"/>
      <c r="AI130" s="243"/>
      <c r="AJ130" s="243"/>
      <c r="AK130" s="241"/>
      <c r="AL130" s="241"/>
      <c r="AM130" s="241"/>
      <c r="AN130" s="241"/>
      <c r="AO130" s="241"/>
      <c r="AP130" s="241"/>
      <c r="AQ130" s="241"/>
      <c r="AR130" s="241"/>
    </row>
    <row r="131">
      <c r="A131" s="385" t="s">
        <v>216</v>
      </c>
      <c r="B131" s="387" t="s">
        <v>406</v>
      </c>
      <c r="C131" s="313">
        <v>8.0</v>
      </c>
      <c r="D131" s="313">
        <v>0.75</v>
      </c>
      <c r="E131" s="393" t="s">
        <v>331</v>
      </c>
      <c r="F131" s="390" t="s">
        <v>329</v>
      </c>
      <c r="G131" s="390" t="s">
        <v>329</v>
      </c>
      <c r="H131" s="313">
        <v>6.0</v>
      </c>
      <c r="I131" s="313" t="s">
        <v>178</v>
      </c>
      <c r="J131" s="313">
        <v>0.0</v>
      </c>
      <c r="K131" s="313" t="s">
        <v>178</v>
      </c>
      <c r="L131" s="313">
        <v>10.0</v>
      </c>
      <c r="M131" s="313" t="s">
        <v>342</v>
      </c>
      <c r="N131" s="233"/>
      <c r="O131" s="233"/>
      <c r="P131" s="233"/>
      <c r="Q131" s="233"/>
      <c r="R131" s="233"/>
      <c r="S131" s="233"/>
      <c r="T131" s="233"/>
      <c r="U131" s="233"/>
      <c r="V131" s="233"/>
      <c r="W131" s="233"/>
      <c r="X131" s="233"/>
      <c r="Y131" s="233"/>
      <c r="Z131" s="312"/>
      <c r="AA131" s="243"/>
      <c r="AB131" s="243"/>
      <c r="AC131" s="243"/>
      <c r="AD131" s="243"/>
      <c r="AE131" s="243"/>
      <c r="AF131" s="243"/>
      <c r="AG131" s="243"/>
      <c r="AH131" s="243"/>
      <c r="AI131" s="243"/>
      <c r="AJ131" s="243"/>
      <c r="AK131" s="241"/>
      <c r="AL131" s="241"/>
      <c r="AM131" s="241"/>
      <c r="AN131" s="241"/>
      <c r="AO131" s="241"/>
      <c r="AP131" s="241"/>
      <c r="AQ131" s="241"/>
      <c r="AR131" s="241"/>
    </row>
    <row r="132">
      <c r="A132" s="385" t="s">
        <v>216</v>
      </c>
      <c r="B132" s="387" t="s">
        <v>407</v>
      </c>
      <c r="C132" s="313">
        <v>8.0</v>
      </c>
      <c r="D132" s="313">
        <v>0.75</v>
      </c>
      <c r="E132" s="390" t="s">
        <v>329</v>
      </c>
      <c r="F132" s="393" t="s">
        <v>331</v>
      </c>
      <c r="G132" s="393" t="s">
        <v>331</v>
      </c>
      <c r="H132" s="313">
        <v>2.0</v>
      </c>
      <c r="I132" s="313" t="s">
        <v>178</v>
      </c>
      <c r="J132" s="313">
        <v>0.0</v>
      </c>
      <c r="K132" s="313" t="s">
        <v>178</v>
      </c>
      <c r="L132" s="313">
        <v>10.0</v>
      </c>
      <c r="M132" s="313" t="s">
        <v>342</v>
      </c>
      <c r="N132" s="233"/>
      <c r="O132" s="233"/>
      <c r="P132" s="233"/>
      <c r="Q132" s="233"/>
      <c r="R132" s="233"/>
      <c r="S132" s="233"/>
      <c r="T132" s="233"/>
      <c r="U132" s="233"/>
      <c r="V132" s="233"/>
      <c r="W132" s="233"/>
      <c r="X132" s="233"/>
      <c r="Y132" s="233"/>
      <c r="Z132" s="312"/>
      <c r="AA132" s="243"/>
      <c r="AB132" s="243"/>
      <c r="AC132" s="243"/>
      <c r="AD132" s="243"/>
      <c r="AE132" s="243"/>
      <c r="AF132" s="243"/>
      <c r="AG132" s="243"/>
      <c r="AH132" s="243"/>
      <c r="AI132" s="243"/>
      <c r="AJ132" s="243"/>
      <c r="AK132" s="241"/>
      <c r="AL132" s="241"/>
      <c r="AM132" s="241"/>
      <c r="AN132" s="241"/>
      <c r="AO132" s="241"/>
      <c r="AP132" s="241"/>
      <c r="AQ132" s="241"/>
      <c r="AR132" s="241"/>
    </row>
    <row r="133">
      <c r="A133" s="385" t="s">
        <v>216</v>
      </c>
      <c r="B133" s="387" t="s">
        <v>408</v>
      </c>
      <c r="C133" s="313">
        <v>6.0</v>
      </c>
      <c r="D133" s="313">
        <v>0.5</v>
      </c>
      <c r="E133" s="393" t="s">
        <v>331</v>
      </c>
      <c r="F133" s="393" t="s">
        <v>331</v>
      </c>
      <c r="G133" s="390" t="s">
        <v>329</v>
      </c>
      <c r="H133" s="313">
        <v>4.0</v>
      </c>
      <c r="I133" s="313" t="s">
        <v>178</v>
      </c>
      <c r="J133" s="313">
        <v>1.0</v>
      </c>
      <c r="K133" s="313" t="s">
        <v>178</v>
      </c>
      <c r="L133" s="313">
        <v>10.0</v>
      </c>
      <c r="M133" s="313" t="s">
        <v>340</v>
      </c>
      <c r="N133" s="233"/>
      <c r="O133" s="233"/>
      <c r="P133" s="233"/>
      <c r="Q133" s="233"/>
      <c r="R133" s="233"/>
      <c r="S133" s="233"/>
      <c r="T133" s="233"/>
      <c r="U133" s="233"/>
      <c r="V133" s="233"/>
      <c r="W133" s="233"/>
      <c r="X133" s="233"/>
      <c r="Y133" s="233"/>
      <c r="Z133" s="312"/>
      <c r="AA133" s="243"/>
      <c r="AB133" s="243"/>
      <c r="AC133" s="243"/>
      <c r="AD133" s="243"/>
      <c r="AE133" s="243"/>
      <c r="AF133" s="243"/>
      <c r="AG133" s="243"/>
      <c r="AH133" s="243"/>
      <c r="AI133" s="243"/>
      <c r="AJ133" s="243"/>
      <c r="AK133" s="241"/>
      <c r="AL133" s="241"/>
      <c r="AM133" s="241"/>
      <c r="AN133" s="241"/>
      <c r="AO133" s="241"/>
      <c r="AP133" s="241"/>
      <c r="AQ133" s="241"/>
      <c r="AR133" s="241"/>
    </row>
    <row r="134">
      <c r="A134" s="385" t="s">
        <v>216</v>
      </c>
      <c r="B134" s="387" t="s">
        <v>409</v>
      </c>
      <c r="C134" s="313">
        <v>10.0</v>
      </c>
      <c r="D134" s="313">
        <v>1.0</v>
      </c>
      <c r="E134" s="390" t="s">
        <v>329</v>
      </c>
      <c r="F134" s="393" t="s">
        <v>331</v>
      </c>
      <c r="G134" s="393" t="s">
        <v>331</v>
      </c>
      <c r="H134" s="313">
        <v>2.0</v>
      </c>
      <c r="I134" s="313" t="s">
        <v>178</v>
      </c>
      <c r="J134" s="313">
        <v>0.0</v>
      </c>
      <c r="K134" s="313" t="s">
        <v>178</v>
      </c>
      <c r="L134" s="313">
        <v>10.0</v>
      </c>
      <c r="M134" s="313" t="s">
        <v>342</v>
      </c>
      <c r="N134" s="233"/>
      <c r="O134" s="233"/>
      <c r="P134" s="233"/>
      <c r="Q134" s="233"/>
      <c r="R134" s="233"/>
      <c r="S134" s="233"/>
      <c r="T134" s="233"/>
      <c r="U134" s="233"/>
      <c r="V134" s="233"/>
      <c r="W134" s="233"/>
      <c r="X134" s="233"/>
      <c r="Y134" s="233"/>
      <c r="Z134" s="312"/>
      <c r="AA134" s="243"/>
      <c r="AB134" s="243"/>
      <c r="AC134" s="243"/>
      <c r="AD134" s="243"/>
      <c r="AE134" s="243"/>
      <c r="AF134" s="243"/>
      <c r="AG134" s="243"/>
      <c r="AH134" s="243"/>
      <c r="AI134" s="243"/>
      <c r="AJ134" s="243"/>
      <c r="AK134" s="241"/>
      <c r="AL134" s="241"/>
      <c r="AM134" s="241"/>
      <c r="AN134" s="241"/>
      <c r="AO134" s="241"/>
      <c r="AP134" s="241"/>
      <c r="AQ134" s="241"/>
      <c r="AR134" s="241"/>
    </row>
    <row r="135">
      <c r="A135" s="385" t="s">
        <v>216</v>
      </c>
      <c r="B135" s="387" t="s">
        <v>410</v>
      </c>
      <c r="C135" s="313">
        <v>6.0</v>
      </c>
      <c r="D135" s="313">
        <v>0.5</v>
      </c>
      <c r="E135" s="393" t="s">
        <v>331</v>
      </c>
      <c r="F135" s="393" t="s">
        <v>331</v>
      </c>
      <c r="G135" s="390" t="s">
        <v>329</v>
      </c>
      <c r="H135" s="313">
        <v>2.0</v>
      </c>
      <c r="I135" s="313" t="s">
        <v>178</v>
      </c>
      <c r="J135" s="313">
        <v>1.0</v>
      </c>
      <c r="K135" s="313" t="s">
        <v>178</v>
      </c>
      <c r="L135" s="313">
        <v>10.0</v>
      </c>
      <c r="M135" s="313" t="s">
        <v>340</v>
      </c>
      <c r="N135" s="233"/>
      <c r="O135" s="233"/>
      <c r="P135" s="233"/>
      <c r="Q135" s="233"/>
      <c r="R135" s="233"/>
      <c r="S135" s="233"/>
      <c r="T135" s="233"/>
      <c r="U135" s="233"/>
      <c r="V135" s="233"/>
      <c r="W135" s="233"/>
      <c r="X135" s="233"/>
      <c r="Y135" s="233"/>
      <c r="Z135" s="312"/>
      <c r="AA135" s="243"/>
      <c r="AB135" s="243"/>
      <c r="AC135" s="243"/>
      <c r="AD135" s="243"/>
      <c r="AE135" s="243"/>
      <c r="AF135" s="243"/>
      <c r="AG135" s="243"/>
      <c r="AH135" s="243"/>
      <c r="AI135" s="243"/>
      <c r="AJ135" s="243"/>
      <c r="AK135" s="241"/>
      <c r="AL135" s="241"/>
      <c r="AM135" s="241"/>
      <c r="AN135" s="241"/>
      <c r="AO135" s="241"/>
      <c r="AP135" s="241"/>
      <c r="AQ135" s="241"/>
      <c r="AR135" s="241"/>
    </row>
    <row r="136">
      <c r="A136" s="385" t="s">
        <v>216</v>
      </c>
      <c r="B136" s="387" t="s">
        <v>412</v>
      </c>
      <c r="C136" s="313">
        <v>12.0</v>
      </c>
      <c r="D136" s="313">
        <v>1.0</v>
      </c>
      <c r="E136" s="390" t="s">
        <v>329</v>
      </c>
      <c r="F136" s="393" t="s">
        <v>331</v>
      </c>
      <c r="G136" s="393" t="s">
        <v>331</v>
      </c>
      <c r="H136" s="313">
        <v>4.0</v>
      </c>
      <c r="I136" s="313" t="s">
        <v>178</v>
      </c>
      <c r="J136" s="313">
        <v>0.0</v>
      </c>
      <c r="K136" s="313" t="s">
        <v>178</v>
      </c>
      <c r="L136" s="313">
        <v>10.0</v>
      </c>
      <c r="M136" s="313" t="s">
        <v>342</v>
      </c>
      <c r="N136" s="233"/>
      <c r="O136" s="233"/>
      <c r="P136" s="233"/>
      <c r="Q136" s="233"/>
      <c r="R136" s="233"/>
      <c r="S136" s="233"/>
      <c r="T136" s="233"/>
      <c r="U136" s="233"/>
      <c r="V136" s="233"/>
      <c r="W136" s="233"/>
      <c r="X136" s="233"/>
      <c r="Y136" s="233"/>
      <c r="Z136" s="312"/>
      <c r="AA136" s="243"/>
      <c r="AB136" s="243"/>
      <c r="AC136" s="243"/>
      <c r="AD136" s="243"/>
      <c r="AE136" s="243"/>
      <c r="AF136" s="243"/>
      <c r="AG136" s="243"/>
      <c r="AH136" s="243"/>
      <c r="AI136" s="243"/>
      <c r="AJ136" s="243"/>
      <c r="AK136" s="241"/>
      <c r="AL136" s="241"/>
      <c r="AM136" s="241"/>
      <c r="AN136" s="241"/>
      <c r="AO136" s="241"/>
      <c r="AP136" s="241"/>
      <c r="AQ136" s="241"/>
      <c r="AR136" s="241"/>
    </row>
    <row r="137">
      <c r="A137" s="385" t="s">
        <v>216</v>
      </c>
      <c r="B137" s="387" t="s">
        <v>413</v>
      </c>
      <c r="C137" s="313">
        <v>10.0</v>
      </c>
      <c r="D137" s="313">
        <v>1.0</v>
      </c>
      <c r="E137" s="390" t="s">
        <v>329</v>
      </c>
      <c r="F137" s="390" t="s">
        <v>329</v>
      </c>
      <c r="G137" s="393" t="s">
        <v>331</v>
      </c>
      <c r="H137" s="313">
        <v>2.0</v>
      </c>
      <c r="I137" s="313" t="s">
        <v>178</v>
      </c>
      <c r="J137" s="410">
        <v>0.7142857143</v>
      </c>
      <c r="K137" s="313" t="s">
        <v>178</v>
      </c>
      <c r="L137" s="313">
        <v>10.0</v>
      </c>
      <c r="M137" s="313" t="s">
        <v>335</v>
      </c>
      <c r="N137" s="233"/>
      <c r="O137" s="233"/>
      <c r="P137" s="233"/>
      <c r="Q137" s="233"/>
      <c r="R137" s="233"/>
      <c r="S137" s="233"/>
      <c r="T137" s="233"/>
      <c r="U137" s="233"/>
      <c r="V137" s="233"/>
      <c r="W137" s="233"/>
      <c r="X137" s="233"/>
      <c r="Y137" s="233"/>
      <c r="Z137" s="312"/>
      <c r="AA137" s="243"/>
      <c r="AB137" s="243"/>
      <c r="AC137" s="243"/>
      <c r="AD137" s="243"/>
      <c r="AE137" s="243"/>
      <c r="AF137" s="243"/>
      <c r="AG137" s="243"/>
      <c r="AH137" s="243"/>
      <c r="AI137" s="243"/>
      <c r="AJ137" s="243"/>
      <c r="AK137" s="241"/>
      <c r="AL137" s="241"/>
      <c r="AM137" s="241"/>
      <c r="AN137" s="241"/>
      <c r="AO137" s="241"/>
      <c r="AP137" s="241"/>
      <c r="AQ137" s="241"/>
      <c r="AR137" s="241"/>
    </row>
    <row r="138">
      <c r="A138" s="385" t="s">
        <v>216</v>
      </c>
      <c r="B138" s="387" t="s">
        <v>414</v>
      </c>
      <c r="C138" s="313">
        <v>8.0</v>
      </c>
      <c r="D138" s="313">
        <v>0.75</v>
      </c>
      <c r="E138" s="390" t="s">
        <v>329</v>
      </c>
      <c r="F138" s="393" t="s">
        <v>331</v>
      </c>
      <c r="G138" s="390" t="s">
        <v>329</v>
      </c>
      <c r="H138" s="313">
        <v>4.0</v>
      </c>
      <c r="I138" s="313" t="s">
        <v>178</v>
      </c>
      <c r="J138" s="313">
        <v>0.75</v>
      </c>
      <c r="K138" s="313" t="s">
        <v>178</v>
      </c>
      <c r="L138" s="313">
        <v>10.0</v>
      </c>
      <c r="M138" s="313" t="s">
        <v>335</v>
      </c>
      <c r="N138" s="233"/>
      <c r="O138" s="233"/>
      <c r="P138" s="233"/>
      <c r="Q138" s="233"/>
      <c r="R138" s="233"/>
      <c r="S138" s="233"/>
      <c r="T138" s="233"/>
      <c r="U138" s="233"/>
      <c r="V138" s="233"/>
      <c r="W138" s="233"/>
      <c r="X138" s="233"/>
      <c r="Y138" s="233"/>
      <c r="Z138" s="312"/>
      <c r="AA138" s="243"/>
      <c r="AB138" s="243"/>
      <c r="AC138" s="243"/>
      <c r="AD138" s="243"/>
      <c r="AE138" s="243"/>
      <c r="AF138" s="243"/>
      <c r="AG138" s="243"/>
      <c r="AH138" s="243"/>
      <c r="AI138" s="243"/>
      <c r="AJ138" s="243"/>
      <c r="AK138" s="241"/>
      <c r="AL138" s="241"/>
      <c r="AM138" s="241"/>
      <c r="AN138" s="241"/>
      <c r="AO138" s="241"/>
      <c r="AP138" s="241"/>
      <c r="AQ138" s="241"/>
      <c r="AR138" s="241"/>
    </row>
    <row r="139">
      <c r="A139" s="385" t="s">
        <v>216</v>
      </c>
      <c r="B139" s="387" t="s">
        <v>416</v>
      </c>
      <c r="C139" s="313">
        <v>8.0</v>
      </c>
      <c r="D139" s="313">
        <v>0.75</v>
      </c>
      <c r="E139" s="393" t="s">
        <v>331</v>
      </c>
      <c r="F139" s="390" t="s">
        <v>329</v>
      </c>
      <c r="G139" s="390" t="s">
        <v>329</v>
      </c>
      <c r="H139" s="313">
        <v>6.0</v>
      </c>
      <c r="I139" s="313" t="s">
        <v>178</v>
      </c>
      <c r="J139" s="313">
        <v>0.0</v>
      </c>
      <c r="K139" s="313" t="s">
        <v>178</v>
      </c>
      <c r="L139" s="313">
        <v>10.0</v>
      </c>
      <c r="M139" s="313" t="s">
        <v>342</v>
      </c>
      <c r="N139" s="233"/>
      <c r="O139" s="233"/>
      <c r="P139" s="233"/>
      <c r="Q139" s="233"/>
      <c r="R139" s="233"/>
      <c r="S139" s="233"/>
      <c r="T139" s="233"/>
      <c r="U139" s="233"/>
      <c r="V139" s="233"/>
      <c r="W139" s="233"/>
      <c r="X139" s="233"/>
      <c r="Y139" s="233"/>
      <c r="Z139" s="312"/>
      <c r="AA139" s="243"/>
      <c r="AB139" s="243"/>
      <c r="AC139" s="243"/>
      <c r="AD139" s="243"/>
      <c r="AE139" s="243"/>
      <c r="AF139" s="243"/>
      <c r="AG139" s="243"/>
      <c r="AH139" s="243"/>
      <c r="AI139" s="243"/>
      <c r="AJ139" s="243"/>
      <c r="AK139" s="241"/>
      <c r="AL139" s="241"/>
      <c r="AM139" s="241"/>
      <c r="AN139" s="241"/>
      <c r="AO139" s="241"/>
      <c r="AP139" s="241"/>
      <c r="AQ139" s="241"/>
      <c r="AR139" s="241"/>
    </row>
    <row r="140">
      <c r="A140" s="385" t="s">
        <v>216</v>
      </c>
      <c r="B140" s="387" t="s">
        <v>418</v>
      </c>
      <c r="C140" s="313">
        <v>8.0</v>
      </c>
      <c r="D140" s="313">
        <v>0.75</v>
      </c>
      <c r="E140" s="393" t="s">
        <v>331</v>
      </c>
      <c r="F140" s="393" t="s">
        <v>331</v>
      </c>
      <c r="G140" s="390" t="s">
        <v>329</v>
      </c>
      <c r="H140" s="313">
        <v>2.0</v>
      </c>
      <c r="I140" s="313" t="s">
        <v>178</v>
      </c>
      <c r="J140" s="313">
        <v>0.9</v>
      </c>
      <c r="K140" s="313" t="s">
        <v>178</v>
      </c>
      <c r="L140" s="313">
        <v>10.0</v>
      </c>
      <c r="M140" s="313" t="s">
        <v>359</v>
      </c>
      <c r="N140" s="233"/>
      <c r="O140" s="233"/>
      <c r="P140" s="233"/>
      <c r="Q140" s="233"/>
      <c r="R140" s="233"/>
      <c r="S140" s="233"/>
      <c r="T140" s="233"/>
      <c r="U140" s="233"/>
      <c r="V140" s="233"/>
      <c r="W140" s="233"/>
      <c r="X140" s="233"/>
      <c r="Y140" s="233"/>
      <c r="Z140" s="312"/>
      <c r="AA140" s="243"/>
      <c r="AB140" s="243"/>
      <c r="AC140" s="243"/>
      <c r="AD140" s="243"/>
      <c r="AE140" s="243"/>
      <c r="AF140" s="243"/>
      <c r="AG140" s="243"/>
      <c r="AH140" s="243"/>
      <c r="AI140" s="243"/>
      <c r="AJ140" s="243"/>
      <c r="AK140" s="241"/>
      <c r="AL140" s="241"/>
      <c r="AM140" s="241"/>
      <c r="AN140" s="241"/>
      <c r="AO140" s="241"/>
      <c r="AP140" s="241"/>
      <c r="AQ140" s="241"/>
      <c r="AR140" s="241"/>
    </row>
    <row r="141">
      <c r="A141" s="385" t="s">
        <v>216</v>
      </c>
      <c r="B141" s="387" t="s">
        <v>420</v>
      </c>
      <c r="C141" s="313">
        <v>6.0</v>
      </c>
      <c r="D141" s="313">
        <v>0.5</v>
      </c>
      <c r="E141" s="393" t="s">
        <v>331</v>
      </c>
      <c r="F141" s="393" t="s">
        <v>331</v>
      </c>
      <c r="G141" s="390" t="s">
        <v>329</v>
      </c>
      <c r="H141" s="313">
        <v>2.0</v>
      </c>
      <c r="I141" s="313" t="s">
        <v>178</v>
      </c>
      <c r="J141" s="313">
        <v>1.0</v>
      </c>
      <c r="K141" s="313" t="s">
        <v>178</v>
      </c>
      <c r="L141" s="313">
        <v>10.0</v>
      </c>
      <c r="M141" s="313" t="s">
        <v>340</v>
      </c>
      <c r="N141" s="233"/>
      <c r="O141" s="233"/>
      <c r="P141" s="233"/>
      <c r="Q141" s="233"/>
      <c r="R141" s="233"/>
      <c r="S141" s="233"/>
      <c r="T141" s="233"/>
      <c r="U141" s="233"/>
      <c r="V141" s="233"/>
      <c r="W141" s="233"/>
      <c r="X141" s="233"/>
      <c r="Y141" s="233"/>
      <c r="Z141" s="312"/>
      <c r="AA141" s="243"/>
      <c r="AB141" s="243"/>
      <c r="AC141" s="243"/>
      <c r="AD141" s="243"/>
      <c r="AE141" s="243"/>
      <c r="AF141" s="243"/>
      <c r="AG141" s="243"/>
      <c r="AH141" s="243"/>
      <c r="AI141" s="243"/>
      <c r="AJ141" s="243"/>
      <c r="AK141" s="241"/>
      <c r="AL141" s="241"/>
      <c r="AM141" s="241"/>
      <c r="AN141" s="241"/>
      <c r="AO141" s="241"/>
      <c r="AP141" s="241"/>
      <c r="AQ141" s="241"/>
      <c r="AR141" s="241"/>
    </row>
    <row r="142">
      <c r="A142" s="385" t="s">
        <v>216</v>
      </c>
      <c r="B142" s="387" t="s">
        <v>421</v>
      </c>
      <c r="C142" s="313">
        <v>6.0</v>
      </c>
      <c r="D142" s="313">
        <v>0.5</v>
      </c>
      <c r="E142" s="393" t="s">
        <v>331</v>
      </c>
      <c r="F142" s="393" t="s">
        <v>331</v>
      </c>
      <c r="G142" s="390" t="s">
        <v>329</v>
      </c>
      <c r="H142" s="313">
        <v>2.0</v>
      </c>
      <c r="I142" s="313" t="s">
        <v>178</v>
      </c>
      <c r="J142" s="313">
        <v>1.0</v>
      </c>
      <c r="K142" s="313" t="s">
        <v>178</v>
      </c>
      <c r="L142" s="313">
        <v>10.0</v>
      </c>
      <c r="M142" s="313" t="s">
        <v>340</v>
      </c>
      <c r="N142" s="233"/>
      <c r="O142" s="233"/>
      <c r="P142" s="233"/>
      <c r="Q142" s="233"/>
      <c r="R142" s="233"/>
      <c r="S142" s="233"/>
      <c r="T142" s="233"/>
      <c r="U142" s="233"/>
      <c r="V142" s="233"/>
      <c r="W142" s="233"/>
      <c r="X142" s="233"/>
      <c r="Y142" s="233"/>
      <c r="Z142" s="312"/>
      <c r="AA142" s="243"/>
      <c r="AB142" s="243"/>
      <c r="AC142" s="243"/>
      <c r="AD142" s="243"/>
      <c r="AE142" s="243"/>
      <c r="AF142" s="243"/>
      <c r="AG142" s="243"/>
      <c r="AH142" s="243"/>
      <c r="AI142" s="243"/>
      <c r="AJ142" s="243"/>
      <c r="AK142" s="241"/>
      <c r="AL142" s="241"/>
      <c r="AM142" s="241"/>
      <c r="AN142" s="241"/>
      <c r="AO142" s="241"/>
      <c r="AP142" s="241"/>
      <c r="AQ142" s="241"/>
      <c r="AR142" s="241"/>
    </row>
    <row r="143">
      <c r="A143" s="385" t="s">
        <v>216</v>
      </c>
      <c r="B143" s="387" t="s">
        <v>422</v>
      </c>
      <c r="C143" s="313">
        <v>8.0</v>
      </c>
      <c r="D143" s="313">
        <v>0.75</v>
      </c>
      <c r="E143" s="390" t="s">
        <v>329</v>
      </c>
      <c r="F143" s="393" t="s">
        <v>331</v>
      </c>
      <c r="G143" s="390" t="s">
        <v>329</v>
      </c>
      <c r="H143" s="313">
        <v>4.0</v>
      </c>
      <c r="I143" s="313" t="s">
        <v>178</v>
      </c>
      <c r="J143" s="313">
        <v>0.75</v>
      </c>
      <c r="K143" s="313" t="s">
        <v>178</v>
      </c>
      <c r="L143" s="313">
        <v>10.0</v>
      </c>
      <c r="M143" s="313" t="s">
        <v>335</v>
      </c>
      <c r="N143" s="233"/>
      <c r="O143" s="233"/>
      <c r="P143" s="233"/>
      <c r="Q143" s="233"/>
      <c r="R143" s="233"/>
      <c r="S143" s="233"/>
      <c r="T143" s="233"/>
      <c r="U143" s="233"/>
      <c r="V143" s="233"/>
      <c r="W143" s="233"/>
      <c r="X143" s="233"/>
      <c r="Y143" s="233"/>
      <c r="Z143" s="312"/>
      <c r="AA143" s="243"/>
      <c r="AB143" s="243"/>
      <c r="AC143" s="243"/>
      <c r="AD143" s="243"/>
      <c r="AE143" s="243"/>
      <c r="AF143" s="243"/>
      <c r="AG143" s="243"/>
      <c r="AH143" s="243"/>
      <c r="AI143" s="243"/>
      <c r="AJ143" s="243"/>
      <c r="AK143" s="241"/>
      <c r="AL143" s="241"/>
      <c r="AM143" s="241"/>
      <c r="AN143" s="241"/>
      <c r="AO143" s="241"/>
      <c r="AP143" s="241"/>
      <c r="AQ143" s="241"/>
      <c r="AR143" s="241"/>
    </row>
    <row r="144">
      <c r="A144" s="385" t="s">
        <v>216</v>
      </c>
      <c r="B144" s="387" t="s">
        <v>423</v>
      </c>
      <c r="C144" s="313">
        <v>8.0</v>
      </c>
      <c r="D144" s="313">
        <v>0.75</v>
      </c>
      <c r="E144" s="393" t="s">
        <v>331</v>
      </c>
      <c r="F144" s="393" t="s">
        <v>331</v>
      </c>
      <c r="G144" s="390" t="s">
        <v>329</v>
      </c>
      <c r="H144" s="313">
        <v>6.0</v>
      </c>
      <c r="I144" s="313" t="s">
        <v>178</v>
      </c>
      <c r="J144" s="313">
        <v>0.0</v>
      </c>
      <c r="K144" s="313" t="s">
        <v>178</v>
      </c>
      <c r="L144" s="313">
        <v>10.0</v>
      </c>
      <c r="M144" s="313" t="s">
        <v>342</v>
      </c>
      <c r="N144" s="233"/>
      <c r="O144" s="233"/>
      <c r="P144" s="233"/>
      <c r="Q144" s="233"/>
      <c r="R144" s="233"/>
      <c r="S144" s="233"/>
      <c r="T144" s="233"/>
      <c r="U144" s="233"/>
      <c r="V144" s="233"/>
      <c r="W144" s="233"/>
      <c r="X144" s="233"/>
      <c r="Y144" s="233"/>
      <c r="Z144" s="312"/>
      <c r="AA144" s="243"/>
      <c r="AB144" s="243"/>
      <c r="AC144" s="243"/>
      <c r="AD144" s="243"/>
      <c r="AE144" s="243"/>
      <c r="AF144" s="243"/>
      <c r="AG144" s="243"/>
      <c r="AH144" s="243"/>
      <c r="AI144" s="243"/>
      <c r="AJ144" s="243"/>
      <c r="AK144" s="241"/>
      <c r="AL144" s="241"/>
      <c r="AM144" s="241"/>
      <c r="AN144" s="241"/>
      <c r="AO144" s="241"/>
      <c r="AP144" s="241"/>
      <c r="AQ144" s="241"/>
      <c r="AR144" s="241"/>
    </row>
    <row r="145">
      <c r="A145" s="385" t="s">
        <v>216</v>
      </c>
      <c r="B145" s="387" t="s">
        <v>424</v>
      </c>
      <c r="C145" s="313">
        <v>10.0</v>
      </c>
      <c r="D145" s="313">
        <v>1.0</v>
      </c>
      <c r="E145" s="390" t="s">
        <v>329</v>
      </c>
      <c r="F145" s="393" t="s">
        <v>331</v>
      </c>
      <c r="G145" s="393" t="s">
        <v>331</v>
      </c>
      <c r="H145" s="313">
        <v>2.0</v>
      </c>
      <c r="I145" s="313" t="s">
        <v>178</v>
      </c>
      <c r="J145" s="313">
        <v>0.0</v>
      </c>
      <c r="K145" s="313" t="s">
        <v>178</v>
      </c>
      <c r="L145" s="313">
        <v>10.0</v>
      </c>
      <c r="M145" s="313" t="s">
        <v>342</v>
      </c>
      <c r="N145" s="233"/>
      <c r="O145" s="233"/>
      <c r="P145" s="233"/>
      <c r="Q145" s="233"/>
      <c r="R145" s="233"/>
      <c r="S145" s="233"/>
      <c r="T145" s="233"/>
      <c r="U145" s="233"/>
      <c r="V145" s="233"/>
      <c r="W145" s="233"/>
      <c r="X145" s="233"/>
      <c r="Y145" s="233"/>
      <c r="Z145" s="312"/>
      <c r="AA145" s="243"/>
      <c r="AB145" s="243"/>
      <c r="AC145" s="243"/>
      <c r="AD145" s="243"/>
      <c r="AE145" s="243"/>
      <c r="AF145" s="243"/>
      <c r="AG145" s="243"/>
      <c r="AH145" s="243"/>
      <c r="AI145" s="243"/>
      <c r="AJ145" s="243"/>
      <c r="AK145" s="241"/>
      <c r="AL145" s="241"/>
      <c r="AM145" s="241"/>
      <c r="AN145" s="241"/>
      <c r="AO145" s="241"/>
      <c r="AP145" s="241"/>
      <c r="AQ145" s="241"/>
      <c r="AR145" s="241"/>
    </row>
    <row r="146">
      <c r="A146" s="385" t="s">
        <v>216</v>
      </c>
      <c r="B146" s="387" t="s">
        <v>425</v>
      </c>
      <c r="C146" s="313">
        <v>8.0</v>
      </c>
      <c r="D146" s="313">
        <v>0.75</v>
      </c>
      <c r="E146" s="393" t="s">
        <v>331</v>
      </c>
      <c r="F146" s="390" t="s">
        <v>329</v>
      </c>
      <c r="G146" s="390" t="s">
        <v>329</v>
      </c>
      <c r="H146" s="313">
        <v>8.0</v>
      </c>
      <c r="I146" s="313" t="s">
        <v>178</v>
      </c>
      <c r="J146" s="313">
        <v>0.0</v>
      </c>
      <c r="K146" s="313" t="s">
        <v>178</v>
      </c>
      <c r="L146" s="313">
        <v>10.0</v>
      </c>
      <c r="M146" s="313" t="s">
        <v>342</v>
      </c>
      <c r="N146" s="233"/>
      <c r="O146" s="233"/>
      <c r="P146" s="233"/>
      <c r="Q146" s="233"/>
      <c r="R146" s="233"/>
      <c r="S146" s="233"/>
      <c r="T146" s="233"/>
      <c r="U146" s="233"/>
      <c r="V146" s="233"/>
      <c r="W146" s="233"/>
      <c r="X146" s="233"/>
      <c r="Y146" s="233"/>
      <c r="Z146" s="312"/>
      <c r="AA146" s="243"/>
      <c r="AB146" s="243"/>
      <c r="AC146" s="243"/>
      <c r="AD146" s="243"/>
      <c r="AE146" s="243"/>
      <c r="AF146" s="243"/>
      <c r="AG146" s="243"/>
      <c r="AH146" s="243"/>
      <c r="AI146" s="243"/>
      <c r="AJ146" s="243"/>
      <c r="AK146" s="241"/>
      <c r="AL146" s="241"/>
      <c r="AM146" s="241"/>
      <c r="AN146" s="241"/>
      <c r="AO146" s="241"/>
      <c r="AP146" s="241"/>
      <c r="AQ146" s="241"/>
      <c r="AR146" s="241"/>
    </row>
    <row r="147">
      <c r="A147" s="385" t="s">
        <v>216</v>
      </c>
      <c r="B147" s="387" t="s">
        <v>426</v>
      </c>
      <c r="C147" s="313">
        <v>10.0</v>
      </c>
      <c r="D147" s="313">
        <v>1.0</v>
      </c>
      <c r="E147" s="390" t="s">
        <v>329</v>
      </c>
      <c r="F147" s="393" t="s">
        <v>331</v>
      </c>
      <c r="G147" s="393" t="s">
        <v>331</v>
      </c>
      <c r="H147" s="313">
        <v>2.0</v>
      </c>
      <c r="I147" s="313" t="s">
        <v>178</v>
      </c>
      <c r="J147" s="313">
        <v>0.0</v>
      </c>
      <c r="K147" s="313" t="s">
        <v>178</v>
      </c>
      <c r="L147" s="313">
        <v>10.0</v>
      </c>
      <c r="M147" s="313" t="s">
        <v>342</v>
      </c>
      <c r="N147" s="233"/>
      <c r="O147" s="233"/>
      <c r="P147" s="233"/>
      <c r="Q147" s="233"/>
      <c r="R147" s="233"/>
      <c r="S147" s="233"/>
      <c r="T147" s="233"/>
      <c r="U147" s="233"/>
      <c r="V147" s="233"/>
      <c r="W147" s="233"/>
      <c r="X147" s="233"/>
      <c r="Y147" s="233"/>
      <c r="Z147" s="312"/>
      <c r="AA147" s="243"/>
      <c r="AB147" s="243"/>
      <c r="AC147" s="243"/>
      <c r="AD147" s="243"/>
      <c r="AE147" s="243"/>
      <c r="AF147" s="243"/>
      <c r="AG147" s="243"/>
      <c r="AH147" s="243"/>
      <c r="AI147" s="243"/>
      <c r="AJ147" s="243"/>
      <c r="AK147" s="241"/>
      <c r="AL147" s="241"/>
      <c r="AM147" s="241"/>
      <c r="AN147" s="241"/>
      <c r="AO147" s="241"/>
      <c r="AP147" s="241"/>
      <c r="AQ147" s="241"/>
      <c r="AR147" s="241"/>
    </row>
    <row r="148">
      <c r="A148" s="385" t="s">
        <v>216</v>
      </c>
      <c r="B148" s="387" t="s">
        <v>427</v>
      </c>
      <c r="C148" s="313">
        <v>8.0</v>
      </c>
      <c r="D148" s="313">
        <v>0.75</v>
      </c>
      <c r="E148" s="390" t="s">
        <v>329</v>
      </c>
      <c r="F148" s="393" t="s">
        <v>331</v>
      </c>
      <c r="G148" s="390" t="s">
        <v>329</v>
      </c>
      <c r="H148" s="313">
        <v>4.0</v>
      </c>
      <c r="I148" s="313" t="s">
        <v>178</v>
      </c>
      <c r="J148" s="313">
        <v>0.75</v>
      </c>
      <c r="K148" s="313" t="s">
        <v>178</v>
      </c>
      <c r="L148" s="313">
        <v>10.0</v>
      </c>
      <c r="M148" s="313" t="s">
        <v>335</v>
      </c>
      <c r="N148" s="233"/>
      <c r="O148" s="233"/>
      <c r="P148" s="233"/>
      <c r="Q148" s="233"/>
      <c r="R148" s="233"/>
      <c r="S148" s="233"/>
      <c r="T148" s="233"/>
      <c r="U148" s="233"/>
      <c r="V148" s="233"/>
      <c r="W148" s="233"/>
      <c r="X148" s="233"/>
      <c r="Y148" s="233"/>
      <c r="Z148" s="312"/>
      <c r="AA148" s="243"/>
      <c r="AB148" s="243"/>
      <c r="AC148" s="243"/>
      <c r="AD148" s="243"/>
      <c r="AE148" s="243"/>
      <c r="AF148" s="243"/>
      <c r="AG148" s="243"/>
      <c r="AH148" s="243"/>
      <c r="AI148" s="243"/>
      <c r="AJ148" s="243"/>
      <c r="AK148" s="241"/>
      <c r="AL148" s="241"/>
      <c r="AM148" s="241"/>
      <c r="AN148" s="241"/>
      <c r="AO148" s="241"/>
      <c r="AP148" s="241"/>
      <c r="AQ148" s="241"/>
      <c r="AR148" s="241"/>
    </row>
    <row r="149">
      <c r="A149" s="385" t="s">
        <v>216</v>
      </c>
      <c r="B149" s="387" t="s">
        <v>428</v>
      </c>
      <c r="C149" s="313">
        <v>10.0</v>
      </c>
      <c r="D149" s="313">
        <v>1.0</v>
      </c>
      <c r="E149" s="390" t="s">
        <v>329</v>
      </c>
      <c r="F149" s="393" t="s">
        <v>331</v>
      </c>
      <c r="G149" s="390" t="s">
        <v>329</v>
      </c>
      <c r="H149" s="313">
        <v>4.0</v>
      </c>
      <c r="I149" s="313" t="s">
        <v>178</v>
      </c>
      <c r="J149" s="313">
        <v>0.0</v>
      </c>
      <c r="K149" s="313" t="s">
        <v>178</v>
      </c>
      <c r="L149" s="313">
        <v>10.0</v>
      </c>
      <c r="M149" s="313" t="s">
        <v>342</v>
      </c>
      <c r="N149" s="233"/>
      <c r="O149" s="233"/>
      <c r="P149" s="233"/>
      <c r="Q149" s="233"/>
      <c r="R149" s="233"/>
      <c r="S149" s="233"/>
      <c r="T149" s="233"/>
      <c r="U149" s="233"/>
      <c r="V149" s="233"/>
      <c r="W149" s="233"/>
      <c r="X149" s="233"/>
      <c r="Y149" s="233"/>
      <c r="Z149" s="312"/>
      <c r="AA149" s="243"/>
      <c r="AB149" s="243"/>
      <c r="AC149" s="243"/>
      <c r="AD149" s="243"/>
      <c r="AE149" s="243"/>
      <c r="AF149" s="243"/>
      <c r="AG149" s="243"/>
      <c r="AH149" s="243"/>
      <c r="AI149" s="243"/>
      <c r="AJ149" s="243"/>
      <c r="AK149" s="241"/>
      <c r="AL149" s="241"/>
      <c r="AM149" s="241"/>
      <c r="AN149" s="241"/>
      <c r="AO149" s="241"/>
      <c r="AP149" s="241"/>
      <c r="AQ149" s="241"/>
      <c r="AR149" s="241"/>
    </row>
    <row r="150">
      <c r="A150" s="385" t="s">
        <v>216</v>
      </c>
      <c r="B150" s="387" t="s">
        <v>429</v>
      </c>
      <c r="C150" s="313">
        <v>10.0</v>
      </c>
      <c r="D150" s="313">
        <v>0.75</v>
      </c>
      <c r="E150" s="390" t="s">
        <v>329</v>
      </c>
      <c r="F150" s="393" t="s">
        <v>331</v>
      </c>
      <c r="G150" s="390" t="s">
        <v>329</v>
      </c>
      <c r="H150" s="313">
        <v>4.0</v>
      </c>
      <c r="I150" s="313" t="s">
        <v>178</v>
      </c>
      <c r="J150" s="410" t="s">
        <v>430</v>
      </c>
      <c r="K150" s="313" t="s">
        <v>178</v>
      </c>
      <c r="L150" s="313">
        <v>10.0</v>
      </c>
      <c r="M150" s="313" t="s">
        <v>335</v>
      </c>
      <c r="N150" s="233"/>
      <c r="O150" s="233"/>
      <c r="P150" s="233"/>
      <c r="Q150" s="233"/>
      <c r="R150" s="233"/>
      <c r="S150" s="233"/>
      <c r="T150" s="233"/>
      <c r="U150" s="233"/>
      <c r="V150" s="233"/>
      <c r="W150" s="233"/>
      <c r="X150" s="233"/>
      <c r="Y150" s="233"/>
      <c r="Z150" s="312"/>
      <c r="AA150" s="243"/>
      <c r="AB150" s="243"/>
      <c r="AC150" s="243"/>
      <c r="AD150" s="243"/>
      <c r="AE150" s="243"/>
      <c r="AF150" s="243"/>
      <c r="AG150" s="243"/>
      <c r="AH150" s="243"/>
      <c r="AI150" s="243"/>
      <c r="AJ150" s="243"/>
      <c r="AK150" s="241"/>
      <c r="AL150" s="241"/>
      <c r="AM150" s="241"/>
      <c r="AN150" s="241"/>
      <c r="AO150" s="241"/>
      <c r="AP150" s="241"/>
      <c r="AQ150" s="241"/>
      <c r="AR150" s="241"/>
    </row>
    <row r="151">
      <c r="A151" s="385" t="s">
        <v>216</v>
      </c>
      <c r="B151" s="387" t="s">
        <v>431</v>
      </c>
      <c r="C151" s="313">
        <v>8.0</v>
      </c>
      <c r="D151" s="313">
        <v>0.75</v>
      </c>
      <c r="E151" s="393" t="s">
        <v>331</v>
      </c>
      <c r="F151" s="393" t="s">
        <v>331</v>
      </c>
      <c r="G151" s="390" t="s">
        <v>329</v>
      </c>
      <c r="H151" s="313">
        <v>4.0</v>
      </c>
      <c r="I151" s="410" t="s">
        <v>173</v>
      </c>
      <c r="J151" s="255" t="str">
        <f>address(ROW($A$498),COLUMN($A$498))</f>
        <v>$A$498</v>
      </c>
      <c r="K151" s="255" t="str">
        <f>address(ROW($O$498),COLUMN($O$498))</f>
        <v>$O$498</v>
      </c>
      <c r="L151" s="313">
        <v>10.0</v>
      </c>
      <c r="M151" s="313" t="s">
        <v>342</v>
      </c>
      <c r="N151" s="233"/>
      <c r="O151" s="233"/>
      <c r="P151" s="233"/>
      <c r="Q151" s="233"/>
      <c r="R151" s="233"/>
      <c r="S151" s="233"/>
      <c r="T151" s="233"/>
      <c r="U151" s="233"/>
      <c r="V151" s="233"/>
      <c r="W151" s="233"/>
      <c r="X151" s="233"/>
      <c r="Y151" s="233"/>
      <c r="Z151" s="312"/>
      <c r="AA151" s="243"/>
      <c r="AB151" s="243"/>
      <c r="AC151" s="243"/>
      <c r="AD151" s="243"/>
      <c r="AE151" s="243"/>
      <c r="AF151" s="243"/>
      <c r="AG151" s="243"/>
      <c r="AH151" s="243"/>
      <c r="AI151" s="243"/>
      <c r="AJ151" s="243"/>
      <c r="AK151" s="241"/>
      <c r="AL151" s="241"/>
      <c r="AM151" s="241"/>
      <c r="AN151" s="241"/>
      <c r="AO151" s="241"/>
      <c r="AP151" s="241"/>
      <c r="AQ151" s="241"/>
      <c r="AR151" s="241"/>
    </row>
    <row r="152">
      <c r="A152" s="385" t="s">
        <v>216</v>
      </c>
      <c r="B152" s="387" t="s">
        <v>434</v>
      </c>
      <c r="C152" s="313">
        <v>10.0</v>
      </c>
      <c r="D152" s="313">
        <v>1.0</v>
      </c>
      <c r="E152" s="390" t="s">
        <v>329</v>
      </c>
      <c r="F152" s="393" t="s">
        <v>331</v>
      </c>
      <c r="G152" s="393" t="s">
        <v>331</v>
      </c>
      <c r="H152" s="313">
        <v>2.0</v>
      </c>
      <c r="I152" s="313" t="s">
        <v>178</v>
      </c>
      <c r="J152" s="313">
        <v>0.0</v>
      </c>
      <c r="K152" s="313" t="s">
        <v>178</v>
      </c>
      <c r="L152" s="313">
        <v>10.0</v>
      </c>
      <c r="M152" s="313" t="s">
        <v>342</v>
      </c>
      <c r="N152" s="233"/>
      <c r="O152" s="233"/>
      <c r="P152" s="233"/>
      <c r="Q152" s="233"/>
      <c r="R152" s="233"/>
      <c r="S152" s="233"/>
      <c r="T152" s="233"/>
      <c r="U152" s="233"/>
      <c r="V152" s="233"/>
      <c r="W152" s="233"/>
      <c r="X152" s="233"/>
      <c r="Y152" s="233"/>
      <c r="Z152" s="312"/>
      <c r="AA152" s="243"/>
      <c r="AB152" s="243"/>
      <c r="AC152" s="243"/>
      <c r="AD152" s="243"/>
      <c r="AE152" s="243"/>
      <c r="AF152" s="243"/>
      <c r="AG152" s="243"/>
      <c r="AH152" s="243"/>
      <c r="AI152" s="243"/>
      <c r="AJ152" s="243"/>
      <c r="AK152" s="241"/>
      <c r="AL152" s="241"/>
      <c r="AM152" s="241"/>
      <c r="AN152" s="241"/>
      <c r="AO152" s="241"/>
      <c r="AP152" s="241"/>
      <c r="AQ152" s="241"/>
      <c r="AR152" s="241"/>
    </row>
    <row r="153">
      <c r="A153" s="385" t="s">
        <v>216</v>
      </c>
      <c r="B153" s="387" t="s">
        <v>435</v>
      </c>
      <c r="C153" s="313">
        <v>8.0</v>
      </c>
      <c r="D153" s="313">
        <v>0.75</v>
      </c>
      <c r="E153" s="393" t="s">
        <v>331</v>
      </c>
      <c r="F153" s="390" t="s">
        <v>329</v>
      </c>
      <c r="G153" s="393" t="s">
        <v>331</v>
      </c>
      <c r="H153" s="313">
        <v>6.0</v>
      </c>
      <c r="I153" s="313" t="s">
        <v>178</v>
      </c>
      <c r="J153" s="313">
        <v>0.0</v>
      </c>
      <c r="K153" s="313" t="s">
        <v>178</v>
      </c>
      <c r="L153" s="313">
        <v>10.0</v>
      </c>
      <c r="M153" s="313" t="s">
        <v>342</v>
      </c>
      <c r="N153" s="233"/>
      <c r="O153" s="233"/>
      <c r="P153" s="233"/>
      <c r="Q153" s="233"/>
      <c r="R153" s="233"/>
      <c r="S153" s="233"/>
      <c r="T153" s="233"/>
      <c r="U153" s="233"/>
      <c r="V153" s="233"/>
      <c r="W153" s="233"/>
      <c r="X153" s="233"/>
      <c r="Y153" s="233"/>
      <c r="Z153" s="312"/>
      <c r="AA153" s="243"/>
      <c r="AB153" s="243"/>
      <c r="AC153" s="243"/>
      <c r="AD153" s="243"/>
      <c r="AE153" s="243"/>
      <c r="AF153" s="243"/>
      <c r="AG153" s="243"/>
      <c r="AH153" s="243"/>
      <c r="AI153" s="243"/>
      <c r="AJ153" s="243"/>
      <c r="AK153" s="241"/>
      <c r="AL153" s="241"/>
      <c r="AM153" s="241"/>
      <c r="AN153" s="241"/>
      <c r="AO153" s="241"/>
      <c r="AP153" s="241"/>
      <c r="AQ153" s="241"/>
      <c r="AR153" s="241"/>
    </row>
    <row r="154">
      <c r="A154" s="385" t="s">
        <v>216</v>
      </c>
      <c r="B154" s="387" t="s">
        <v>436</v>
      </c>
      <c r="C154" s="313">
        <v>8.0</v>
      </c>
      <c r="D154" s="313">
        <v>0.75</v>
      </c>
      <c r="E154" s="393" t="s">
        <v>331</v>
      </c>
      <c r="F154" s="390" t="s">
        <v>329</v>
      </c>
      <c r="G154" s="390" t="s">
        <v>329</v>
      </c>
      <c r="H154" s="313">
        <v>4.0</v>
      </c>
      <c r="I154" s="313" t="s">
        <v>178</v>
      </c>
      <c r="J154" s="313">
        <v>0.0</v>
      </c>
      <c r="K154" s="313" t="s">
        <v>178</v>
      </c>
      <c r="L154" s="313">
        <v>10.0</v>
      </c>
      <c r="M154" s="313" t="s">
        <v>342</v>
      </c>
      <c r="N154" s="233"/>
      <c r="O154" s="233"/>
      <c r="P154" s="233"/>
      <c r="Q154" s="233"/>
      <c r="R154" s="233"/>
      <c r="S154" s="233"/>
      <c r="T154" s="233"/>
      <c r="U154" s="233"/>
      <c r="V154" s="233"/>
      <c r="W154" s="233"/>
      <c r="X154" s="233"/>
      <c r="Y154" s="233"/>
      <c r="Z154" s="312"/>
      <c r="AA154" s="243"/>
      <c r="AB154" s="243"/>
      <c r="AC154" s="243"/>
      <c r="AD154" s="243"/>
      <c r="AE154" s="243"/>
      <c r="AF154" s="243"/>
      <c r="AG154" s="243"/>
      <c r="AH154" s="243"/>
      <c r="AI154" s="243"/>
      <c r="AJ154" s="243"/>
      <c r="AK154" s="241"/>
      <c r="AL154" s="241"/>
      <c r="AM154" s="241"/>
      <c r="AN154" s="241"/>
      <c r="AO154" s="241"/>
      <c r="AP154" s="241"/>
      <c r="AQ154" s="241"/>
      <c r="AR154" s="241"/>
    </row>
    <row r="155">
      <c r="A155" s="385" t="s">
        <v>216</v>
      </c>
      <c r="B155" s="387" t="s">
        <v>438</v>
      </c>
      <c r="C155" s="313">
        <v>8.0</v>
      </c>
      <c r="D155" s="313">
        <v>0.5</v>
      </c>
      <c r="E155" s="390" t="s">
        <v>329</v>
      </c>
      <c r="F155" s="393" t="s">
        <v>331</v>
      </c>
      <c r="G155" s="390" t="s">
        <v>329</v>
      </c>
      <c r="H155" s="313">
        <v>2.0</v>
      </c>
      <c r="I155" s="313" t="s">
        <v>178</v>
      </c>
      <c r="J155" s="313">
        <v>1.0</v>
      </c>
      <c r="K155" s="313" t="s">
        <v>178</v>
      </c>
      <c r="L155" s="313">
        <v>10.0</v>
      </c>
      <c r="M155" s="313" t="s">
        <v>340</v>
      </c>
      <c r="N155" s="233"/>
      <c r="O155" s="233"/>
      <c r="P155" s="233"/>
      <c r="Q155" s="233"/>
      <c r="R155" s="233"/>
      <c r="S155" s="233"/>
      <c r="T155" s="233"/>
      <c r="U155" s="233"/>
      <c r="V155" s="233"/>
      <c r="W155" s="233"/>
      <c r="X155" s="233"/>
      <c r="Y155" s="233"/>
      <c r="Z155" s="312"/>
      <c r="AA155" s="243"/>
      <c r="AB155" s="243"/>
      <c r="AC155" s="243"/>
      <c r="AD155" s="243"/>
      <c r="AE155" s="243"/>
      <c r="AF155" s="243"/>
      <c r="AG155" s="243"/>
      <c r="AH155" s="243"/>
      <c r="AI155" s="243"/>
      <c r="AJ155" s="243"/>
      <c r="AK155" s="241"/>
      <c r="AL155" s="241"/>
      <c r="AM155" s="241"/>
      <c r="AN155" s="241"/>
      <c r="AO155" s="241"/>
      <c r="AP155" s="241"/>
      <c r="AQ155" s="241"/>
      <c r="AR155" s="241"/>
    </row>
    <row r="156">
      <c r="A156" s="385" t="s">
        <v>216</v>
      </c>
      <c r="B156" s="387" t="s">
        <v>439</v>
      </c>
      <c r="C156" s="313">
        <v>6.0</v>
      </c>
      <c r="D156" s="313">
        <v>0.5</v>
      </c>
      <c r="E156" s="393" t="s">
        <v>331</v>
      </c>
      <c r="F156" s="393" t="s">
        <v>331</v>
      </c>
      <c r="G156" s="390" t="s">
        <v>329</v>
      </c>
      <c r="H156" s="313">
        <v>2.0</v>
      </c>
      <c r="I156" s="313" t="s">
        <v>178</v>
      </c>
      <c r="J156" s="313">
        <v>0.8</v>
      </c>
      <c r="K156" s="313" t="s">
        <v>178</v>
      </c>
      <c r="L156" s="313">
        <v>10.0</v>
      </c>
      <c r="M156" s="313" t="s">
        <v>440</v>
      </c>
      <c r="N156" s="233"/>
      <c r="O156" s="233"/>
      <c r="P156" s="233"/>
      <c r="Q156" s="233"/>
      <c r="R156" s="233"/>
      <c r="S156" s="233"/>
      <c r="T156" s="233"/>
      <c r="U156" s="233"/>
      <c r="V156" s="233"/>
      <c r="W156" s="233"/>
      <c r="X156" s="233"/>
      <c r="Y156" s="233"/>
      <c r="Z156" s="312"/>
      <c r="AA156" s="243"/>
      <c r="AB156" s="243"/>
      <c r="AC156" s="243"/>
      <c r="AD156" s="243"/>
      <c r="AE156" s="243"/>
      <c r="AF156" s="243"/>
      <c r="AG156" s="243"/>
      <c r="AH156" s="243"/>
      <c r="AI156" s="243"/>
      <c r="AJ156" s="243"/>
      <c r="AK156" s="241"/>
      <c r="AL156" s="241"/>
      <c r="AM156" s="241"/>
      <c r="AN156" s="241"/>
      <c r="AO156" s="241"/>
      <c r="AP156" s="241"/>
      <c r="AQ156" s="241"/>
      <c r="AR156" s="241"/>
    </row>
    <row r="157">
      <c r="A157" s="385" t="s">
        <v>216</v>
      </c>
      <c r="B157" s="387" t="s">
        <v>441</v>
      </c>
      <c r="C157" s="313">
        <v>8.0</v>
      </c>
      <c r="D157" s="313">
        <v>0.75</v>
      </c>
      <c r="E157" s="390" t="s">
        <v>329</v>
      </c>
      <c r="F157" s="390" t="s">
        <v>329</v>
      </c>
      <c r="G157" s="393" t="s">
        <v>331</v>
      </c>
      <c r="H157" s="313">
        <v>4.0</v>
      </c>
      <c r="I157" s="313" t="s">
        <v>178</v>
      </c>
      <c r="J157" s="313">
        <v>1.0</v>
      </c>
      <c r="K157" s="313" t="s">
        <v>178</v>
      </c>
      <c r="L157" s="313">
        <v>5.0</v>
      </c>
      <c r="M157" s="313" t="s">
        <v>380</v>
      </c>
      <c r="N157" s="233"/>
      <c r="O157" s="233"/>
      <c r="P157" s="233"/>
      <c r="Q157" s="233"/>
      <c r="R157" s="233"/>
      <c r="S157" s="233"/>
      <c r="T157" s="233"/>
      <c r="U157" s="233"/>
      <c r="V157" s="233"/>
      <c r="W157" s="233"/>
      <c r="X157" s="233"/>
      <c r="Y157" s="233"/>
      <c r="Z157" s="312"/>
      <c r="AA157" s="243"/>
      <c r="AB157" s="243"/>
      <c r="AC157" s="243"/>
      <c r="AD157" s="243"/>
      <c r="AE157" s="243"/>
      <c r="AF157" s="243"/>
      <c r="AG157" s="243"/>
      <c r="AH157" s="243"/>
      <c r="AI157" s="243"/>
      <c r="AJ157" s="243"/>
      <c r="AK157" s="241"/>
      <c r="AL157" s="241"/>
      <c r="AM157" s="241"/>
      <c r="AN157" s="241"/>
      <c r="AO157" s="241"/>
      <c r="AP157" s="241"/>
      <c r="AQ157" s="241"/>
      <c r="AR157" s="241"/>
    </row>
    <row r="158">
      <c r="A158" s="385" t="s">
        <v>216</v>
      </c>
      <c r="B158" s="387" t="s">
        <v>443</v>
      </c>
      <c r="C158" s="313">
        <v>12.0</v>
      </c>
      <c r="D158" s="313">
        <v>1.0</v>
      </c>
      <c r="E158" s="390" t="s">
        <v>329</v>
      </c>
      <c r="F158" s="393" t="s">
        <v>331</v>
      </c>
      <c r="G158" s="390" t="s">
        <v>329</v>
      </c>
      <c r="H158" s="313">
        <v>2.0</v>
      </c>
      <c r="I158" s="313" t="s">
        <v>178</v>
      </c>
      <c r="J158" s="313">
        <v>0.0</v>
      </c>
      <c r="K158" s="313" t="s">
        <v>178</v>
      </c>
      <c r="L158" s="313">
        <v>10.0</v>
      </c>
      <c r="M158" s="313" t="s">
        <v>342</v>
      </c>
      <c r="N158" s="233"/>
      <c r="O158" s="233"/>
      <c r="P158" s="233"/>
      <c r="Q158" s="233"/>
      <c r="R158" s="233"/>
      <c r="S158" s="233"/>
      <c r="T158" s="233"/>
      <c r="U158" s="233"/>
      <c r="V158" s="233"/>
      <c r="W158" s="233"/>
      <c r="X158" s="233"/>
      <c r="Y158" s="233"/>
      <c r="Z158" s="312"/>
      <c r="AA158" s="243"/>
      <c r="AB158" s="243"/>
      <c r="AC158" s="243"/>
      <c r="AD158" s="243"/>
      <c r="AE158" s="243"/>
      <c r="AF158" s="243"/>
      <c r="AG158" s="243"/>
      <c r="AH158" s="243"/>
      <c r="AI158" s="243"/>
      <c r="AJ158" s="243"/>
      <c r="AK158" s="241"/>
      <c r="AL158" s="241"/>
      <c r="AM158" s="241"/>
      <c r="AN158" s="241"/>
      <c r="AO158" s="241"/>
      <c r="AP158" s="241"/>
      <c r="AQ158" s="241"/>
      <c r="AR158" s="241"/>
    </row>
    <row r="159">
      <c r="A159" s="385" t="s">
        <v>216</v>
      </c>
      <c r="B159" s="387" t="s">
        <v>444</v>
      </c>
      <c r="C159" s="313">
        <v>10.0</v>
      </c>
      <c r="D159" s="313">
        <v>1.0</v>
      </c>
      <c r="E159" s="390" t="s">
        <v>329</v>
      </c>
      <c r="F159" s="393" t="s">
        <v>331</v>
      </c>
      <c r="G159" s="393" t="s">
        <v>331</v>
      </c>
      <c r="H159" s="313">
        <v>4.0</v>
      </c>
      <c r="I159" s="313" t="s">
        <v>178</v>
      </c>
      <c r="J159" s="313">
        <v>0.0</v>
      </c>
      <c r="K159" s="313" t="s">
        <v>178</v>
      </c>
      <c r="L159" s="313">
        <v>5.0</v>
      </c>
      <c r="M159" s="313" t="s">
        <v>342</v>
      </c>
      <c r="N159" s="233"/>
      <c r="O159" s="233"/>
      <c r="P159" s="233"/>
      <c r="Q159" s="233"/>
      <c r="R159" s="233"/>
      <c r="S159" s="233"/>
      <c r="T159" s="233"/>
      <c r="U159" s="233"/>
      <c r="V159" s="233"/>
      <c r="W159" s="233"/>
      <c r="X159" s="233"/>
      <c r="Y159" s="233"/>
      <c r="Z159" s="312"/>
      <c r="AA159" s="243"/>
      <c r="AB159" s="243"/>
      <c r="AC159" s="243"/>
      <c r="AD159" s="243"/>
      <c r="AE159" s="243"/>
      <c r="AF159" s="243"/>
      <c r="AG159" s="243"/>
      <c r="AH159" s="243"/>
      <c r="AI159" s="243"/>
      <c r="AJ159" s="243"/>
      <c r="AK159" s="241"/>
      <c r="AL159" s="241"/>
      <c r="AM159" s="241"/>
      <c r="AN159" s="241"/>
      <c r="AO159" s="241"/>
      <c r="AP159" s="241"/>
      <c r="AQ159" s="241"/>
      <c r="AR159" s="241"/>
    </row>
    <row r="160">
      <c r="A160" s="385" t="s">
        <v>216</v>
      </c>
      <c r="B160" s="387" t="s">
        <v>445</v>
      </c>
      <c r="C160" s="313">
        <v>10.0</v>
      </c>
      <c r="D160" s="313">
        <v>1.0</v>
      </c>
      <c r="E160" s="393" t="s">
        <v>331</v>
      </c>
      <c r="F160" s="393" t="s">
        <v>331</v>
      </c>
      <c r="G160" s="390" t="s">
        <v>329</v>
      </c>
      <c r="H160" s="313">
        <v>6.0</v>
      </c>
      <c r="I160" s="313" t="s">
        <v>178</v>
      </c>
      <c r="J160" s="313">
        <v>0.0</v>
      </c>
      <c r="K160" s="313" t="s">
        <v>178</v>
      </c>
      <c r="L160" s="313">
        <v>10.0</v>
      </c>
      <c r="M160" s="313" t="s">
        <v>342</v>
      </c>
      <c r="N160" s="233"/>
      <c r="O160" s="233"/>
      <c r="P160" s="233"/>
      <c r="Q160" s="233"/>
      <c r="R160" s="233"/>
      <c r="S160" s="233"/>
      <c r="T160" s="233"/>
      <c r="U160" s="233"/>
      <c r="V160" s="233"/>
      <c r="W160" s="233"/>
      <c r="X160" s="233"/>
      <c r="Y160" s="233"/>
      <c r="Z160" s="312"/>
      <c r="AA160" s="243"/>
      <c r="AB160" s="243"/>
      <c r="AC160" s="243"/>
      <c r="AD160" s="243"/>
      <c r="AE160" s="243"/>
      <c r="AF160" s="243"/>
      <c r="AG160" s="243"/>
      <c r="AH160" s="243"/>
      <c r="AI160" s="243"/>
      <c r="AJ160" s="243"/>
      <c r="AK160" s="241"/>
      <c r="AL160" s="241"/>
      <c r="AM160" s="241"/>
      <c r="AN160" s="241"/>
      <c r="AO160" s="241"/>
      <c r="AP160" s="241"/>
      <c r="AQ160" s="241"/>
      <c r="AR160" s="241"/>
    </row>
    <row r="161">
      <c r="A161" s="385" t="s">
        <v>216</v>
      </c>
      <c r="B161" s="387" t="s">
        <v>446</v>
      </c>
      <c r="C161" s="313">
        <v>10.0</v>
      </c>
      <c r="D161" s="313">
        <v>1.0</v>
      </c>
      <c r="E161" s="390" t="s">
        <v>329</v>
      </c>
      <c r="F161" s="393" t="s">
        <v>331</v>
      </c>
      <c r="G161" s="390" t="s">
        <v>329</v>
      </c>
      <c r="H161" s="313">
        <v>4.0</v>
      </c>
      <c r="I161" s="313" t="s">
        <v>178</v>
      </c>
      <c r="J161" s="313">
        <v>0.75</v>
      </c>
      <c r="K161" s="313" t="s">
        <v>178</v>
      </c>
      <c r="L161" s="313">
        <v>10.0</v>
      </c>
      <c r="M161" s="313" t="s">
        <v>335</v>
      </c>
      <c r="N161" s="233"/>
      <c r="O161" s="233"/>
      <c r="P161" s="233"/>
      <c r="Q161" s="233"/>
      <c r="R161" s="233"/>
      <c r="S161" s="233"/>
      <c r="T161" s="233"/>
      <c r="U161" s="233"/>
      <c r="V161" s="233"/>
      <c r="W161" s="233"/>
      <c r="X161" s="233"/>
      <c r="Y161" s="233"/>
      <c r="Z161" s="312"/>
      <c r="AA161" s="243"/>
      <c r="AB161" s="243"/>
      <c r="AC161" s="243"/>
      <c r="AD161" s="243"/>
      <c r="AE161" s="243"/>
      <c r="AF161" s="243"/>
      <c r="AG161" s="243"/>
      <c r="AH161" s="243"/>
      <c r="AI161" s="243"/>
      <c r="AJ161" s="243"/>
      <c r="AK161" s="241"/>
      <c r="AL161" s="241"/>
      <c r="AM161" s="241"/>
      <c r="AN161" s="241"/>
      <c r="AO161" s="241"/>
      <c r="AP161" s="241"/>
      <c r="AQ161" s="241"/>
      <c r="AR161" s="241"/>
    </row>
    <row r="162">
      <c r="A162" s="385" t="s">
        <v>216</v>
      </c>
      <c r="B162" s="387" t="s">
        <v>447</v>
      </c>
      <c r="C162" s="313">
        <v>10.0</v>
      </c>
      <c r="D162" s="313">
        <v>1.0</v>
      </c>
      <c r="E162" s="393" t="s">
        <v>331</v>
      </c>
      <c r="F162" s="390" t="s">
        <v>329</v>
      </c>
      <c r="G162" s="393" t="s">
        <v>331</v>
      </c>
      <c r="H162" s="313">
        <v>2.0</v>
      </c>
      <c r="I162" s="313" t="s">
        <v>178</v>
      </c>
      <c r="J162" s="313">
        <v>0.0</v>
      </c>
      <c r="K162" s="313" t="s">
        <v>178</v>
      </c>
      <c r="L162" s="313">
        <v>10.0</v>
      </c>
      <c r="M162" s="313" t="s">
        <v>342</v>
      </c>
      <c r="N162" s="233"/>
      <c r="O162" s="233"/>
      <c r="P162" s="233"/>
      <c r="Q162" s="233"/>
      <c r="R162" s="233"/>
      <c r="S162" s="233"/>
      <c r="T162" s="233"/>
      <c r="U162" s="233"/>
      <c r="V162" s="233"/>
      <c r="W162" s="233"/>
      <c r="X162" s="233"/>
      <c r="Y162" s="233"/>
      <c r="Z162" s="312"/>
      <c r="AA162" s="243"/>
      <c r="AB162" s="243"/>
      <c r="AC162" s="243"/>
      <c r="AD162" s="243"/>
      <c r="AE162" s="243"/>
      <c r="AF162" s="243"/>
      <c r="AG162" s="243"/>
      <c r="AH162" s="243"/>
      <c r="AI162" s="243"/>
      <c r="AJ162" s="243"/>
      <c r="AK162" s="241"/>
      <c r="AL162" s="241"/>
      <c r="AM162" s="241"/>
      <c r="AN162" s="241"/>
      <c r="AO162" s="241"/>
      <c r="AP162" s="241"/>
      <c r="AQ162" s="241"/>
      <c r="AR162" s="241"/>
    </row>
    <row r="163">
      <c r="A163" s="385" t="s">
        <v>216</v>
      </c>
      <c r="B163" s="387" t="s">
        <v>448</v>
      </c>
      <c r="C163" s="313">
        <v>6.0</v>
      </c>
      <c r="D163" s="313">
        <v>0.5</v>
      </c>
      <c r="E163" s="393" t="s">
        <v>331</v>
      </c>
      <c r="F163" s="393" t="s">
        <v>331</v>
      </c>
      <c r="G163" s="390" t="s">
        <v>329</v>
      </c>
      <c r="H163" s="313">
        <v>2.0</v>
      </c>
      <c r="I163" s="313" t="s">
        <v>178</v>
      </c>
      <c r="J163" s="313">
        <v>0.75</v>
      </c>
      <c r="K163" s="313" t="s">
        <v>178</v>
      </c>
      <c r="L163" s="313">
        <v>10.0</v>
      </c>
      <c r="M163" s="313" t="s">
        <v>335</v>
      </c>
      <c r="N163" s="233"/>
      <c r="O163" s="233"/>
      <c r="P163" s="233"/>
      <c r="Q163" s="233"/>
      <c r="R163" s="233"/>
      <c r="S163" s="233"/>
      <c r="T163" s="233"/>
      <c r="U163" s="233"/>
      <c r="V163" s="233"/>
      <c r="W163" s="233"/>
      <c r="X163" s="233"/>
      <c r="Y163" s="233"/>
      <c r="Z163" s="312"/>
      <c r="AA163" s="243"/>
      <c r="AB163" s="243"/>
      <c r="AC163" s="243"/>
      <c r="AD163" s="243"/>
      <c r="AE163" s="243"/>
      <c r="AF163" s="243"/>
      <c r="AG163" s="243"/>
      <c r="AH163" s="243"/>
      <c r="AI163" s="243"/>
      <c r="AJ163" s="243"/>
      <c r="AK163" s="241"/>
      <c r="AL163" s="241"/>
      <c r="AM163" s="241"/>
      <c r="AN163" s="241"/>
      <c r="AO163" s="241"/>
      <c r="AP163" s="241"/>
      <c r="AQ163" s="241"/>
      <c r="AR163" s="241"/>
    </row>
    <row r="164">
      <c r="A164" s="385" t="s">
        <v>216</v>
      </c>
      <c r="B164" s="387" t="s">
        <v>449</v>
      </c>
      <c r="C164" s="313">
        <v>6.0</v>
      </c>
      <c r="D164" s="313">
        <v>0.5</v>
      </c>
      <c r="E164" s="393" t="s">
        <v>331</v>
      </c>
      <c r="F164" s="393" t="s">
        <v>331</v>
      </c>
      <c r="G164" s="390" t="s">
        <v>329</v>
      </c>
      <c r="H164" s="313">
        <v>4.0</v>
      </c>
      <c r="I164" s="313" t="s">
        <v>178</v>
      </c>
      <c r="J164" s="313">
        <v>0.9</v>
      </c>
      <c r="K164" s="313" t="s">
        <v>178</v>
      </c>
      <c r="L164" s="313">
        <v>10.0</v>
      </c>
      <c r="M164" s="313" t="s">
        <v>359</v>
      </c>
      <c r="N164" s="233"/>
      <c r="O164" s="233"/>
      <c r="P164" s="233"/>
      <c r="Q164" s="233"/>
      <c r="R164" s="233"/>
      <c r="S164" s="233"/>
      <c r="T164" s="233"/>
      <c r="U164" s="233"/>
      <c r="V164" s="233"/>
      <c r="W164" s="233"/>
      <c r="X164" s="233"/>
      <c r="Y164" s="233"/>
      <c r="Z164" s="312"/>
      <c r="AA164" s="243"/>
      <c r="AB164" s="243"/>
      <c r="AC164" s="243"/>
      <c r="AD164" s="243"/>
      <c r="AE164" s="243"/>
      <c r="AF164" s="243"/>
      <c r="AG164" s="243"/>
      <c r="AH164" s="243"/>
      <c r="AI164" s="243"/>
      <c r="AJ164" s="243"/>
      <c r="AK164" s="241"/>
      <c r="AL164" s="241"/>
      <c r="AM164" s="241"/>
      <c r="AN164" s="241"/>
      <c r="AO164" s="241"/>
      <c r="AP164" s="241"/>
      <c r="AQ164" s="241"/>
      <c r="AR164" s="241"/>
    </row>
    <row r="165">
      <c r="A165" s="385" t="s">
        <v>216</v>
      </c>
      <c r="B165" s="387" t="s">
        <v>451</v>
      </c>
      <c r="C165" s="313">
        <v>8.0</v>
      </c>
      <c r="D165" s="313">
        <v>0.75</v>
      </c>
      <c r="E165" s="390" t="s">
        <v>329</v>
      </c>
      <c r="F165" s="393" t="s">
        <v>331</v>
      </c>
      <c r="G165" s="390" t="s">
        <v>329</v>
      </c>
      <c r="H165" s="313">
        <v>4.0</v>
      </c>
      <c r="I165" s="313" t="s">
        <v>178</v>
      </c>
      <c r="J165" s="313">
        <v>0.75</v>
      </c>
      <c r="K165" s="313" t="s">
        <v>178</v>
      </c>
      <c r="L165" s="313">
        <v>10.0</v>
      </c>
      <c r="M165" s="313" t="s">
        <v>335</v>
      </c>
      <c r="N165" s="233"/>
      <c r="O165" s="233"/>
      <c r="P165" s="233"/>
      <c r="Q165" s="233"/>
      <c r="R165" s="233"/>
      <c r="S165" s="233"/>
      <c r="T165" s="233"/>
      <c r="U165" s="233"/>
      <c r="V165" s="233"/>
      <c r="W165" s="233"/>
      <c r="X165" s="233"/>
      <c r="Y165" s="233"/>
      <c r="Z165" s="312"/>
      <c r="AA165" s="243"/>
      <c r="AB165" s="243"/>
      <c r="AC165" s="243"/>
      <c r="AD165" s="243"/>
      <c r="AE165" s="243"/>
      <c r="AF165" s="243"/>
      <c r="AG165" s="243"/>
      <c r="AH165" s="243"/>
      <c r="AI165" s="243"/>
      <c r="AJ165" s="243"/>
      <c r="AK165" s="241"/>
      <c r="AL165" s="241"/>
      <c r="AM165" s="241"/>
      <c r="AN165" s="241"/>
      <c r="AO165" s="241"/>
      <c r="AP165" s="241"/>
      <c r="AQ165" s="241"/>
      <c r="AR165" s="241"/>
    </row>
    <row r="166">
      <c r="A166" s="385" t="s">
        <v>216</v>
      </c>
      <c r="B166" s="387" t="s">
        <v>452</v>
      </c>
      <c r="C166" s="313">
        <v>6.0</v>
      </c>
      <c r="D166" s="313">
        <v>0.5</v>
      </c>
      <c r="E166" s="393" t="s">
        <v>331</v>
      </c>
      <c r="F166" s="393" t="s">
        <v>331</v>
      </c>
      <c r="G166" s="390" t="s">
        <v>329</v>
      </c>
      <c r="H166" s="313">
        <v>2.0</v>
      </c>
      <c r="I166" s="313" t="s">
        <v>178</v>
      </c>
      <c r="J166" s="313">
        <v>1.0</v>
      </c>
      <c r="K166" s="313" t="s">
        <v>178</v>
      </c>
      <c r="L166" s="313">
        <v>10.0</v>
      </c>
      <c r="M166" s="313" t="s">
        <v>340</v>
      </c>
      <c r="N166" s="233"/>
      <c r="O166" s="233"/>
      <c r="P166" s="233"/>
      <c r="Q166" s="233"/>
      <c r="R166" s="233"/>
      <c r="S166" s="233"/>
      <c r="T166" s="233"/>
      <c r="U166" s="233"/>
      <c r="V166" s="233"/>
      <c r="W166" s="233"/>
      <c r="X166" s="233"/>
      <c r="Y166" s="233"/>
      <c r="Z166" s="312"/>
      <c r="AA166" s="243"/>
      <c r="AB166" s="243"/>
      <c r="AC166" s="243"/>
      <c r="AD166" s="243"/>
      <c r="AE166" s="243"/>
      <c r="AF166" s="243"/>
      <c r="AG166" s="243"/>
      <c r="AH166" s="243"/>
      <c r="AI166" s="243"/>
      <c r="AJ166" s="243"/>
      <c r="AK166" s="241"/>
      <c r="AL166" s="241"/>
      <c r="AM166" s="241"/>
      <c r="AN166" s="241"/>
      <c r="AO166" s="241"/>
      <c r="AP166" s="241"/>
      <c r="AQ166" s="241"/>
      <c r="AR166" s="241"/>
    </row>
    <row r="167">
      <c r="A167" s="385" t="s">
        <v>216</v>
      </c>
      <c r="B167" s="387" t="s">
        <v>453</v>
      </c>
      <c r="C167" s="313">
        <v>6.0</v>
      </c>
      <c r="D167" s="313">
        <v>0.5</v>
      </c>
      <c r="E167" s="393" t="s">
        <v>331</v>
      </c>
      <c r="F167" s="393" t="s">
        <v>331</v>
      </c>
      <c r="G167" s="390" t="s">
        <v>329</v>
      </c>
      <c r="H167" s="313">
        <v>2.0</v>
      </c>
      <c r="I167" s="313" t="s">
        <v>178</v>
      </c>
      <c r="J167" s="313">
        <v>0.9</v>
      </c>
      <c r="K167" s="313" t="s">
        <v>178</v>
      </c>
      <c r="L167" s="313">
        <v>10.0</v>
      </c>
      <c r="M167" s="313" t="s">
        <v>359</v>
      </c>
      <c r="N167" s="233"/>
      <c r="O167" s="233"/>
      <c r="P167" s="233"/>
      <c r="Q167" s="233"/>
      <c r="R167" s="233"/>
      <c r="S167" s="233"/>
      <c r="T167" s="233"/>
      <c r="U167" s="233"/>
      <c r="V167" s="233"/>
      <c r="W167" s="233"/>
      <c r="X167" s="233"/>
      <c r="Y167" s="233"/>
      <c r="Z167" s="312"/>
      <c r="AA167" s="243"/>
      <c r="AB167" s="243"/>
      <c r="AC167" s="243"/>
      <c r="AD167" s="243"/>
      <c r="AE167" s="243"/>
      <c r="AF167" s="243"/>
      <c r="AG167" s="243"/>
      <c r="AH167" s="243"/>
      <c r="AI167" s="243"/>
      <c r="AJ167" s="243"/>
      <c r="AK167" s="241"/>
      <c r="AL167" s="241"/>
      <c r="AM167" s="241"/>
      <c r="AN167" s="241"/>
      <c r="AO167" s="241"/>
      <c r="AP167" s="241"/>
      <c r="AQ167" s="241"/>
      <c r="AR167" s="241"/>
    </row>
    <row r="168">
      <c r="A168" s="245"/>
      <c r="B168" s="339" t="s">
        <v>454</v>
      </c>
      <c r="C168" s="233"/>
      <c r="D168" s="228"/>
      <c r="E168" s="228"/>
      <c r="F168" s="228"/>
      <c r="G168" s="228"/>
      <c r="H168" s="228"/>
      <c r="I168" s="228"/>
      <c r="J168" s="228"/>
      <c r="K168" s="233"/>
      <c r="L168" s="233"/>
      <c r="M168" s="233"/>
      <c r="N168" s="233"/>
      <c r="O168" s="233"/>
      <c r="P168" s="233"/>
      <c r="Q168" s="233"/>
      <c r="R168" s="233"/>
      <c r="S168" s="233"/>
      <c r="T168" s="233"/>
      <c r="U168" s="233"/>
      <c r="V168" s="233"/>
      <c r="W168" s="233"/>
      <c r="X168" s="233"/>
      <c r="Y168" s="233"/>
      <c r="Z168" s="312"/>
      <c r="AA168" s="243"/>
      <c r="AB168" s="243"/>
      <c r="AC168" s="243"/>
      <c r="AD168" s="243"/>
      <c r="AE168" s="243"/>
      <c r="AF168" s="243"/>
      <c r="AG168" s="243"/>
      <c r="AH168" s="243"/>
      <c r="AI168" s="243"/>
      <c r="AJ168" s="243"/>
      <c r="AK168" s="241"/>
      <c r="AL168" s="241"/>
      <c r="AM168" s="241"/>
      <c r="AN168" s="241"/>
      <c r="AO168" s="241"/>
      <c r="AP168" s="241"/>
      <c r="AQ168" s="241"/>
      <c r="AR168" s="241"/>
    </row>
    <row r="169">
      <c r="A169" s="228"/>
      <c r="B169" s="228"/>
      <c r="C169" s="233"/>
      <c r="D169" s="228"/>
      <c r="E169" s="228"/>
      <c r="F169" s="228"/>
      <c r="G169" s="228"/>
      <c r="H169" s="228"/>
      <c r="I169" s="228"/>
      <c r="J169" s="228"/>
      <c r="K169" s="233"/>
      <c r="L169" s="233"/>
      <c r="M169" s="233"/>
      <c r="N169" s="233"/>
      <c r="O169" s="233"/>
      <c r="P169" s="233"/>
      <c r="Q169" s="233"/>
      <c r="R169" s="233"/>
      <c r="S169" s="233"/>
      <c r="T169" s="233"/>
      <c r="U169" s="233"/>
      <c r="V169" s="233"/>
      <c r="W169" s="233"/>
      <c r="X169" s="233"/>
      <c r="Y169" s="233"/>
      <c r="Z169" s="312"/>
      <c r="AA169" s="243"/>
      <c r="AB169" s="243"/>
      <c r="AC169" s="243"/>
      <c r="AD169" s="243"/>
      <c r="AE169" s="243"/>
      <c r="AF169" s="243"/>
      <c r="AG169" s="243"/>
      <c r="AH169" s="243"/>
      <c r="AI169" s="243"/>
      <c r="AJ169" s="243"/>
      <c r="AK169" s="241"/>
      <c r="AL169" s="241"/>
      <c r="AM169" s="241"/>
      <c r="AN169" s="241"/>
      <c r="AO169" s="241"/>
      <c r="AP169" s="241"/>
      <c r="AQ169" s="241"/>
      <c r="AR169" s="241"/>
    </row>
    <row r="170">
      <c r="A170" s="228"/>
      <c r="B170" s="430" t="s">
        <v>455</v>
      </c>
      <c r="C170" s="233"/>
      <c r="D170" s="228"/>
      <c r="E170" s="228"/>
      <c r="F170" s="228"/>
      <c r="G170" s="228"/>
      <c r="H170" s="228"/>
      <c r="I170" s="228"/>
      <c r="J170" s="228"/>
      <c r="K170" s="233"/>
      <c r="L170" s="233"/>
      <c r="M170" s="233"/>
      <c r="N170" s="233"/>
      <c r="O170" s="233"/>
      <c r="P170" s="233"/>
      <c r="Q170" s="233"/>
      <c r="R170" s="233"/>
      <c r="S170" s="233"/>
      <c r="T170" s="233"/>
      <c r="U170" s="233"/>
      <c r="V170" s="233"/>
      <c r="W170" s="233"/>
      <c r="X170" s="233"/>
      <c r="Y170" s="233"/>
      <c r="Z170" s="312"/>
      <c r="AA170" s="243"/>
      <c r="AB170" s="243"/>
      <c r="AC170" s="243"/>
      <c r="AD170" s="243"/>
      <c r="AE170" s="243"/>
      <c r="AF170" s="243"/>
      <c r="AG170" s="243"/>
      <c r="AH170" s="243"/>
      <c r="AI170" s="243"/>
      <c r="AJ170" s="243"/>
      <c r="AK170" s="241"/>
      <c r="AL170" s="241"/>
      <c r="AM170" s="241"/>
      <c r="AN170" s="241"/>
      <c r="AO170" s="241"/>
      <c r="AP170" s="241"/>
      <c r="AQ170" s="241"/>
      <c r="AR170" s="241"/>
    </row>
    <row r="171">
      <c r="A171" s="245"/>
      <c r="B171" s="246" t="s">
        <v>457</v>
      </c>
      <c r="C171" s="250" t="s">
        <v>11</v>
      </c>
      <c r="D171" s="252" t="s">
        <v>13</v>
      </c>
      <c r="E171" s="252" t="s">
        <v>14</v>
      </c>
      <c r="F171" s="252" t="s">
        <v>159</v>
      </c>
      <c r="G171" s="252" t="s">
        <v>16</v>
      </c>
      <c r="H171" s="252" t="s">
        <v>12</v>
      </c>
      <c r="I171" s="255" t="s">
        <v>160</v>
      </c>
      <c r="J171" s="252" t="s">
        <v>325</v>
      </c>
      <c r="K171" s="258" t="s">
        <v>163</v>
      </c>
      <c r="L171" s="250" t="s">
        <v>326</v>
      </c>
      <c r="M171" s="250" t="str">
        <f>IF(AND(ISNUMBER(J171),J171&gt;0),int(J171*L171)&amp;" / "&amp;L171,IF(AND(ISNUMBER(J171),J171=0),"None",))</f>
        <v/>
      </c>
      <c r="N171" s="233"/>
      <c r="O171" s="233"/>
      <c r="P171" s="233"/>
      <c r="Q171" s="233"/>
      <c r="R171" s="233"/>
      <c r="S171" s="233"/>
      <c r="T171" s="233"/>
      <c r="U171" s="233"/>
      <c r="V171" s="233"/>
      <c r="W171" s="233"/>
      <c r="X171" s="233"/>
      <c r="Y171" s="233"/>
      <c r="Z171" s="312"/>
      <c r="AA171" s="243"/>
      <c r="AB171" s="243"/>
      <c r="AC171" s="243"/>
      <c r="AD171" s="243"/>
      <c r="AE171" s="243"/>
      <c r="AF171" s="243"/>
      <c r="AG171" s="243"/>
      <c r="AH171" s="243"/>
      <c r="AI171" s="243"/>
      <c r="AJ171" s="243"/>
      <c r="AK171" s="241"/>
      <c r="AL171" s="241"/>
      <c r="AM171" s="241"/>
      <c r="AN171" s="241"/>
      <c r="AO171" s="241"/>
      <c r="AP171" s="241"/>
      <c r="AQ171" s="241"/>
      <c r="AR171" s="241"/>
    </row>
    <row r="172">
      <c r="A172" s="433" t="s">
        <v>220</v>
      </c>
      <c r="B172" s="385" t="s">
        <v>463</v>
      </c>
      <c r="C172" s="313">
        <v>10.0</v>
      </c>
      <c r="D172" s="313">
        <v>1.0</v>
      </c>
      <c r="E172" s="316" t="s">
        <v>167</v>
      </c>
      <c r="F172" s="317" t="s">
        <v>168</v>
      </c>
      <c r="G172" s="264" t="s">
        <v>167</v>
      </c>
      <c r="H172" s="313">
        <v>4.0</v>
      </c>
      <c r="I172" s="252" t="s">
        <v>178</v>
      </c>
      <c r="J172" s="252" t="s">
        <v>178</v>
      </c>
      <c r="K172" s="258" t="s">
        <v>178</v>
      </c>
      <c r="L172" s="258" t="s">
        <v>178</v>
      </c>
      <c r="M172" s="250"/>
      <c r="N172" s="233"/>
      <c r="O172" s="233"/>
      <c r="P172" s="233"/>
      <c r="Q172" s="233"/>
      <c r="R172" s="233"/>
      <c r="S172" s="233"/>
      <c r="T172" s="233"/>
      <c r="U172" s="233"/>
      <c r="V172" s="233"/>
      <c r="W172" s="233"/>
      <c r="X172" s="233"/>
      <c r="Y172" s="233"/>
      <c r="Z172" s="312"/>
      <c r="AA172" s="243"/>
      <c r="AB172" s="243"/>
      <c r="AC172" s="243"/>
      <c r="AD172" s="243"/>
      <c r="AE172" s="243"/>
      <c r="AF172" s="243"/>
      <c r="AG172" s="243"/>
      <c r="AH172" s="243"/>
      <c r="AI172" s="243"/>
      <c r="AJ172" s="243"/>
      <c r="AK172" s="241"/>
      <c r="AL172" s="241"/>
      <c r="AM172" s="241"/>
      <c r="AN172" s="241"/>
      <c r="AO172" s="241"/>
      <c r="AP172" s="241"/>
      <c r="AQ172" s="241"/>
      <c r="AR172" s="241"/>
    </row>
    <row r="173">
      <c r="A173" s="433" t="s">
        <v>220</v>
      </c>
      <c r="B173" s="385" t="s">
        <v>471</v>
      </c>
      <c r="C173" s="313">
        <v>8.0</v>
      </c>
      <c r="D173" s="313">
        <v>0.75</v>
      </c>
      <c r="E173" s="316" t="s">
        <v>167</v>
      </c>
      <c r="F173" s="316" t="s">
        <v>167</v>
      </c>
      <c r="G173" s="316" t="s">
        <v>167</v>
      </c>
      <c r="H173" s="313">
        <v>4.0</v>
      </c>
      <c r="I173" s="252" t="s">
        <v>178</v>
      </c>
      <c r="J173" s="252" t="s">
        <v>178</v>
      </c>
      <c r="K173" s="258" t="s">
        <v>178</v>
      </c>
      <c r="L173" s="258" t="s">
        <v>178</v>
      </c>
      <c r="M173" s="250"/>
      <c r="N173" s="233"/>
      <c r="O173" s="233"/>
      <c r="P173" s="233"/>
      <c r="Q173" s="233"/>
      <c r="R173" s="233"/>
      <c r="S173" s="233"/>
      <c r="T173" s="233"/>
      <c r="U173" s="233"/>
      <c r="V173" s="233"/>
      <c r="W173" s="233"/>
      <c r="X173" s="233"/>
      <c r="Y173" s="233"/>
      <c r="Z173" s="312"/>
      <c r="AA173" s="243"/>
      <c r="AB173" s="243"/>
      <c r="AC173" s="243"/>
      <c r="AD173" s="243"/>
      <c r="AE173" s="243"/>
      <c r="AF173" s="243"/>
      <c r="AG173" s="243"/>
      <c r="AH173" s="243"/>
      <c r="AI173" s="243"/>
      <c r="AJ173" s="243"/>
      <c r="AK173" s="241"/>
      <c r="AL173" s="241"/>
      <c r="AM173" s="241"/>
      <c r="AN173" s="241"/>
      <c r="AO173" s="241"/>
      <c r="AP173" s="241"/>
      <c r="AQ173" s="241"/>
      <c r="AR173" s="241"/>
    </row>
    <row r="174">
      <c r="A174" s="433" t="s">
        <v>220</v>
      </c>
      <c r="B174" s="385" t="s">
        <v>472</v>
      </c>
      <c r="C174" s="313">
        <v>8.0</v>
      </c>
      <c r="D174" s="313">
        <v>0.75</v>
      </c>
      <c r="E174" s="317" t="s">
        <v>168</v>
      </c>
      <c r="F174" s="316" t="s">
        <v>167</v>
      </c>
      <c r="G174" s="316" t="s">
        <v>167</v>
      </c>
      <c r="H174" s="313">
        <v>4.0</v>
      </c>
      <c r="I174" s="252" t="s">
        <v>178</v>
      </c>
      <c r="J174" s="252" t="s">
        <v>178</v>
      </c>
      <c r="K174" s="258" t="s">
        <v>178</v>
      </c>
      <c r="L174" s="258" t="s">
        <v>178</v>
      </c>
      <c r="M174" s="250"/>
      <c r="N174" s="233"/>
      <c r="O174" s="233"/>
      <c r="P174" s="233"/>
      <c r="Q174" s="233"/>
      <c r="R174" s="233"/>
      <c r="S174" s="233"/>
      <c r="T174" s="233"/>
      <c r="U174" s="233"/>
      <c r="V174" s="233"/>
      <c r="W174" s="233"/>
      <c r="X174" s="233"/>
      <c r="Y174" s="233"/>
      <c r="Z174" s="312"/>
      <c r="AA174" s="243"/>
      <c r="AB174" s="243"/>
      <c r="AC174" s="243"/>
      <c r="AD174" s="243"/>
      <c r="AE174" s="243"/>
      <c r="AF174" s="243"/>
      <c r="AG174" s="243"/>
      <c r="AH174" s="243"/>
      <c r="AI174" s="243"/>
      <c r="AJ174" s="243"/>
      <c r="AK174" s="241"/>
      <c r="AL174" s="241"/>
      <c r="AM174" s="241"/>
      <c r="AN174" s="241"/>
      <c r="AO174" s="241"/>
      <c r="AP174" s="241"/>
      <c r="AQ174" s="241"/>
      <c r="AR174" s="241"/>
    </row>
    <row r="175">
      <c r="A175" s="433" t="s">
        <v>220</v>
      </c>
      <c r="B175" s="385" t="s">
        <v>473</v>
      </c>
      <c r="C175" s="313">
        <v>6.0</v>
      </c>
      <c r="D175" s="313">
        <v>0.5</v>
      </c>
      <c r="E175" s="317" t="s">
        <v>168</v>
      </c>
      <c r="F175" s="317" t="s">
        <v>168</v>
      </c>
      <c r="G175" s="316" t="s">
        <v>167</v>
      </c>
      <c r="H175" s="313">
        <v>4.0</v>
      </c>
      <c r="I175" s="252" t="s">
        <v>178</v>
      </c>
      <c r="J175" s="252" t="s">
        <v>178</v>
      </c>
      <c r="K175" s="258" t="s">
        <v>178</v>
      </c>
      <c r="L175" s="258" t="s">
        <v>178</v>
      </c>
      <c r="M175" s="250"/>
      <c r="N175" s="233"/>
      <c r="O175" s="233"/>
      <c r="P175" s="233"/>
      <c r="Q175" s="233"/>
      <c r="R175" s="233"/>
      <c r="S175" s="233"/>
      <c r="T175" s="233"/>
      <c r="U175" s="233"/>
      <c r="V175" s="233"/>
      <c r="W175" s="233"/>
      <c r="X175" s="233"/>
      <c r="Y175" s="233"/>
      <c r="Z175" s="312"/>
      <c r="AA175" s="243"/>
      <c r="AB175" s="243"/>
      <c r="AC175" s="243"/>
      <c r="AD175" s="243"/>
      <c r="AE175" s="243"/>
      <c r="AF175" s="243"/>
      <c r="AG175" s="243"/>
      <c r="AH175" s="243"/>
      <c r="AI175" s="243"/>
      <c r="AJ175" s="243"/>
      <c r="AK175" s="241"/>
      <c r="AL175" s="241"/>
      <c r="AM175" s="241"/>
      <c r="AN175" s="241"/>
      <c r="AO175" s="241"/>
      <c r="AP175" s="241"/>
      <c r="AQ175" s="241"/>
      <c r="AR175" s="241"/>
    </row>
    <row r="176">
      <c r="A176" s="433" t="s">
        <v>220</v>
      </c>
      <c r="B176" s="385" t="s">
        <v>474</v>
      </c>
      <c r="C176" s="313">
        <v>8.0</v>
      </c>
      <c r="D176" s="313">
        <v>0.75</v>
      </c>
      <c r="E176" s="317" t="s">
        <v>168</v>
      </c>
      <c r="F176" s="317" t="s">
        <v>168</v>
      </c>
      <c r="G176" s="316" t="s">
        <v>167</v>
      </c>
      <c r="H176" s="313">
        <v>6.0</v>
      </c>
      <c r="I176" s="252" t="s">
        <v>178</v>
      </c>
      <c r="J176" s="252" t="s">
        <v>178</v>
      </c>
      <c r="K176" s="258" t="s">
        <v>178</v>
      </c>
      <c r="L176" s="258" t="s">
        <v>178</v>
      </c>
      <c r="M176" s="250"/>
      <c r="N176" s="233"/>
      <c r="O176" s="233"/>
      <c r="P176" s="233"/>
      <c r="Q176" s="233"/>
      <c r="R176" s="233"/>
      <c r="S176" s="233"/>
      <c r="T176" s="233"/>
      <c r="U176" s="233"/>
      <c r="V176" s="233"/>
      <c r="W176" s="233"/>
      <c r="X176" s="233"/>
      <c r="Y176" s="233"/>
      <c r="Z176" s="312"/>
      <c r="AA176" s="243"/>
      <c r="AB176" s="243"/>
      <c r="AC176" s="243"/>
      <c r="AD176" s="243"/>
      <c r="AE176" s="243"/>
      <c r="AF176" s="243"/>
      <c r="AG176" s="243"/>
      <c r="AH176" s="243"/>
      <c r="AI176" s="243"/>
      <c r="AJ176" s="243"/>
      <c r="AK176" s="241"/>
      <c r="AL176" s="241"/>
      <c r="AM176" s="241"/>
      <c r="AN176" s="241"/>
      <c r="AO176" s="241"/>
      <c r="AP176" s="241"/>
      <c r="AQ176" s="241"/>
      <c r="AR176" s="241"/>
    </row>
    <row r="177">
      <c r="A177" s="433" t="s">
        <v>220</v>
      </c>
      <c r="B177" s="385" t="s">
        <v>475</v>
      </c>
      <c r="C177" s="313">
        <v>6.0</v>
      </c>
      <c r="D177" s="313">
        <v>0.5</v>
      </c>
      <c r="E177" s="317" t="s">
        <v>168</v>
      </c>
      <c r="F177" s="317" t="s">
        <v>168</v>
      </c>
      <c r="G177" s="316" t="s">
        <v>167</v>
      </c>
      <c r="H177" s="313">
        <v>4.0</v>
      </c>
      <c r="I177" s="252" t="s">
        <v>178</v>
      </c>
      <c r="J177" s="252" t="s">
        <v>178</v>
      </c>
      <c r="K177" s="258" t="s">
        <v>178</v>
      </c>
      <c r="L177" s="258" t="s">
        <v>178</v>
      </c>
      <c r="M177" s="250"/>
      <c r="N177" s="233"/>
      <c r="O177" s="233"/>
      <c r="P177" s="233"/>
      <c r="Q177" s="233"/>
      <c r="R177" s="233"/>
      <c r="S177" s="233"/>
      <c r="T177" s="233"/>
      <c r="U177" s="233"/>
      <c r="V177" s="233"/>
      <c r="W177" s="233"/>
      <c r="X177" s="233"/>
      <c r="Y177" s="233"/>
      <c r="Z177" s="312"/>
      <c r="AA177" s="243"/>
      <c r="AB177" s="243"/>
      <c r="AC177" s="243"/>
      <c r="AD177" s="243"/>
      <c r="AE177" s="243"/>
      <c r="AF177" s="243"/>
      <c r="AG177" s="243"/>
      <c r="AH177" s="243"/>
      <c r="AI177" s="243"/>
      <c r="AJ177" s="243"/>
      <c r="AK177" s="241"/>
      <c r="AL177" s="241"/>
      <c r="AM177" s="241"/>
      <c r="AN177" s="241"/>
      <c r="AO177" s="241"/>
      <c r="AP177" s="241"/>
      <c r="AQ177" s="241"/>
      <c r="AR177" s="241"/>
    </row>
    <row r="178">
      <c r="A178" s="433" t="s">
        <v>220</v>
      </c>
      <c r="B178" s="385" t="s">
        <v>477</v>
      </c>
      <c r="C178" s="313">
        <v>10.0</v>
      </c>
      <c r="D178" s="313">
        <v>1.0</v>
      </c>
      <c r="E178" s="316" t="s">
        <v>167</v>
      </c>
      <c r="F178" s="317" t="s">
        <v>168</v>
      </c>
      <c r="G178" s="264" t="s">
        <v>167</v>
      </c>
      <c r="H178" s="313">
        <v>4.0</v>
      </c>
      <c r="I178" s="252" t="s">
        <v>178</v>
      </c>
      <c r="J178" s="252" t="s">
        <v>178</v>
      </c>
      <c r="K178" s="258" t="s">
        <v>178</v>
      </c>
      <c r="L178" s="258" t="s">
        <v>178</v>
      </c>
      <c r="M178" s="250"/>
      <c r="N178" s="233"/>
      <c r="O178" s="233"/>
      <c r="P178" s="233"/>
      <c r="Q178" s="233"/>
      <c r="R178" s="233"/>
      <c r="S178" s="233"/>
      <c r="T178" s="233"/>
      <c r="U178" s="233"/>
      <c r="V178" s="233"/>
      <c r="W178" s="233"/>
      <c r="X178" s="233"/>
      <c r="Y178" s="233"/>
      <c r="Z178" s="312"/>
      <c r="AA178" s="243"/>
      <c r="AB178" s="243"/>
      <c r="AC178" s="243"/>
      <c r="AD178" s="243"/>
      <c r="AE178" s="243"/>
      <c r="AF178" s="243"/>
      <c r="AG178" s="243"/>
      <c r="AH178" s="243"/>
      <c r="AI178" s="243"/>
      <c r="AJ178" s="243"/>
      <c r="AK178" s="241"/>
      <c r="AL178" s="241"/>
      <c r="AM178" s="241"/>
      <c r="AN178" s="241"/>
      <c r="AO178" s="241"/>
      <c r="AP178" s="241"/>
      <c r="AQ178" s="241"/>
      <c r="AR178" s="241"/>
    </row>
    <row r="179">
      <c r="A179" s="433" t="s">
        <v>220</v>
      </c>
      <c r="B179" s="385" t="s">
        <v>479</v>
      </c>
      <c r="C179" s="313">
        <v>8.0</v>
      </c>
      <c r="D179" s="313">
        <v>0.75</v>
      </c>
      <c r="E179" s="316" t="s">
        <v>167</v>
      </c>
      <c r="F179" s="316" t="s">
        <v>167</v>
      </c>
      <c r="G179" s="317" t="s">
        <v>168</v>
      </c>
      <c r="H179" s="313">
        <v>4.0</v>
      </c>
      <c r="I179" s="252" t="s">
        <v>178</v>
      </c>
      <c r="J179" s="252" t="s">
        <v>178</v>
      </c>
      <c r="K179" s="258" t="s">
        <v>178</v>
      </c>
      <c r="L179" s="258" t="s">
        <v>178</v>
      </c>
      <c r="M179" s="250"/>
      <c r="N179" s="233"/>
      <c r="O179" s="233"/>
      <c r="P179" s="233"/>
      <c r="Q179" s="233"/>
      <c r="R179" s="233"/>
      <c r="S179" s="233"/>
      <c r="T179" s="233"/>
      <c r="U179" s="233"/>
      <c r="V179" s="233"/>
      <c r="W179" s="233"/>
      <c r="X179" s="233"/>
      <c r="Y179" s="233"/>
      <c r="Z179" s="312"/>
      <c r="AA179" s="243"/>
      <c r="AB179" s="243"/>
      <c r="AC179" s="243"/>
      <c r="AD179" s="243"/>
      <c r="AE179" s="243"/>
      <c r="AF179" s="243"/>
      <c r="AG179" s="243"/>
      <c r="AH179" s="243"/>
      <c r="AI179" s="243"/>
      <c r="AJ179" s="243"/>
      <c r="AK179" s="241"/>
      <c r="AL179" s="241"/>
      <c r="AM179" s="241"/>
      <c r="AN179" s="241"/>
      <c r="AO179" s="241"/>
      <c r="AP179" s="241"/>
      <c r="AQ179" s="241"/>
      <c r="AR179" s="241"/>
    </row>
    <row r="180">
      <c r="A180" s="433" t="s">
        <v>220</v>
      </c>
      <c r="B180" s="385" t="s">
        <v>480</v>
      </c>
      <c r="C180" s="313">
        <v>6.0</v>
      </c>
      <c r="D180" s="313">
        <v>0.5</v>
      </c>
      <c r="E180" s="317" t="s">
        <v>168</v>
      </c>
      <c r="F180" s="317" t="s">
        <v>168</v>
      </c>
      <c r="G180" s="316" t="s">
        <v>167</v>
      </c>
      <c r="H180" s="313">
        <v>4.0</v>
      </c>
      <c r="I180" s="252" t="s">
        <v>178</v>
      </c>
      <c r="J180" s="252" t="s">
        <v>178</v>
      </c>
      <c r="K180" s="258" t="s">
        <v>178</v>
      </c>
      <c r="L180" s="258" t="s">
        <v>178</v>
      </c>
      <c r="M180" s="250"/>
      <c r="N180" s="233"/>
      <c r="O180" s="233"/>
      <c r="P180" s="233"/>
      <c r="Q180" s="233"/>
      <c r="R180" s="233"/>
      <c r="S180" s="233"/>
      <c r="T180" s="233"/>
      <c r="U180" s="233"/>
      <c r="V180" s="233"/>
      <c r="W180" s="233"/>
      <c r="X180" s="233"/>
      <c r="Y180" s="233"/>
      <c r="Z180" s="312"/>
      <c r="AA180" s="243"/>
      <c r="AB180" s="243"/>
      <c r="AC180" s="243"/>
      <c r="AD180" s="243"/>
      <c r="AE180" s="243"/>
      <c r="AF180" s="243"/>
      <c r="AG180" s="243"/>
      <c r="AH180" s="243"/>
      <c r="AI180" s="243"/>
      <c r="AJ180" s="243"/>
      <c r="AK180" s="241"/>
      <c r="AL180" s="241"/>
      <c r="AM180" s="241"/>
      <c r="AN180" s="241"/>
      <c r="AO180" s="241"/>
      <c r="AP180" s="241"/>
      <c r="AQ180" s="241"/>
      <c r="AR180" s="241"/>
    </row>
    <row r="181">
      <c r="A181" s="433" t="s">
        <v>220</v>
      </c>
      <c r="B181" s="385" t="s">
        <v>481</v>
      </c>
      <c r="C181" s="313">
        <v>8.0</v>
      </c>
      <c r="D181" s="313">
        <v>0.75</v>
      </c>
      <c r="E181" s="317" t="s">
        <v>168</v>
      </c>
      <c r="F181" s="316" t="s">
        <v>167</v>
      </c>
      <c r="G181" s="316" t="s">
        <v>167</v>
      </c>
      <c r="H181" s="313">
        <v>4.0</v>
      </c>
      <c r="I181" s="252" t="s">
        <v>178</v>
      </c>
      <c r="J181" s="252" t="s">
        <v>178</v>
      </c>
      <c r="K181" s="258" t="s">
        <v>178</v>
      </c>
      <c r="L181" s="258" t="s">
        <v>178</v>
      </c>
      <c r="M181" s="250"/>
      <c r="N181" s="233"/>
      <c r="O181" s="233"/>
      <c r="P181" s="233"/>
      <c r="Q181" s="233"/>
      <c r="R181" s="233"/>
      <c r="S181" s="233"/>
      <c r="T181" s="233"/>
      <c r="U181" s="233"/>
      <c r="V181" s="233"/>
      <c r="W181" s="233"/>
      <c r="X181" s="233"/>
      <c r="Y181" s="233"/>
      <c r="Z181" s="312"/>
      <c r="AA181" s="243"/>
      <c r="AB181" s="243"/>
      <c r="AC181" s="243"/>
      <c r="AD181" s="243"/>
      <c r="AE181" s="243"/>
      <c r="AF181" s="243"/>
      <c r="AG181" s="243"/>
      <c r="AH181" s="243"/>
      <c r="AI181" s="243"/>
      <c r="AJ181" s="243"/>
      <c r="AK181" s="241"/>
      <c r="AL181" s="241"/>
      <c r="AM181" s="241"/>
      <c r="AN181" s="241"/>
      <c r="AO181" s="241"/>
      <c r="AP181" s="241"/>
      <c r="AQ181" s="241"/>
      <c r="AR181" s="241"/>
    </row>
    <row r="182">
      <c r="A182" s="433" t="s">
        <v>220</v>
      </c>
      <c r="B182" s="385" t="s">
        <v>482</v>
      </c>
      <c r="C182" s="313">
        <v>8.0</v>
      </c>
      <c r="D182" s="313">
        <v>0.75</v>
      </c>
      <c r="E182" s="317" t="s">
        <v>168</v>
      </c>
      <c r="F182" s="317" t="s">
        <v>168</v>
      </c>
      <c r="G182" s="316" t="s">
        <v>167</v>
      </c>
      <c r="H182" s="313">
        <v>4.0</v>
      </c>
      <c r="I182" s="252" t="s">
        <v>178</v>
      </c>
      <c r="J182" s="252" t="s">
        <v>178</v>
      </c>
      <c r="K182" s="258" t="s">
        <v>178</v>
      </c>
      <c r="L182" s="258" t="s">
        <v>178</v>
      </c>
      <c r="M182" s="250"/>
      <c r="N182" s="233"/>
      <c r="O182" s="233"/>
      <c r="P182" s="233"/>
      <c r="Q182" s="233"/>
      <c r="R182" s="233"/>
      <c r="S182" s="233"/>
      <c r="T182" s="233"/>
      <c r="U182" s="233"/>
      <c r="V182" s="233"/>
      <c r="W182" s="233"/>
      <c r="X182" s="233"/>
      <c r="Y182" s="233"/>
      <c r="Z182" s="312"/>
      <c r="AA182" s="243"/>
      <c r="AB182" s="243"/>
      <c r="AC182" s="243"/>
      <c r="AD182" s="243"/>
      <c r="AE182" s="243"/>
      <c r="AF182" s="243"/>
      <c r="AG182" s="243"/>
      <c r="AH182" s="243"/>
      <c r="AI182" s="243"/>
      <c r="AJ182" s="243"/>
      <c r="AK182" s="241"/>
      <c r="AL182" s="241"/>
      <c r="AM182" s="241"/>
      <c r="AN182" s="241"/>
      <c r="AO182" s="241"/>
      <c r="AP182" s="241"/>
      <c r="AQ182" s="241"/>
      <c r="AR182" s="241"/>
    </row>
    <row r="183">
      <c r="A183" s="433" t="s">
        <v>220</v>
      </c>
      <c r="B183" s="436" t="s">
        <v>483</v>
      </c>
      <c r="C183" s="313">
        <v>8.0</v>
      </c>
      <c r="D183" s="313">
        <v>0.75</v>
      </c>
      <c r="E183" s="317" t="s">
        <v>168</v>
      </c>
      <c r="F183" s="316" t="s">
        <v>167</v>
      </c>
      <c r="G183" s="316" t="s">
        <v>167</v>
      </c>
      <c r="H183" s="313">
        <v>4.0</v>
      </c>
      <c r="I183" s="252" t="s">
        <v>178</v>
      </c>
      <c r="J183" s="252" t="s">
        <v>178</v>
      </c>
      <c r="K183" s="258" t="s">
        <v>178</v>
      </c>
      <c r="L183" s="258" t="s">
        <v>178</v>
      </c>
      <c r="M183" s="250"/>
      <c r="N183" s="233"/>
      <c r="O183" s="233"/>
      <c r="P183" s="233"/>
      <c r="Q183" s="233"/>
      <c r="R183" s="233"/>
      <c r="S183" s="233"/>
      <c r="T183" s="233"/>
      <c r="U183" s="233"/>
      <c r="V183" s="233"/>
      <c r="W183" s="233"/>
      <c r="X183" s="233"/>
      <c r="Y183" s="233"/>
      <c r="Z183" s="312"/>
      <c r="AA183" s="243"/>
      <c r="AB183" s="243"/>
      <c r="AC183" s="243"/>
      <c r="AD183" s="243"/>
      <c r="AE183" s="243"/>
      <c r="AF183" s="243"/>
      <c r="AG183" s="243"/>
      <c r="AH183" s="243"/>
      <c r="AI183" s="243"/>
      <c r="AJ183" s="243"/>
      <c r="AK183" s="241"/>
      <c r="AL183" s="241"/>
      <c r="AM183" s="241"/>
      <c r="AN183" s="241"/>
      <c r="AO183" s="241"/>
      <c r="AP183" s="241"/>
      <c r="AQ183" s="241"/>
      <c r="AR183" s="241"/>
    </row>
    <row r="184">
      <c r="A184" s="433" t="s">
        <v>225</v>
      </c>
      <c r="B184" s="385" t="s">
        <v>484</v>
      </c>
      <c r="C184" s="313">
        <v>10.0</v>
      </c>
      <c r="D184" s="313">
        <v>1.0</v>
      </c>
      <c r="E184" s="316" t="s">
        <v>167</v>
      </c>
      <c r="F184" s="316" t="s">
        <v>167</v>
      </c>
      <c r="G184" s="317" t="s">
        <v>168</v>
      </c>
      <c r="H184" s="313">
        <v>4.0</v>
      </c>
      <c r="I184" s="252" t="s">
        <v>178</v>
      </c>
      <c r="J184" s="252" t="s">
        <v>178</v>
      </c>
      <c r="K184" s="258" t="s">
        <v>178</v>
      </c>
      <c r="L184" s="258" t="s">
        <v>178</v>
      </c>
      <c r="M184" s="250"/>
      <c r="N184" s="233"/>
      <c r="O184" s="233"/>
      <c r="P184" s="233"/>
      <c r="Q184" s="233"/>
      <c r="R184" s="233"/>
      <c r="S184" s="233"/>
      <c r="T184" s="233"/>
      <c r="U184" s="233"/>
      <c r="V184" s="233"/>
      <c r="W184" s="233"/>
      <c r="X184" s="233"/>
      <c r="Y184" s="233"/>
      <c r="Z184" s="312"/>
      <c r="AA184" s="243"/>
      <c r="AB184" s="243"/>
      <c r="AC184" s="243"/>
      <c r="AD184" s="243"/>
      <c r="AE184" s="243"/>
      <c r="AF184" s="243"/>
      <c r="AG184" s="243"/>
      <c r="AH184" s="243"/>
      <c r="AI184" s="243"/>
      <c r="AJ184" s="243"/>
      <c r="AK184" s="241"/>
      <c r="AL184" s="241"/>
      <c r="AM184" s="241"/>
      <c r="AN184" s="241"/>
      <c r="AO184" s="241"/>
      <c r="AP184" s="241"/>
      <c r="AQ184" s="241"/>
      <c r="AR184" s="241"/>
    </row>
    <row r="185">
      <c r="A185" s="433" t="s">
        <v>225</v>
      </c>
      <c r="B185" s="385" t="s">
        <v>485</v>
      </c>
      <c r="C185" s="313">
        <v>10.0</v>
      </c>
      <c r="D185" s="313">
        <v>1.0</v>
      </c>
      <c r="E185" s="316" t="s">
        <v>167</v>
      </c>
      <c r="F185" s="317" t="s">
        <v>168</v>
      </c>
      <c r="G185" s="264" t="s">
        <v>167</v>
      </c>
      <c r="H185" s="313">
        <v>4.0</v>
      </c>
      <c r="I185" s="252" t="s">
        <v>178</v>
      </c>
      <c r="J185" s="252" t="s">
        <v>178</v>
      </c>
      <c r="K185" s="258" t="s">
        <v>178</v>
      </c>
      <c r="L185" s="258" t="s">
        <v>178</v>
      </c>
      <c r="M185" s="250"/>
      <c r="N185" s="233"/>
      <c r="O185" s="233"/>
      <c r="P185" s="233"/>
      <c r="Q185" s="233"/>
      <c r="R185" s="233"/>
      <c r="S185" s="233"/>
      <c r="T185" s="233"/>
      <c r="U185" s="233"/>
      <c r="V185" s="233"/>
      <c r="W185" s="233"/>
      <c r="X185" s="233"/>
      <c r="Y185" s="233"/>
      <c r="Z185" s="312"/>
      <c r="AA185" s="243"/>
      <c r="AB185" s="243"/>
      <c r="AC185" s="243"/>
      <c r="AD185" s="243"/>
      <c r="AE185" s="243"/>
      <c r="AF185" s="243"/>
      <c r="AG185" s="243"/>
      <c r="AH185" s="243"/>
      <c r="AI185" s="243"/>
      <c r="AJ185" s="243"/>
      <c r="AK185" s="241"/>
      <c r="AL185" s="241"/>
      <c r="AM185" s="241"/>
      <c r="AN185" s="241"/>
      <c r="AO185" s="241"/>
      <c r="AP185" s="241"/>
      <c r="AQ185" s="241"/>
      <c r="AR185" s="241"/>
    </row>
    <row r="186">
      <c r="A186" s="433" t="s">
        <v>225</v>
      </c>
      <c r="B186" s="385" t="s">
        <v>486</v>
      </c>
      <c r="C186" s="313">
        <v>8.0</v>
      </c>
      <c r="D186" s="313">
        <v>0.75</v>
      </c>
      <c r="E186" s="316" t="s">
        <v>167</v>
      </c>
      <c r="F186" s="317" t="s">
        <v>168</v>
      </c>
      <c r="G186" s="264" t="s">
        <v>167</v>
      </c>
      <c r="H186" s="313">
        <v>6.0</v>
      </c>
      <c r="I186" s="252" t="s">
        <v>178</v>
      </c>
      <c r="J186" s="252" t="s">
        <v>178</v>
      </c>
      <c r="K186" s="258" t="s">
        <v>178</v>
      </c>
      <c r="L186" s="258" t="s">
        <v>178</v>
      </c>
      <c r="M186" s="250"/>
      <c r="N186" s="233"/>
      <c r="O186" s="233"/>
      <c r="P186" s="233"/>
      <c r="Q186" s="233"/>
      <c r="R186" s="233"/>
      <c r="S186" s="233"/>
      <c r="T186" s="233"/>
      <c r="U186" s="233"/>
      <c r="V186" s="233"/>
      <c r="W186" s="233"/>
      <c r="X186" s="233"/>
      <c r="Y186" s="233"/>
      <c r="Z186" s="312"/>
      <c r="AA186" s="243"/>
      <c r="AB186" s="243"/>
      <c r="AC186" s="243"/>
      <c r="AD186" s="243"/>
      <c r="AE186" s="243"/>
      <c r="AF186" s="243"/>
      <c r="AG186" s="243"/>
      <c r="AH186" s="243"/>
      <c r="AI186" s="243"/>
      <c r="AJ186" s="243"/>
      <c r="AK186" s="241"/>
      <c r="AL186" s="241"/>
      <c r="AM186" s="241"/>
      <c r="AN186" s="241"/>
      <c r="AO186" s="241"/>
      <c r="AP186" s="241"/>
      <c r="AQ186" s="241"/>
      <c r="AR186" s="241"/>
    </row>
    <row r="187">
      <c r="A187" s="433" t="s">
        <v>225</v>
      </c>
      <c r="B187" s="385" t="s">
        <v>487</v>
      </c>
      <c r="C187" s="313">
        <v>10.0</v>
      </c>
      <c r="D187" s="313">
        <v>1.0</v>
      </c>
      <c r="E187" s="316" t="s">
        <v>167</v>
      </c>
      <c r="F187" s="316" t="s">
        <v>167</v>
      </c>
      <c r="G187" s="317" t="s">
        <v>168</v>
      </c>
      <c r="H187" s="313">
        <v>4.0</v>
      </c>
      <c r="I187" s="252" t="s">
        <v>178</v>
      </c>
      <c r="J187" s="252" t="s">
        <v>178</v>
      </c>
      <c r="K187" s="258" t="s">
        <v>178</v>
      </c>
      <c r="L187" s="258" t="s">
        <v>178</v>
      </c>
      <c r="M187" s="250"/>
      <c r="N187" s="233"/>
      <c r="O187" s="233"/>
      <c r="P187" s="233"/>
      <c r="Q187" s="233"/>
      <c r="R187" s="233"/>
      <c r="S187" s="233"/>
      <c r="T187" s="233"/>
      <c r="U187" s="233"/>
      <c r="V187" s="233"/>
      <c r="W187" s="233"/>
      <c r="X187" s="233"/>
      <c r="Y187" s="233"/>
      <c r="Z187" s="312"/>
      <c r="AA187" s="243"/>
      <c r="AB187" s="243"/>
      <c r="AC187" s="243"/>
      <c r="AD187" s="243"/>
      <c r="AE187" s="243"/>
      <c r="AF187" s="243"/>
      <c r="AG187" s="243"/>
      <c r="AH187" s="243"/>
      <c r="AI187" s="243"/>
      <c r="AJ187" s="243"/>
      <c r="AK187" s="241"/>
      <c r="AL187" s="241"/>
      <c r="AM187" s="241"/>
      <c r="AN187" s="241"/>
      <c r="AO187" s="241"/>
      <c r="AP187" s="241"/>
      <c r="AQ187" s="241"/>
      <c r="AR187" s="241"/>
    </row>
    <row r="188">
      <c r="A188" s="433" t="s">
        <v>225</v>
      </c>
      <c r="B188" s="385" t="s">
        <v>488</v>
      </c>
      <c r="C188" s="313">
        <v>6.0</v>
      </c>
      <c r="D188" s="313">
        <v>0.5</v>
      </c>
      <c r="E188" s="317" t="s">
        <v>168</v>
      </c>
      <c r="F188" s="316" t="s">
        <v>167</v>
      </c>
      <c r="G188" s="316" t="s">
        <v>167</v>
      </c>
      <c r="H188" s="313">
        <v>8.0</v>
      </c>
      <c r="I188" s="252" t="s">
        <v>178</v>
      </c>
      <c r="J188" s="252" t="s">
        <v>178</v>
      </c>
      <c r="K188" s="258" t="s">
        <v>178</v>
      </c>
      <c r="L188" s="258" t="s">
        <v>178</v>
      </c>
      <c r="M188" s="250"/>
      <c r="N188" s="233"/>
      <c r="O188" s="233"/>
      <c r="P188" s="233"/>
      <c r="Q188" s="233"/>
      <c r="R188" s="233"/>
      <c r="S188" s="233"/>
      <c r="T188" s="233"/>
      <c r="U188" s="233"/>
      <c r="V188" s="233"/>
      <c r="W188" s="233"/>
      <c r="X188" s="233"/>
      <c r="Y188" s="233"/>
      <c r="Z188" s="312"/>
      <c r="AA188" s="243"/>
      <c r="AB188" s="243"/>
      <c r="AC188" s="243"/>
      <c r="AD188" s="243"/>
      <c r="AE188" s="243"/>
      <c r="AF188" s="243"/>
      <c r="AG188" s="243"/>
      <c r="AH188" s="243"/>
      <c r="AI188" s="243"/>
      <c r="AJ188" s="243"/>
      <c r="AK188" s="241"/>
      <c r="AL188" s="241"/>
      <c r="AM188" s="241"/>
      <c r="AN188" s="241"/>
      <c r="AO188" s="241"/>
      <c r="AP188" s="241"/>
      <c r="AQ188" s="241"/>
      <c r="AR188" s="241"/>
    </row>
    <row r="189">
      <c r="A189" s="433" t="s">
        <v>225</v>
      </c>
      <c r="B189" s="385" t="s">
        <v>434</v>
      </c>
      <c r="C189" s="313">
        <v>12.0</v>
      </c>
      <c r="D189" s="313">
        <v>1.0</v>
      </c>
      <c r="E189" s="316" t="s">
        <v>167</v>
      </c>
      <c r="F189" s="317" t="s">
        <v>168</v>
      </c>
      <c r="G189" s="264" t="s">
        <v>167</v>
      </c>
      <c r="H189" s="313">
        <v>4.0</v>
      </c>
      <c r="I189" s="252" t="s">
        <v>178</v>
      </c>
      <c r="J189" s="252" t="s">
        <v>178</v>
      </c>
      <c r="K189" s="258" t="s">
        <v>178</v>
      </c>
      <c r="L189" s="258" t="s">
        <v>178</v>
      </c>
      <c r="M189" s="250"/>
      <c r="N189" s="233"/>
      <c r="O189" s="233"/>
      <c r="P189" s="233"/>
      <c r="Q189" s="233"/>
      <c r="R189" s="233"/>
      <c r="S189" s="233"/>
      <c r="T189" s="233"/>
      <c r="U189" s="233"/>
      <c r="V189" s="233"/>
      <c r="W189" s="233"/>
      <c r="X189" s="233"/>
      <c r="Y189" s="233"/>
      <c r="Z189" s="312"/>
      <c r="AA189" s="243"/>
      <c r="AB189" s="243"/>
      <c r="AC189" s="243"/>
      <c r="AD189" s="243"/>
      <c r="AE189" s="243"/>
      <c r="AF189" s="243"/>
      <c r="AG189" s="243"/>
      <c r="AH189" s="243"/>
      <c r="AI189" s="243"/>
      <c r="AJ189" s="243"/>
      <c r="AK189" s="241"/>
      <c r="AL189" s="241"/>
      <c r="AM189" s="241"/>
      <c r="AN189" s="241"/>
      <c r="AO189" s="241"/>
      <c r="AP189" s="241"/>
      <c r="AQ189" s="241"/>
      <c r="AR189" s="241"/>
    </row>
    <row r="190">
      <c r="A190" s="433" t="s">
        <v>225</v>
      </c>
      <c r="B190" s="385" t="s">
        <v>489</v>
      </c>
      <c r="C190" s="313">
        <v>10.0</v>
      </c>
      <c r="D190" s="313">
        <v>1.0</v>
      </c>
      <c r="E190" s="316" t="s">
        <v>167</v>
      </c>
      <c r="F190" s="316" t="s">
        <v>167</v>
      </c>
      <c r="G190" s="317" t="s">
        <v>168</v>
      </c>
      <c r="H190" s="313">
        <v>4.0</v>
      </c>
      <c r="I190" s="252" t="s">
        <v>178</v>
      </c>
      <c r="J190" s="252" t="s">
        <v>178</v>
      </c>
      <c r="K190" s="258" t="s">
        <v>178</v>
      </c>
      <c r="L190" s="258" t="s">
        <v>178</v>
      </c>
      <c r="M190" s="250"/>
      <c r="N190" s="233"/>
      <c r="O190" s="233"/>
      <c r="P190" s="233"/>
      <c r="Q190" s="233"/>
      <c r="R190" s="233"/>
      <c r="S190" s="233"/>
      <c r="T190" s="233"/>
      <c r="U190" s="233"/>
      <c r="V190" s="233"/>
      <c r="W190" s="233"/>
      <c r="X190" s="233"/>
      <c r="Y190" s="233"/>
      <c r="Z190" s="312"/>
      <c r="AA190" s="243"/>
      <c r="AB190" s="243"/>
      <c r="AC190" s="243"/>
      <c r="AD190" s="243"/>
      <c r="AE190" s="243"/>
      <c r="AF190" s="243"/>
      <c r="AG190" s="243"/>
      <c r="AH190" s="243"/>
      <c r="AI190" s="243"/>
      <c r="AJ190" s="243"/>
      <c r="AK190" s="241"/>
      <c r="AL190" s="241"/>
      <c r="AM190" s="241"/>
      <c r="AN190" s="241"/>
      <c r="AO190" s="241"/>
      <c r="AP190" s="241"/>
      <c r="AQ190" s="241"/>
      <c r="AR190" s="241"/>
    </row>
    <row r="191">
      <c r="A191" s="433" t="s">
        <v>225</v>
      </c>
      <c r="B191" s="385" t="s">
        <v>490</v>
      </c>
      <c r="C191" s="313">
        <v>8.0</v>
      </c>
      <c r="D191" s="313">
        <v>0.75</v>
      </c>
      <c r="E191" s="317" t="s">
        <v>168</v>
      </c>
      <c r="F191" s="316" t="s">
        <v>167</v>
      </c>
      <c r="G191" s="316" t="s">
        <v>167</v>
      </c>
      <c r="H191" s="313">
        <v>6.0</v>
      </c>
      <c r="I191" s="252" t="s">
        <v>178</v>
      </c>
      <c r="J191" s="252" t="s">
        <v>178</v>
      </c>
      <c r="K191" s="258" t="s">
        <v>178</v>
      </c>
      <c r="L191" s="258" t="s">
        <v>178</v>
      </c>
      <c r="M191" s="250"/>
      <c r="N191" s="233"/>
      <c r="O191" s="233"/>
      <c r="P191" s="233"/>
      <c r="Q191" s="233"/>
      <c r="R191" s="233"/>
      <c r="S191" s="233"/>
      <c r="T191" s="233"/>
      <c r="U191" s="233"/>
      <c r="V191" s="233"/>
      <c r="W191" s="233"/>
      <c r="X191" s="233"/>
      <c r="Y191" s="233"/>
      <c r="Z191" s="312"/>
      <c r="AA191" s="243"/>
      <c r="AB191" s="243"/>
      <c r="AC191" s="243"/>
      <c r="AD191" s="243"/>
      <c r="AE191" s="243"/>
      <c r="AF191" s="243"/>
      <c r="AG191" s="243"/>
      <c r="AH191" s="243"/>
      <c r="AI191" s="243"/>
      <c r="AJ191" s="243"/>
      <c r="AK191" s="241"/>
      <c r="AL191" s="241"/>
      <c r="AM191" s="241"/>
      <c r="AN191" s="241"/>
      <c r="AO191" s="241"/>
      <c r="AP191" s="241"/>
      <c r="AQ191" s="241"/>
      <c r="AR191" s="241"/>
    </row>
    <row r="192">
      <c r="A192" s="433" t="s">
        <v>229</v>
      </c>
      <c r="B192" s="385" t="s">
        <v>491</v>
      </c>
      <c r="C192" s="313">
        <v>8.0</v>
      </c>
      <c r="D192" s="313">
        <v>0.75</v>
      </c>
      <c r="E192" s="317" t="s">
        <v>168</v>
      </c>
      <c r="F192" s="316" t="s">
        <v>167</v>
      </c>
      <c r="G192" s="316" t="s">
        <v>167</v>
      </c>
      <c r="H192" s="313">
        <v>4.0</v>
      </c>
      <c r="I192" s="252" t="s">
        <v>178</v>
      </c>
      <c r="J192" s="252" t="s">
        <v>178</v>
      </c>
      <c r="K192" s="258" t="s">
        <v>178</v>
      </c>
      <c r="L192" s="258" t="s">
        <v>178</v>
      </c>
      <c r="M192" s="250"/>
      <c r="N192" s="233"/>
      <c r="O192" s="233"/>
      <c r="P192" s="233"/>
      <c r="Q192" s="233"/>
      <c r="R192" s="233"/>
      <c r="S192" s="233"/>
      <c r="T192" s="233"/>
      <c r="U192" s="233"/>
      <c r="V192" s="233"/>
      <c r="W192" s="233"/>
      <c r="X192" s="233"/>
      <c r="Y192" s="233"/>
      <c r="Z192" s="312"/>
      <c r="AA192" s="243"/>
      <c r="AB192" s="243"/>
      <c r="AC192" s="243"/>
      <c r="AD192" s="243"/>
      <c r="AE192" s="243"/>
      <c r="AF192" s="243"/>
      <c r="AG192" s="243"/>
      <c r="AH192" s="243"/>
      <c r="AI192" s="243"/>
      <c r="AJ192" s="243"/>
      <c r="AK192" s="241"/>
      <c r="AL192" s="241"/>
      <c r="AM192" s="241"/>
      <c r="AN192" s="241"/>
      <c r="AO192" s="241"/>
      <c r="AP192" s="241"/>
      <c r="AQ192" s="241"/>
      <c r="AR192" s="241"/>
    </row>
    <row r="193">
      <c r="A193" s="433" t="s">
        <v>229</v>
      </c>
      <c r="B193" s="385" t="s">
        <v>492</v>
      </c>
      <c r="C193" s="313">
        <v>6.0</v>
      </c>
      <c r="D193" s="313">
        <v>0.5</v>
      </c>
      <c r="E193" s="316" t="s">
        <v>167</v>
      </c>
      <c r="F193" s="316" t="s">
        <v>167</v>
      </c>
      <c r="G193" s="316" t="s">
        <v>167</v>
      </c>
      <c r="H193" s="313">
        <v>4.0</v>
      </c>
      <c r="I193" s="252" t="s">
        <v>178</v>
      </c>
      <c r="J193" s="252" t="s">
        <v>178</v>
      </c>
      <c r="K193" s="258" t="s">
        <v>178</v>
      </c>
      <c r="L193" s="258" t="s">
        <v>178</v>
      </c>
      <c r="M193" s="250"/>
      <c r="N193" s="233"/>
      <c r="O193" s="233"/>
      <c r="P193" s="233"/>
      <c r="Q193" s="233"/>
      <c r="R193" s="233"/>
      <c r="S193" s="233"/>
      <c r="T193" s="233"/>
      <c r="U193" s="233"/>
      <c r="V193" s="233"/>
      <c r="W193" s="233"/>
      <c r="X193" s="233"/>
      <c r="Y193" s="233"/>
      <c r="Z193" s="312"/>
      <c r="AA193" s="243"/>
      <c r="AB193" s="243"/>
      <c r="AC193" s="243"/>
      <c r="AD193" s="243"/>
      <c r="AE193" s="243"/>
      <c r="AF193" s="243"/>
      <c r="AG193" s="243"/>
      <c r="AH193" s="243"/>
      <c r="AI193" s="243"/>
      <c r="AJ193" s="243"/>
      <c r="AK193" s="241"/>
      <c r="AL193" s="241"/>
      <c r="AM193" s="241"/>
      <c r="AN193" s="241"/>
      <c r="AO193" s="241"/>
      <c r="AP193" s="241"/>
      <c r="AQ193" s="241"/>
      <c r="AR193" s="241"/>
    </row>
    <row r="194">
      <c r="A194" s="433" t="s">
        <v>229</v>
      </c>
      <c r="B194" s="385" t="s">
        <v>493</v>
      </c>
      <c r="C194" s="313">
        <v>8.0</v>
      </c>
      <c r="D194" s="313">
        <v>0.75</v>
      </c>
      <c r="E194" s="317" t="s">
        <v>168</v>
      </c>
      <c r="F194" s="316" t="s">
        <v>167</v>
      </c>
      <c r="G194" s="316" t="s">
        <v>167</v>
      </c>
      <c r="H194" s="313">
        <v>6.0</v>
      </c>
      <c r="I194" s="252" t="s">
        <v>178</v>
      </c>
      <c r="J194" s="252" t="s">
        <v>178</v>
      </c>
      <c r="K194" s="258" t="s">
        <v>178</v>
      </c>
      <c r="L194" s="258" t="s">
        <v>178</v>
      </c>
      <c r="M194" s="250"/>
      <c r="N194" s="233"/>
      <c r="O194" s="233"/>
      <c r="P194" s="233"/>
      <c r="Q194" s="233"/>
      <c r="R194" s="233"/>
      <c r="S194" s="233"/>
      <c r="T194" s="233"/>
      <c r="U194" s="233"/>
      <c r="V194" s="233"/>
      <c r="W194" s="233"/>
      <c r="X194" s="233"/>
      <c r="Y194" s="233"/>
      <c r="Z194" s="312"/>
      <c r="AA194" s="243"/>
      <c r="AB194" s="243"/>
      <c r="AC194" s="243"/>
      <c r="AD194" s="243"/>
      <c r="AE194" s="243"/>
      <c r="AF194" s="243"/>
      <c r="AG194" s="243"/>
      <c r="AH194" s="243"/>
      <c r="AI194" s="243"/>
      <c r="AJ194" s="243"/>
      <c r="AK194" s="241"/>
      <c r="AL194" s="241"/>
      <c r="AM194" s="241"/>
      <c r="AN194" s="241"/>
      <c r="AO194" s="241"/>
      <c r="AP194" s="241"/>
      <c r="AQ194" s="241"/>
      <c r="AR194" s="241"/>
    </row>
    <row r="195">
      <c r="A195" s="433" t="s">
        <v>229</v>
      </c>
      <c r="B195" s="385" t="s">
        <v>494</v>
      </c>
      <c r="C195" s="313">
        <v>10.0</v>
      </c>
      <c r="D195" s="313">
        <v>0.75</v>
      </c>
      <c r="E195" s="316" t="s">
        <v>167</v>
      </c>
      <c r="F195" s="317" t="s">
        <v>168</v>
      </c>
      <c r="G195" s="264" t="s">
        <v>167</v>
      </c>
      <c r="H195" s="313">
        <v>4.0</v>
      </c>
      <c r="I195" s="252" t="s">
        <v>178</v>
      </c>
      <c r="J195" s="252" t="s">
        <v>178</v>
      </c>
      <c r="K195" s="258" t="s">
        <v>178</v>
      </c>
      <c r="L195" s="258" t="s">
        <v>178</v>
      </c>
      <c r="M195" s="250"/>
      <c r="N195" s="233"/>
      <c r="O195" s="233"/>
      <c r="P195" s="233"/>
      <c r="Q195" s="233"/>
      <c r="R195" s="233"/>
      <c r="S195" s="233"/>
      <c r="T195" s="233"/>
      <c r="U195" s="233"/>
      <c r="V195" s="233"/>
      <c r="W195" s="233"/>
      <c r="X195" s="233"/>
      <c r="Y195" s="233"/>
      <c r="Z195" s="312"/>
      <c r="AA195" s="243"/>
      <c r="AB195" s="243"/>
      <c r="AC195" s="243"/>
      <c r="AD195" s="243"/>
      <c r="AE195" s="243"/>
      <c r="AF195" s="243"/>
      <c r="AG195" s="243"/>
      <c r="AH195" s="243"/>
      <c r="AI195" s="243"/>
      <c r="AJ195" s="243"/>
      <c r="AK195" s="241"/>
      <c r="AL195" s="241"/>
      <c r="AM195" s="241"/>
      <c r="AN195" s="241"/>
      <c r="AO195" s="241"/>
      <c r="AP195" s="241"/>
      <c r="AQ195" s="241"/>
      <c r="AR195" s="241"/>
    </row>
    <row r="196">
      <c r="A196" s="433" t="s">
        <v>229</v>
      </c>
      <c r="B196" s="385" t="s">
        <v>495</v>
      </c>
      <c r="C196" s="313">
        <v>8.0</v>
      </c>
      <c r="D196" s="313">
        <v>0.75</v>
      </c>
      <c r="E196" s="316" t="s">
        <v>167</v>
      </c>
      <c r="F196" s="317" t="s">
        <v>168</v>
      </c>
      <c r="G196" s="264" t="s">
        <v>167</v>
      </c>
      <c r="H196" s="313">
        <v>4.0</v>
      </c>
      <c r="I196" s="252" t="s">
        <v>178</v>
      </c>
      <c r="J196" s="252" t="s">
        <v>178</v>
      </c>
      <c r="K196" s="258" t="s">
        <v>178</v>
      </c>
      <c r="L196" s="258" t="s">
        <v>178</v>
      </c>
      <c r="M196" s="250"/>
      <c r="N196" s="233"/>
      <c r="O196" s="233"/>
      <c r="P196" s="233"/>
      <c r="Q196" s="233"/>
      <c r="R196" s="233"/>
      <c r="S196" s="233"/>
      <c r="T196" s="233"/>
      <c r="U196" s="233"/>
      <c r="V196" s="233"/>
      <c r="W196" s="233"/>
      <c r="X196" s="233"/>
      <c r="Y196" s="233"/>
      <c r="Z196" s="312"/>
      <c r="AA196" s="243"/>
      <c r="AB196" s="243"/>
      <c r="AC196" s="243"/>
      <c r="AD196" s="243"/>
      <c r="AE196" s="243"/>
      <c r="AF196" s="243"/>
      <c r="AG196" s="243"/>
      <c r="AH196" s="243"/>
      <c r="AI196" s="243"/>
      <c r="AJ196" s="243"/>
      <c r="AK196" s="241"/>
      <c r="AL196" s="241"/>
      <c r="AM196" s="241"/>
      <c r="AN196" s="241"/>
      <c r="AO196" s="241"/>
      <c r="AP196" s="241"/>
      <c r="AQ196" s="241"/>
      <c r="AR196" s="241"/>
    </row>
    <row r="197">
      <c r="A197" s="433" t="s">
        <v>229</v>
      </c>
      <c r="B197" s="385" t="s">
        <v>496</v>
      </c>
      <c r="C197" s="313">
        <v>8.0</v>
      </c>
      <c r="D197" s="313">
        <v>0.75</v>
      </c>
      <c r="E197" s="317" t="s">
        <v>168</v>
      </c>
      <c r="F197" s="316" t="s">
        <v>167</v>
      </c>
      <c r="G197" s="316" t="s">
        <v>167</v>
      </c>
      <c r="H197" s="313">
        <v>6.0</v>
      </c>
      <c r="I197" s="252" t="s">
        <v>178</v>
      </c>
      <c r="J197" s="252" t="s">
        <v>178</v>
      </c>
      <c r="K197" s="258" t="s">
        <v>178</v>
      </c>
      <c r="L197" s="258" t="s">
        <v>178</v>
      </c>
      <c r="M197" s="250"/>
      <c r="N197" s="233"/>
      <c r="O197" s="233"/>
      <c r="P197" s="233"/>
      <c r="Q197" s="233"/>
      <c r="R197" s="233"/>
      <c r="S197" s="233"/>
      <c r="T197" s="233"/>
      <c r="U197" s="233"/>
      <c r="V197" s="233"/>
      <c r="W197" s="233"/>
      <c r="X197" s="233"/>
      <c r="Y197" s="233"/>
      <c r="Z197" s="312"/>
      <c r="AA197" s="243"/>
      <c r="AB197" s="243"/>
      <c r="AC197" s="243"/>
      <c r="AD197" s="243"/>
      <c r="AE197" s="243"/>
      <c r="AF197" s="243"/>
      <c r="AG197" s="243"/>
      <c r="AH197" s="243"/>
      <c r="AI197" s="243"/>
      <c r="AJ197" s="243"/>
      <c r="AK197" s="241"/>
      <c r="AL197" s="241"/>
      <c r="AM197" s="241"/>
      <c r="AN197" s="241"/>
      <c r="AO197" s="241"/>
      <c r="AP197" s="241"/>
      <c r="AQ197" s="241"/>
      <c r="AR197" s="241"/>
    </row>
    <row r="198">
      <c r="A198" s="433" t="s">
        <v>229</v>
      </c>
      <c r="B198" s="385" t="s">
        <v>497</v>
      </c>
      <c r="C198" s="313">
        <v>8.0</v>
      </c>
      <c r="D198" s="313">
        <v>0.75</v>
      </c>
      <c r="E198" s="316" t="s">
        <v>167</v>
      </c>
      <c r="F198" s="317" t="s">
        <v>168</v>
      </c>
      <c r="G198" s="264" t="s">
        <v>167</v>
      </c>
      <c r="H198" s="313">
        <v>4.0</v>
      </c>
      <c r="I198" s="252" t="s">
        <v>178</v>
      </c>
      <c r="J198" s="252" t="s">
        <v>178</v>
      </c>
      <c r="K198" s="258" t="s">
        <v>178</v>
      </c>
      <c r="L198" s="258" t="s">
        <v>178</v>
      </c>
      <c r="M198" s="250"/>
      <c r="N198" s="233"/>
      <c r="O198" s="233"/>
      <c r="P198" s="233"/>
      <c r="Q198" s="233"/>
      <c r="R198" s="233"/>
      <c r="S198" s="233"/>
      <c r="T198" s="233"/>
      <c r="U198" s="233"/>
      <c r="V198" s="233"/>
      <c r="W198" s="233"/>
      <c r="X198" s="233"/>
      <c r="Y198" s="233"/>
      <c r="Z198" s="312"/>
      <c r="AA198" s="243"/>
      <c r="AB198" s="243"/>
      <c r="AC198" s="243"/>
      <c r="AD198" s="243"/>
      <c r="AE198" s="243"/>
      <c r="AF198" s="243"/>
      <c r="AG198" s="243"/>
      <c r="AH198" s="243"/>
      <c r="AI198" s="243"/>
      <c r="AJ198" s="243"/>
      <c r="AK198" s="241"/>
      <c r="AL198" s="241"/>
      <c r="AM198" s="241"/>
      <c r="AN198" s="241"/>
      <c r="AO198" s="241"/>
      <c r="AP198" s="241"/>
      <c r="AQ198" s="241"/>
      <c r="AR198" s="241"/>
    </row>
    <row r="199">
      <c r="A199" s="433" t="s">
        <v>229</v>
      </c>
      <c r="B199" s="385" t="s">
        <v>499</v>
      </c>
      <c r="C199" s="313">
        <v>10.0</v>
      </c>
      <c r="D199" s="313">
        <v>1.0</v>
      </c>
      <c r="E199" s="316" t="s">
        <v>167</v>
      </c>
      <c r="F199" s="317" t="s">
        <v>168</v>
      </c>
      <c r="G199" s="264" t="s">
        <v>167</v>
      </c>
      <c r="H199" s="313">
        <v>6.0</v>
      </c>
      <c r="I199" s="252" t="s">
        <v>178</v>
      </c>
      <c r="J199" s="252" t="s">
        <v>178</v>
      </c>
      <c r="K199" s="258" t="s">
        <v>178</v>
      </c>
      <c r="L199" s="258" t="s">
        <v>178</v>
      </c>
      <c r="M199" s="250"/>
      <c r="N199" s="233"/>
      <c r="O199" s="233"/>
      <c r="P199" s="233"/>
      <c r="Q199" s="233"/>
      <c r="R199" s="233"/>
      <c r="S199" s="233"/>
      <c r="T199" s="233"/>
      <c r="U199" s="233"/>
      <c r="V199" s="233"/>
      <c r="W199" s="233"/>
      <c r="X199" s="233"/>
      <c r="Y199" s="233"/>
      <c r="Z199" s="312"/>
      <c r="AA199" s="243"/>
      <c r="AB199" s="243"/>
      <c r="AC199" s="243"/>
      <c r="AD199" s="243"/>
      <c r="AE199" s="243"/>
      <c r="AF199" s="243"/>
      <c r="AG199" s="243"/>
      <c r="AH199" s="243"/>
      <c r="AI199" s="243"/>
      <c r="AJ199" s="243"/>
      <c r="AK199" s="241"/>
      <c r="AL199" s="241"/>
      <c r="AM199" s="241"/>
      <c r="AN199" s="241"/>
      <c r="AO199" s="241"/>
      <c r="AP199" s="241"/>
      <c r="AQ199" s="241"/>
      <c r="AR199" s="241"/>
    </row>
    <row r="200">
      <c r="A200" s="433" t="s">
        <v>25</v>
      </c>
      <c r="B200" s="385" t="s">
        <v>500</v>
      </c>
      <c r="C200" s="313">
        <v>10.0</v>
      </c>
      <c r="D200" s="313">
        <v>1.0</v>
      </c>
      <c r="E200" s="316" t="s">
        <v>167</v>
      </c>
      <c r="F200" s="316" t="s">
        <v>167</v>
      </c>
      <c r="G200" s="317" t="s">
        <v>168</v>
      </c>
      <c r="H200" s="313">
        <v>4.0</v>
      </c>
      <c r="I200" s="252" t="s">
        <v>178</v>
      </c>
      <c r="J200" s="252" t="s">
        <v>178</v>
      </c>
      <c r="K200" s="258" t="s">
        <v>178</v>
      </c>
      <c r="L200" s="258" t="s">
        <v>178</v>
      </c>
      <c r="M200" s="250"/>
      <c r="N200" s="233"/>
      <c r="O200" s="233"/>
      <c r="P200" s="233"/>
      <c r="Q200" s="233"/>
      <c r="R200" s="233"/>
      <c r="S200" s="233"/>
      <c r="T200" s="233"/>
      <c r="U200" s="233"/>
      <c r="V200" s="233"/>
      <c r="W200" s="233"/>
      <c r="X200" s="233"/>
      <c r="Y200" s="233"/>
      <c r="Z200" s="312"/>
      <c r="AA200" s="243"/>
      <c r="AB200" s="243"/>
      <c r="AC200" s="243"/>
      <c r="AD200" s="243"/>
      <c r="AE200" s="243"/>
      <c r="AF200" s="243"/>
      <c r="AG200" s="243"/>
      <c r="AH200" s="243"/>
      <c r="AI200" s="243"/>
      <c r="AJ200" s="243"/>
      <c r="AK200" s="241"/>
      <c r="AL200" s="241"/>
      <c r="AM200" s="241"/>
      <c r="AN200" s="241"/>
      <c r="AO200" s="241"/>
      <c r="AP200" s="241"/>
      <c r="AQ200" s="241"/>
      <c r="AR200" s="241"/>
    </row>
    <row r="201">
      <c r="A201" s="433" t="s">
        <v>25</v>
      </c>
      <c r="B201" s="385" t="s">
        <v>501</v>
      </c>
      <c r="C201" s="313">
        <v>8.0</v>
      </c>
      <c r="D201" s="313">
        <v>0.75</v>
      </c>
      <c r="E201" s="316" t="s">
        <v>167</v>
      </c>
      <c r="F201" s="316" t="s">
        <v>167</v>
      </c>
      <c r="G201" s="317" t="s">
        <v>168</v>
      </c>
      <c r="H201" s="313">
        <v>6.0</v>
      </c>
      <c r="I201" s="252" t="s">
        <v>178</v>
      </c>
      <c r="J201" s="252" t="s">
        <v>178</v>
      </c>
      <c r="K201" s="258" t="s">
        <v>178</v>
      </c>
      <c r="L201" s="258" t="s">
        <v>178</v>
      </c>
      <c r="M201" s="250"/>
      <c r="N201" s="233"/>
      <c r="O201" s="233"/>
      <c r="P201" s="233"/>
      <c r="Q201" s="233"/>
      <c r="R201" s="233"/>
      <c r="S201" s="233"/>
      <c r="T201" s="233"/>
      <c r="U201" s="233"/>
      <c r="V201" s="233"/>
      <c r="W201" s="233"/>
      <c r="X201" s="233"/>
      <c r="Y201" s="233"/>
      <c r="Z201" s="312"/>
      <c r="AA201" s="243"/>
      <c r="AB201" s="243"/>
      <c r="AC201" s="243"/>
      <c r="AD201" s="243"/>
      <c r="AE201" s="243"/>
      <c r="AF201" s="243"/>
      <c r="AG201" s="243"/>
      <c r="AH201" s="243"/>
      <c r="AI201" s="243"/>
      <c r="AJ201" s="243"/>
      <c r="AK201" s="241"/>
      <c r="AL201" s="241"/>
      <c r="AM201" s="241"/>
      <c r="AN201" s="241"/>
      <c r="AO201" s="241"/>
      <c r="AP201" s="241"/>
      <c r="AQ201" s="241"/>
      <c r="AR201" s="241"/>
    </row>
    <row r="202">
      <c r="A202" s="433" t="s">
        <v>25</v>
      </c>
      <c r="B202" s="385" t="s">
        <v>502</v>
      </c>
      <c r="C202" s="313">
        <v>8.0</v>
      </c>
      <c r="D202" s="313">
        <v>0.75</v>
      </c>
      <c r="E202" s="317" t="s">
        <v>168</v>
      </c>
      <c r="F202" s="316" t="s">
        <v>167</v>
      </c>
      <c r="G202" s="316" t="s">
        <v>167</v>
      </c>
      <c r="H202" s="313">
        <v>6.0</v>
      </c>
      <c r="I202" s="252" t="s">
        <v>178</v>
      </c>
      <c r="J202" s="252" t="s">
        <v>178</v>
      </c>
      <c r="K202" s="258" t="s">
        <v>178</v>
      </c>
      <c r="L202" s="258" t="s">
        <v>178</v>
      </c>
      <c r="M202" s="250"/>
      <c r="N202" s="233"/>
      <c r="O202" s="233"/>
      <c r="P202" s="233"/>
      <c r="Q202" s="233"/>
      <c r="R202" s="233"/>
      <c r="S202" s="233"/>
      <c r="T202" s="233"/>
      <c r="U202" s="233"/>
      <c r="V202" s="233"/>
      <c r="W202" s="233"/>
      <c r="X202" s="233"/>
      <c r="Y202" s="233"/>
      <c r="Z202" s="312"/>
      <c r="AA202" s="243"/>
      <c r="AB202" s="243"/>
      <c r="AC202" s="243"/>
      <c r="AD202" s="243"/>
      <c r="AE202" s="243"/>
      <c r="AF202" s="243"/>
      <c r="AG202" s="243"/>
      <c r="AH202" s="243"/>
      <c r="AI202" s="243"/>
      <c r="AJ202" s="243"/>
      <c r="AK202" s="241"/>
      <c r="AL202" s="241"/>
      <c r="AM202" s="241"/>
      <c r="AN202" s="241"/>
      <c r="AO202" s="241"/>
      <c r="AP202" s="241"/>
      <c r="AQ202" s="241"/>
      <c r="AR202" s="241"/>
    </row>
    <row r="203">
      <c r="A203" s="433" t="s">
        <v>25</v>
      </c>
      <c r="B203" s="385" t="s">
        <v>504</v>
      </c>
      <c r="C203" s="313">
        <v>8.0</v>
      </c>
      <c r="D203" s="313">
        <v>0.75</v>
      </c>
      <c r="E203" s="316" t="s">
        <v>167</v>
      </c>
      <c r="F203" s="317" t="s">
        <v>168</v>
      </c>
      <c r="G203" s="264" t="s">
        <v>167</v>
      </c>
      <c r="H203" s="313">
        <v>4.0</v>
      </c>
      <c r="I203" s="252" t="s">
        <v>178</v>
      </c>
      <c r="J203" s="252" t="s">
        <v>178</v>
      </c>
      <c r="K203" s="258" t="s">
        <v>178</v>
      </c>
      <c r="L203" s="258" t="s">
        <v>178</v>
      </c>
      <c r="M203" s="250"/>
      <c r="N203" s="233"/>
      <c r="O203" s="233"/>
      <c r="P203" s="233"/>
      <c r="Q203" s="233"/>
      <c r="R203" s="233"/>
      <c r="S203" s="233"/>
      <c r="T203" s="233"/>
      <c r="U203" s="233"/>
      <c r="V203" s="233"/>
      <c r="W203" s="233"/>
      <c r="X203" s="233"/>
      <c r="Y203" s="233"/>
      <c r="Z203" s="312"/>
      <c r="AA203" s="243"/>
      <c r="AB203" s="243"/>
      <c r="AC203" s="243"/>
      <c r="AD203" s="243"/>
      <c r="AE203" s="243"/>
      <c r="AF203" s="243"/>
      <c r="AG203" s="243"/>
      <c r="AH203" s="243"/>
      <c r="AI203" s="243"/>
      <c r="AJ203" s="243"/>
      <c r="AK203" s="241"/>
      <c r="AL203" s="241"/>
      <c r="AM203" s="241"/>
      <c r="AN203" s="241"/>
      <c r="AO203" s="241"/>
      <c r="AP203" s="241"/>
      <c r="AQ203" s="241"/>
      <c r="AR203" s="241"/>
    </row>
    <row r="204">
      <c r="A204" s="433" t="s">
        <v>25</v>
      </c>
      <c r="B204" s="385" t="s">
        <v>505</v>
      </c>
      <c r="C204" s="313">
        <v>6.0</v>
      </c>
      <c r="D204" s="313">
        <v>0.5</v>
      </c>
      <c r="E204" s="316" t="s">
        <v>167</v>
      </c>
      <c r="F204" s="316" t="s">
        <v>167</v>
      </c>
      <c r="G204" s="316" t="s">
        <v>167</v>
      </c>
      <c r="H204" s="313">
        <v>4.0</v>
      </c>
      <c r="I204" s="252" t="s">
        <v>178</v>
      </c>
      <c r="J204" s="252" t="s">
        <v>178</v>
      </c>
      <c r="K204" s="258" t="s">
        <v>178</v>
      </c>
      <c r="L204" s="258" t="s">
        <v>178</v>
      </c>
      <c r="M204" s="250"/>
      <c r="N204" s="233"/>
      <c r="O204" s="233"/>
      <c r="P204" s="233"/>
      <c r="Q204" s="233"/>
      <c r="R204" s="233"/>
      <c r="S204" s="233"/>
      <c r="T204" s="233"/>
      <c r="U204" s="233"/>
      <c r="V204" s="233"/>
      <c r="W204" s="233"/>
      <c r="X204" s="233"/>
      <c r="Y204" s="233"/>
      <c r="Z204" s="312"/>
      <c r="AA204" s="243"/>
      <c r="AB204" s="243"/>
      <c r="AC204" s="243"/>
      <c r="AD204" s="243"/>
      <c r="AE204" s="243"/>
      <c r="AF204" s="243"/>
      <c r="AG204" s="243"/>
      <c r="AH204" s="243"/>
      <c r="AI204" s="243"/>
      <c r="AJ204" s="243"/>
      <c r="AK204" s="241"/>
      <c r="AL204" s="241"/>
      <c r="AM204" s="241"/>
      <c r="AN204" s="241"/>
      <c r="AO204" s="241"/>
      <c r="AP204" s="241"/>
      <c r="AQ204" s="241"/>
      <c r="AR204" s="241"/>
    </row>
    <row r="205">
      <c r="A205" s="433" t="s">
        <v>25</v>
      </c>
      <c r="B205" s="385" t="s">
        <v>26</v>
      </c>
      <c r="C205" s="313">
        <v>6.0</v>
      </c>
      <c r="D205" s="313">
        <v>0.5</v>
      </c>
      <c r="E205" s="316" t="s">
        <v>167</v>
      </c>
      <c r="F205" s="317" t="s">
        <v>168</v>
      </c>
      <c r="G205" s="264" t="s">
        <v>167</v>
      </c>
      <c r="H205" s="313">
        <v>6.0</v>
      </c>
      <c r="I205" s="252" t="s">
        <v>178</v>
      </c>
      <c r="J205" s="252" t="s">
        <v>178</v>
      </c>
      <c r="K205" s="258" t="s">
        <v>178</v>
      </c>
      <c r="L205" s="258" t="s">
        <v>178</v>
      </c>
      <c r="M205" s="250"/>
      <c r="N205" s="233"/>
      <c r="O205" s="233"/>
      <c r="P205" s="233"/>
      <c r="Q205" s="233"/>
      <c r="R205" s="233"/>
      <c r="S205" s="233"/>
      <c r="T205" s="233"/>
      <c r="U205" s="233"/>
      <c r="V205" s="233"/>
      <c r="W205" s="233"/>
      <c r="X205" s="233"/>
      <c r="Y205" s="233"/>
      <c r="Z205" s="312"/>
      <c r="AA205" s="243"/>
      <c r="AB205" s="243"/>
      <c r="AC205" s="243"/>
      <c r="AD205" s="243"/>
      <c r="AE205" s="243"/>
      <c r="AF205" s="243"/>
      <c r="AG205" s="243"/>
      <c r="AH205" s="243"/>
      <c r="AI205" s="243"/>
      <c r="AJ205" s="243"/>
      <c r="AK205" s="241"/>
      <c r="AL205" s="241"/>
      <c r="AM205" s="241"/>
      <c r="AN205" s="241"/>
      <c r="AO205" s="241"/>
      <c r="AP205" s="241"/>
      <c r="AQ205" s="241"/>
      <c r="AR205" s="241"/>
    </row>
    <row r="206">
      <c r="A206" s="433" t="s">
        <v>25</v>
      </c>
      <c r="B206" s="385" t="s">
        <v>506</v>
      </c>
      <c r="C206" s="313">
        <v>8.0</v>
      </c>
      <c r="D206" s="313">
        <v>0.75</v>
      </c>
      <c r="E206" s="316" t="s">
        <v>167</v>
      </c>
      <c r="F206" s="317" t="s">
        <v>168</v>
      </c>
      <c r="G206" s="264" t="s">
        <v>167</v>
      </c>
      <c r="H206" s="313">
        <v>6.0</v>
      </c>
      <c r="I206" s="252" t="s">
        <v>178</v>
      </c>
      <c r="J206" s="252" t="s">
        <v>178</v>
      </c>
      <c r="K206" s="258" t="s">
        <v>178</v>
      </c>
      <c r="L206" s="258" t="s">
        <v>178</v>
      </c>
      <c r="M206" s="250"/>
      <c r="N206" s="233"/>
      <c r="O206" s="233"/>
      <c r="P206" s="233"/>
      <c r="Q206" s="233"/>
      <c r="R206" s="233"/>
      <c r="S206" s="233"/>
      <c r="T206" s="233"/>
      <c r="U206" s="233"/>
      <c r="V206" s="233"/>
      <c r="W206" s="233"/>
      <c r="X206" s="233"/>
      <c r="Y206" s="233"/>
      <c r="Z206" s="312"/>
      <c r="AA206" s="243"/>
      <c r="AB206" s="243"/>
      <c r="AC206" s="243"/>
      <c r="AD206" s="243"/>
      <c r="AE206" s="243"/>
      <c r="AF206" s="243"/>
      <c r="AG206" s="243"/>
      <c r="AH206" s="243"/>
      <c r="AI206" s="243"/>
      <c r="AJ206" s="243"/>
      <c r="AK206" s="241"/>
      <c r="AL206" s="241"/>
      <c r="AM206" s="241"/>
      <c r="AN206" s="241"/>
      <c r="AO206" s="241"/>
      <c r="AP206" s="241"/>
      <c r="AQ206" s="241"/>
      <c r="AR206" s="241"/>
    </row>
    <row r="207">
      <c r="A207" s="433" t="s">
        <v>25</v>
      </c>
      <c r="B207" s="385" t="s">
        <v>507</v>
      </c>
      <c r="C207" s="313">
        <v>6.0</v>
      </c>
      <c r="D207" s="313">
        <v>0.5</v>
      </c>
      <c r="E207" s="316" t="s">
        <v>167</v>
      </c>
      <c r="F207" s="317" t="s">
        <v>168</v>
      </c>
      <c r="G207" s="264" t="s">
        <v>167</v>
      </c>
      <c r="H207" s="313">
        <v>2.0</v>
      </c>
      <c r="I207" s="252" t="s">
        <v>178</v>
      </c>
      <c r="J207" s="252" t="s">
        <v>178</v>
      </c>
      <c r="K207" s="258" t="s">
        <v>178</v>
      </c>
      <c r="L207" s="258" t="s">
        <v>178</v>
      </c>
      <c r="M207" s="250"/>
      <c r="N207" s="233"/>
      <c r="O207" s="233"/>
      <c r="P207" s="233"/>
      <c r="Q207" s="233"/>
      <c r="R207" s="233"/>
      <c r="S207" s="233"/>
      <c r="T207" s="233"/>
      <c r="U207" s="233"/>
      <c r="V207" s="233"/>
      <c r="W207" s="233"/>
      <c r="X207" s="233"/>
      <c r="Y207" s="233"/>
      <c r="Z207" s="312"/>
      <c r="AA207" s="243"/>
      <c r="AB207" s="243"/>
      <c r="AC207" s="243"/>
      <c r="AD207" s="243"/>
      <c r="AE207" s="243"/>
      <c r="AF207" s="243"/>
      <c r="AG207" s="243"/>
      <c r="AH207" s="243"/>
      <c r="AI207" s="243"/>
      <c r="AJ207" s="243"/>
      <c r="AK207" s="241"/>
      <c r="AL207" s="241"/>
      <c r="AM207" s="241"/>
      <c r="AN207" s="241"/>
      <c r="AO207" s="241"/>
      <c r="AP207" s="241"/>
      <c r="AQ207" s="241"/>
      <c r="AR207" s="241"/>
    </row>
    <row r="208">
      <c r="A208" s="433" t="s">
        <v>25</v>
      </c>
      <c r="B208" s="385" t="s">
        <v>508</v>
      </c>
      <c r="C208" s="313">
        <v>8.0</v>
      </c>
      <c r="D208" s="313">
        <v>0.75</v>
      </c>
      <c r="E208" s="316" t="s">
        <v>167</v>
      </c>
      <c r="F208" s="317" t="s">
        <v>168</v>
      </c>
      <c r="G208" s="264" t="s">
        <v>167</v>
      </c>
      <c r="H208" s="313">
        <v>4.0</v>
      </c>
      <c r="I208" s="252" t="s">
        <v>178</v>
      </c>
      <c r="J208" s="252" t="s">
        <v>178</v>
      </c>
      <c r="K208" s="258" t="s">
        <v>178</v>
      </c>
      <c r="L208" s="258" t="s">
        <v>178</v>
      </c>
      <c r="M208" s="250"/>
      <c r="N208" s="233"/>
      <c r="O208" s="233"/>
      <c r="P208" s="233"/>
      <c r="Q208" s="233"/>
      <c r="R208" s="233"/>
      <c r="S208" s="233"/>
      <c r="T208" s="233"/>
      <c r="U208" s="233"/>
      <c r="V208" s="233"/>
      <c r="W208" s="233"/>
      <c r="X208" s="233"/>
      <c r="Y208" s="233"/>
      <c r="Z208" s="312"/>
      <c r="AA208" s="243"/>
      <c r="AB208" s="243"/>
      <c r="AC208" s="243"/>
      <c r="AD208" s="243"/>
      <c r="AE208" s="243"/>
      <c r="AF208" s="243"/>
      <c r="AG208" s="243"/>
      <c r="AH208" s="243"/>
      <c r="AI208" s="243"/>
      <c r="AJ208" s="243"/>
      <c r="AK208" s="241"/>
      <c r="AL208" s="241"/>
      <c r="AM208" s="241"/>
      <c r="AN208" s="241"/>
      <c r="AO208" s="241"/>
      <c r="AP208" s="241"/>
      <c r="AQ208" s="241"/>
      <c r="AR208" s="241"/>
    </row>
    <row r="209">
      <c r="A209" s="313" t="s">
        <v>43</v>
      </c>
      <c r="B209" s="385" t="s">
        <v>509</v>
      </c>
      <c r="C209" s="313">
        <v>8.0</v>
      </c>
      <c r="D209" s="313">
        <v>0.75</v>
      </c>
      <c r="E209" s="316" t="s">
        <v>167</v>
      </c>
      <c r="F209" s="317" t="s">
        <v>168</v>
      </c>
      <c r="G209" s="264" t="s">
        <v>167</v>
      </c>
      <c r="H209" s="313">
        <v>4.0</v>
      </c>
      <c r="I209" s="252" t="s">
        <v>178</v>
      </c>
      <c r="J209" s="252" t="s">
        <v>178</v>
      </c>
      <c r="K209" s="258" t="s">
        <v>178</v>
      </c>
      <c r="L209" s="258" t="s">
        <v>178</v>
      </c>
      <c r="M209" s="250"/>
      <c r="N209" s="233"/>
      <c r="O209" s="233"/>
      <c r="P209" s="233"/>
      <c r="Q209" s="233"/>
      <c r="R209" s="233"/>
      <c r="S209" s="233"/>
      <c r="T209" s="233"/>
      <c r="U209" s="233"/>
      <c r="V209" s="233"/>
      <c r="W209" s="233"/>
      <c r="X209" s="233"/>
      <c r="Y209" s="233"/>
      <c r="Z209" s="312"/>
      <c r="AA209" s="243"/>
      <c r="AB209" s="243"/>
      <c r="AC209" s="243"/>
      <c r="AD209" s="243"/>
      <c r="AE209" s="243"/>
      <c r="AF209" s="243"/>
      <c r="AG209" s="243"/>
      <c r="AH209" s="243"/>
      <c r="AI209" s="243"/>
      <c r="AJ209" s="243"/>
      <c r="AK209" s="241"/>
      <c r="AL209" s="241"/>
      <c r="AM209" s="241"/>
      <c r="AN209" s="241"/>
      <c r="AO209" s="241"/>
      <c r="AP209" s="241"/>
      <c r="AQ209" s="241"/>
      <c r="AR209" s="241"/>
    </row>
    <row r="210">
      <c r="A210" s="313" t="s">
        <v>43</v>
      </c>
      <c r="B210" s="385" t="s">
        <v>510</v>
      </c>
      <c r="C210" s="313">
        <v>8.0</v>
      </c>
      <c r="D210" s="313">
        <v>0.75</v>
      </c>
      <c r="E210" s="317" t="s">
        <v>168</v>
      </c>
      <c r="F210" s="317" t="s">
        <v>168</v>
      </c>
      <c r="G210" s="264" t="s">
        <v>167</v>
      </c>
      <c r="H210" s="313">
        <v>4.0</v>
      </c>
      <c r="I210" s="252" t="s">
        <v>178</v>
      </c>
      <c r="J210" s="252" t="s">
        <v>178</v>
      </c>
      <c r="K210" s="258" t="s">
        <v>178</v>
      </c>
      <c r="L210" s="258" t="s">
        <v>178</v>
      </c>
      <c r="M210" s="250"/>
      <c r="N210" s="233"/>
      <c r="O210" s="233"/>
      <c r="P210" s="233"/>
      <c r="Q210" s="233"/>
      <c r="R210" s="233"/>
      <c r="S210" s="233"/>
      <c r="T210" s="233"/>
      <c r="U210" s="233"/>
      <c r="V210" s="233"/>
      <c r="W210" s="233"/>
      <c r="X210" s="233"/>
      <c r="Y210" s="233"/>
      <c r="Z210" s="312"/>
      <c r="AA210" s="243"/>
      <c r="AB210" s="243"/>
      <c r="AC210" s="243"/>
      <c r="AD210" s="243"/>
      <c r="AE210" s="243"/>
      <c r="AF210" s="243"/>
      <c r="AG210" s="243"/>
      <c r="AH210" s="243"/>
      <c r="AI210" s="243"/>
      <c r="AJ210" s="243"/>
      <c r="AK210" s="241"/>
      <c r="AL210" s="241"/>
      <c r="AM210" s="241"/>
      <c r="AN210" s="241"/>
      <c r="AO210" s="241"/>
      <c r="AP210" s="241"/>
      <c r="AQ210" s="241"/>
      <c r="AR210" s="241"/>
    </row>
    <row r="211">
      <c r="A211" s="313" t="s">
        <v>43</v>
      </c>
      <c r="B211" s="385" t="s">
        <v>511</v>
      </c>
      <c r="C211" s="313">
        <v>10.0</v>
      </c>
      <c r="D211" s="313">
        <v>1.0</v>
      </c>
      <c r="E211" s="316" t="s">
        <v>167</v>
      </c>
      <c r="F211" s="317" t="s">
        <v>168</v>
      </c>
      <c r="G211" s="264" t="s">
        <v>167</v>
      </c>
      <c r="H211" s="313">
        <v>4.0</v>
      </c>
      <c r="I211" s="252" t="s">
        <v>178</v>
      </c>
      <c r="J211" s="252" t="s">
        <v>178</v>
      </c>
      <c r="K211" s="258" t="s">
        <v>178</v>
      </c>
      <c r="L211" s="258" t="s">
        <v>178</v>
      </c>
      <c r="M211" s="250"/>
      <c r="N211" s="233"/>
      <c r="O211" s="233"/>
      <c r="P211" s="233"/>
      <c r="Q211" s="233"/>
      <c r="R211" s="233"/>
      <c r="S211" s="233"/>
      <c r="T211" s="233"/>
      <c r="U211" s="233"/>
      <c r="V211" s="233"/>
      <c r="W211" s="233"/>
      <c r="X211" s="233"/>
      <c r="Y211" s="233"/>
      <c r="Z211" s="312"/>
      <c r="AA211" s="243"/>
      <c r="AB211" s="243"/>
      <c r="AC211" s="243"/>
      <c r="AD211" s="243"/>
      <c r="AE211" s="243"/>
      <c r="AF211" s="243"/>
      <c r="AG211" s="243"/>
      <c r="AH211" s="243"/>
      <c r="AI211" s="243"/>
      <c r="AJ211" s="243"/>
      <c r="AK211" s="241"/>
      <c r="AL211" s="241"/>
      <c r="AM211" s="241"/>
      <c r="AN211" s="241"/>
      <c r="AO211" s="241"/>
      <c r="AP211" s="241"/>
      <c r="AQ211" s="241"/>
      <c r="AR211" s="241"/>
    </row>
    <row r="212">
      <c r="A212" s="313" t="s">
        <v>43</v>
      </c>
      <c r="B212" s="385" t="s">
        <v>512</v>
      </c>
      <c r="C212" s="313">
        <v>12.0</v>
      </c>
      <c r="D212" s="313">
        <v>1.0</v>
      </c>
      <c r="E212" s="316" t="s">
        <v>167</v>
      </c>
      <c r="F212" s="317" t="s">
        <v>168</v>
      </c>
      <c r="G212" s="264" t="s">
        <v>167</v>
      </c>
      <c r="H212" s="313">
        <v>4.0</v>
      </c>
      <c r="I212" s="252" t="s">
        <v>178</v>
      </c>
      <c r="J212" s="252" t="s">
        <v>178</v>
      </c>
      <c r="K212" s="258" t="s">
        <v>178</v>
      </c>
      <c r="L212" s="258" t="s">
        <v>178</v>
      </c>
      <c r="M212" s="250"/>
      <c r="N212" s="233"/>
      <c r="O212" s="233"/>
      <c r="P212" s="233"/>
      <c r="Q212" s="233"/>
      <c r="R212" s="233"/>
      <c r="S212" s="233"/>
      <c r="T212" s="233"/>
      <c r="U212" s="233"/>
      <c r="V212" s="233"/>
      <c r="W212" s="233"/>
      <c r="X212" s="233"/>
      <c r="Y212" s="233"/>
      <c r="Z212" s="312"/>
      <c r="AA212" s="243"/>
      <c r="AB212" s="243"/>
      <c r="AC212" s="243"/>
      <c r="AD212" s="243"/>
      <c r="AE212" s="243"/>
      <c r="AF212" s="243"/>
      <c r="AG212" s="243"/>
      <c r="AH212" s="243"/>
      <c r="AI212" s="243"/>
      <c r="AJ212" s="243"/>
      <c r="AK212" s="241"/>
      <c r="AL212" s="241"/>
      <c r="AM212" s="241"/>
      <c r="AN212" s="241"/>
      <c r="AO212" s="241"/>
      <c r="AP212" s="241"/>
      <c r="AQ212" s="241"/>
      <c r="AR212" s="241"/>
    </row>
    <row r="213">
      <c r="A213" s="313" t="s">
        <v>43</v>
      </c>
      <c r="B213" s="385" t="s">
        <v>513</v>
      </c>
      <c r="C213" s="313">
        <v>8.0</v>
      </c>
      <c r="D213" s="313">
        <v>0.75</v>
      </c>
      <c r="E213" s="316" t="s">
        <v>167</v>
      </c>
      <c r="F213" s="317" t="s">
        <v>168</v>
      </c>
      <c r="G213" s="264" t="s">
        <v>167</v>
      </c>
      <c r="H213" s="313">
        <v>4.0</v>
      </c>
      <c r="I213" s="252" t="s">
        <v>178</v>
      </c>
      <c r="J213" s="252" t="s">
        <v>178</v>
      </c>
      <c r="K213" s="258" t="s">
        <v>178</v>
      </c>
      <c r="L213" s="258" t="s">
        <v>178</v>
      </c>
      <c r="M213" s="250"/>
      <c r="N213" s="233"/>
      <c r="O213" s="233"/>
      <c r="P213" s="233"/>
      <c r="Q213" s="233"/>
      <c r="R213" s="233"/>
      <c r="S213" s="233"/>
      <c r="T213" s="233"/>
      <c r="U213" s="233"/>
      <c r="V213" s="233"/>
      <c r="W213" s="233"/>
      <c r="X213" s="233"/>
      <c r="Y213" s="233"/>
      <c r="Z213" s="312"/>
      <c r="AA213" s="243"/>
      <c r="AB213" s="243"/>
      <c r="AC213" s="243"/>
      <c r="AD213" s="243"/>
      <c r="AE213" s="243"/>
      <c r="AF213" s="243"/>
      <c r="AG213" s="243"/>
      <c r="AH213" s="243"/>
      <c r="AI213" s="243"/>
      <c r="AJ213" s="243"/>
      <c r="AK213" s="241"/>
      <c r="AL213" s="241"/>
      <c r="AM213" s="241"/>
      <c r="AN213" s="241"/>
      <c r="AO213" s="241"/>
      <c r="AP213" s="241"/>
      <c r="AQ213" s="241"/>
      <c r="AR213" s="241"/>
    </row>
    <row r="214">
      <c r="A214" s="313" t="s">
        <v>43</v>
      </c>
      <c r="B214" s="385" t="s">
        <v>514</v>
      </c>
      <c r="C214" s="313">
        <v>8.0</v>
      </c>
      <c r="D214" s="313">
        <v>0.75</v>
      </c>
      <c r="E214" s="316" t="s">
        <v>167</v>
      </c>
      <c r="F214" s="316" t="s">
        <v>167</v>
      </c>
      <c r="G214" s="317" t="s">
        <v>168</v>
      </c>
      <c r="H214" s="313">
        <v>6.0</v>
      </c>
      <c r="I214" s="252" t="s">
        <v>178</v>
      </c>
      <c r="J214" s="252" t="s">
        <v>178</v>
      </c>
      <c r="K214" s="258" t="s">
        <v>178</v>
      </c>
      <c r="L214" s="258" t="s">
        <v>178</v>
      </c>
      <c r="M214" s="250"/>
      <c r="N214" s="233"/>
      <c r="O214" s="233"/>
      <c r="P214" s="233"/>
      <c r="Q214" s="233"/>
      <c r="R214" s="233"/>
      <c r="S214" s="233"/>
      <c r="T214" s="233"/>
      <c r="U214" s="233"/>
      <c r="V214" s="233"/>
      <c r="W214" s="233"/>
      <c r="X214" s="233"/>
      <c r="Y214" s="233"/>
      <c r="Z214" s="312"/>
      <c r="AA214" s="243"/>
      <c r="AB214" s="243"/>
      <c r="AC214" s="243"/>
      <c r="AD214" s="243"/>
      <c r="AE214" s="243"/>
      <c r="AF214" s="243"/>
      <c r="AG214" s="243"/>
      <c r="AH214" s="243"/>
      <c r="AI214" s="243"/>
      <c r="AJ214" s="243"/>
      <c r="AK214" s="241"/>
      <c r="AL214" s="241"/>
      <c r="AM214" s="241"/>
      <c r="AN214" s="241"/>
      <c r="AO214" s="241"/>
      <c r="AP214" s="241"/>
      <c r="AQ214" s="241"/>
      <c r="AR214" s="241"/>
    </row>
    <row r="215">
      <c r="A215" s="433" t="s">
        <v>25</v>
      </c>
      <c r="B215" s="385" t="s">
        <v>515</v>
      </c>
      <c r="C215" s="313">
        <v>8.0</v>
      </c>
      <c r="D215" s="313">
        <v>0.75</v>
      </c>
      <c r="E215" s="317" t="s">
        <v>168</v>
      </c>
      <c r="F215" s="316" t="s">
        <v>167</v>
      </c>
      <c r="G215" s="316" t="s">
        <v>167</v>
      </c>
      <c r="H215" s="313">
        <v>6.0</v>
      </c>
      <c r="I215" s="252" t="s">
        <v>178</v>
      </c>
      <c r="J215" s="252" t="s">
        <v>178</v>
      </c>
      <c r="K215" s="258" t="s">
        <v>178</v>
      </c>
      <c r="L215" s="258" t="s">
        <v>178</v>
      </c>
      <c r="M215" s="250"/>
      <c r="N215" s="233"/>
      <c r="O215" s="233"/>
      <c r="P215" s="233"/>
      <c r="Q215" s="233"/>
      <c r="R215" s="233"/>
      <c r="S215" s="233"/>
      <c r="T215" s="233"/>
      <c r="U215" s="233"/>
      <c r="V215" s="233"/>
      <c r="W215" s="233"/>
      <c r="X215" s="233"/>
      <c r="Y215" s="233"/>
      <c r="Z215" s="312"/>
      <c r="AA215" s="243"/>
      <c r="AB215" s="243"/>
      <c r="AC215" s="243"/>
      <c r="AD215" s="243"/>
      <c r="AE215" s="243"/>
      <c r="AF215" s="243"/>
      <c r="AG215" s="243"/>
      <c r="AH215" s="243"/>
      <c r="AI215" s="243"/>
      <c r="AJ215" s="243"/>
      <c r="AK215" s="241"/>
      <c r="AL215" s="241"/>
      <c r="AM215" s="241"/>
      <c r="AN215" s="241"/>
      <c r="AO215" s="241"/>
      <c r="AP215" s="241"/>
      <c r="AQ215" s="241"/>
      <c r="AR215" s="241"/>
    </row>
    <row r="216">
      <c r="A216" s="433" t="s">
        <v>25</v>
      </c>
      <c r="B216" s="385" t="s">
        <v>516</v>
      </c>
      <c r="C216" s="313">
        <v>6.0</v>
      </c>
      <c r="D216" s="313">
        <v>0.5</v>
      </c>
      <c r="E216" s="316" t="s">
        <v>167</v>
      </c>
      <c r="F216" s="317" t="s">
        <v>168</v>
      </c>
      <c r="G216" s="264" t="s">
        <v>167</v>
      </c>
      <c r="H216" s="313">
        <v>4.0</v>
      </c>
      <c r="I216" s="252" t="s">
        <v>178</v>
      </c>
      <c r="J216" s="252" t="s">
        <v>178</v>
      </c>
      <c r="K216" s="258" t="s">
        <v>178</v>
      </c>
      <c r="L216" s="258" t="s">
        <v>178</v>
      </c>
      <c r="M216" s="250"/>
      <c r="N216" s="233"/>
      <c r="O216" s="233"/>
      <c r="P216" s="233"/>
      <c r="Q216" s="233"/>
      <c r="R216" s="233"/>
      <c r="S216" s="233"/>
      <c r="T216" s="233"/>
      <c r="U216" s="233"/>
      <c r="V216" s="233"/>
      <c r="W216" s="233"/>
      <c r="X216" s="233"/>
      <c r="Y216" s="233"/>
      <c r="Z216" s="312"/>
      <c r="AA216" s="243"/>
      <c r="AB216" s="243"/>
      <c r="AC216" s="243"/>
      <c r="AD216" s="243"/>
      <c r="AE216" s="243"/>
      <c r="AF216" s="243"/>
      <c r="AG216" s="243"/>
      <c r="AH216" s="243"/>
      <c r="AI216" s="243"/>
      <c r="AJ216" s="243"/>
      <c r="AK216" s="241"/>
      <c r="AL216" s="241"/>
      <c r="AM216" s="241"/>
      <c r="AN216" s="241"/>
      <c r="AO216" s="241"/>
      <c r="AP216" s="241"/>
      <c r="AQ216" s="241"/>
      <c r="AR216" s="241"/>
    </row>
    <row r="217">
      <c r="A217" s="433" t="s">
        <v>25</v>
      </c>
      <c r="B217" s="385" t="s">
        <v>517</v>
      </c>
      <c r="C217" s="313">
        <v>10.0</v>
      </c>
      <c r="D217" s="313">
        <v>1.0</v>
      </c>
      <c r="E217" s="316" t="s">
        <v>167</v>
      </c>
      <c r="F217" s="317" t="s">
        <v>168</v>
      </c>
      <c r="G217" s="264" t="s">
        <v>167</v>
      </c>
      <c r="H217" s="313">
        <v>4.0</v>
      </c>
      <c r="I217" s="252" t="s">
        <v>178</v>
      </c>
      <c r="J217" s="252" t="s">
        <v>178</v>
      </c>
      <c r="K217" s="258" t="s">
        <v>178</v>
      </c>
      <c r="L217" s="258" t="s">
        <v>178</v>
      </c>
      <c r="M217" s="250"/>
      <c r="N217" s="233"/>
      <c r="O217" s="233"/>
      <c r="P217" s="233"/>
      <c r="Q217" s="233"/>
      <c r="R217" s="233"/>
      <c r="S217" s="233"/>
      <c r="T217" s="233"/>
      <c r="U217" s="233"/>
      <c r="V217" s="233"/>
      <c r="W217" s="233"/>
      <c r="X217" s="233"/>
      <c r="Y217" s="233"/>
      <c r="Z217" s="312"/>
      <c r="AA217" s="243"/>
      <c r="AB217" s="243"/>
      <c r="AC217" s="243"/>
      <c r="AD217" s="243"/>
      <c r="AE217" s="243"/>
      <c r="AF217" s="243"/>
      <c r="AG217" s="243"/>
      <c r="AH217" s="243"/>
      <c r="AI217" s="243"/>
      <c r="AJ217" s="243"/>
      <c r="AK217" s="241"/>
      <c r="AL217" s="241"/>
      <c r="AM217" s="241"/>
      <c r="AN217" s="241"/>
      <c r="AO217" s="241"/>
      <c r="AP217" s="241"/>
      <c r="AQ217" s="241"/>
      <c r="AR217" s="241"/>
    </row>
    <row r="218">
      <c r="A218" s="433" t="s">
        <v>25</v>
      </c>
      <c r="B218" s="385" t="s">
        <v>518</v>
      </c>
      <c r="C218" s="313">
        <v>8.0</v>
      </c>
      <c r="D218" s="313">
        <v>0.75</v>
      </c>
      <c r="E218" s="316" t="s">
        <v>167</v>
      </c>
      <c r="F218" s="317" t="s">
        <v>168</v>
      </c>
      <c r="G218" s="264" t="s">
        <v>167</v>
      </c>
      <c r="H218" s="313">
        <v>4.0</v>
      </c>
      <c r="I218" s="252" t="s">
        <v>178</v>
      </c>
      <c r="J218" s="252" t="s">
        <v>178</v>
      </c>
      <c r="K218" s="258" t="s">
        <v>178</v>
      </c>
      <c r="L218" s="258" t="s">
        <v>178</v>
      </c>
      <c r="M218" s="250"/>
      <c r="N218" s="233"/>
      <c r="O218" s="233"/>
      <c r="P218" s="233"/>
      <c r="Q218" s="233"/>
      <c r="R218" s="233"/>
      <c r="S218" s="233"/>
      <c r="T218" s="233"/>
      <c r="U218" s="233"/>
      <c r="V218" s="233"/>
      <c r="W218" s="233"/>
      <c r="X218" s="233"/>
      <c r="Y218" s="233"/>
      <c r="Z218" s="312"/>
      <c r="AA218" s="243"/>
      <c r="AB218" s="243"/>
      <c r="AC218" s="243"/>
      <c r="AD218" s="243"/>
      <c r="AE218" s="243"/>
      <c r="AF218" s="243"/>
      <c r="AG218" s="243"/>
      <c r="AH218" s="243"/>
      <c r="AI218" s="243"/>
      <c r="AJ218" s="243"/>
      <c r="AK218" s="241"/>
      <c r="AL218" s="241"/>
      <c r="AM218" s="241"/>
      <c r="AN218" s="241"/>
      <c r="AO218" s="241"/>
      <c r="AP218" s="241"/>
      <c r="AQ218" s="241"/>
      <c r="AR218" s="241"/>
    </row>
    <row r="219">
      <c r="A219" s="433" t="s">
        <v>25</v>
      </c>
      <c r="B219" s="385" t="s">
        <v>519</v>
      </c>
      <c r="C219" s="313">
        <v>8.0</v>
      </c>
      <c r="D219" s="313">
        <v>0.75</v>
      </c>
      <c r="E219" s="317" t="s">
        <v>168</v>
      </c>
      <c r="F219" s="316" t="s">
        <v>167</v>
      </c>
      <c r="G219" s="316" t="s">
        <v>167</v>
      </c>
      <c r="H219" s="313">
        <v>4.0</v>
      </c>
      <c r="I219" s="252" t="s">
        <v>178</v>
      </c>
      <c r="J219" s="252" t="s">
        <v>178</v>
      </c>
      <c r="K219" s="258" t="s">
        <v>178</v>
      </c>
      <c r="L219" s="258" t="s">
        <v>178</v>
      </c>
      <c r="M219" s="250"/>
      <c r="N219" s="233"/>
      <c r="O219" s="233"/>
      <c r="P219" s="233"/>
      <c r="Q219" s="233"/>
      <c r="R219" s="233"/>
      <c r="S219" s="233"/>
      <c r="T219" s="233"/>
      <c r="U219" s="233"/>
      <c r="V219" s="233"/>
      <c r="W219" s="233"/>
      <c r="X219" s="233"/>
      <c r="Y219" s="233"/>
      <c r="Z219" s="312"/>
      <c r="AA219" s="243"/>
      <c r="AB219" s="243"/>
      <c r="AC219" s="243"/>
      <c r="AD219" s="243"/>
      <c r="AE219" s="243"/>
      <c r="AF219" s="243"/>
      <c r="AG219" s="243"/>
      <c r="AH219" s="243"/>
      <c r="AI219" s="243"/>
      <c r="AJ219" s="243"/>
      <c r="AK219" s="241"/>
      <c r="AL219" s="241"/>
      <c r="AM219" s="241"/>
      <c r="AN219" s="241"/>
      <c r="AO219" s="241"/>
      <c r="AP219" s="241"/>
      <c r="AQ219" s="241"/>
      <c r="AR219" s="241"/>
    </row>
    <row r="220">
      <c r="A220" s="433" t="s">
        <v>25</v>
      </c>
      <c r="B220" s="385" t="s">
        <v>521</v>
      </c>
      <c r="C220" s="313">
        <v>6.0</v>
      </c>
      <c r="D220" s="313">
        <v>0.5</v>
      </c>
      <c r="E220" s="317" t="s">
        <v>168</v>
      </c>
      <c r="F220" s="317" t="s">
        <v>168</v>
      </c>
      <c r="G220" s="316" t="s">
        <v>167</v>
      </c>
      <c r="H220" s="313">
        <v>4.0</v>
      </c>
      <c r="I220" s="252" t="s">
        <v>178</v>
      </c>
      <c r="J220" s="252" t="s">
        <v>178</v>
      </c>
      <c r="K220" s="258" t="s">
        <v>178</v>
      </c>
      <c r="L220" s="258" t="s">
        <v>178</v>
      </c>
      <c r="M220" s="250"/>
      <c r="N220" s="233"/>
      <c r="O220" s="233"/>
      <c r="P220" s="233"/>
      <c r="Q220" s="233"/>
      <c r="R220" s="233"/>
      <c r="S220" s="233"/>
      <c r="T220" s="233"/>
      <c r="U220" s="233"/>
      <c r="V220" s="233"/>
      <c r="W220" s="233"/>
      <c r="X220" s="233"/>
      <c r="Y220" s="233"/>
      <c r="Z220" s="312"/>
      <c r="AA220" s="243"/>
      <c r="AB220" s="243"/>
      <c r="AC220" s="243"/>
      <c r="AD220" s="243"/>
      <c r="AE220" s="243"/>
      <c r="AF220" s="243"/>
      <c r="AG220" s="243"/>
      <c r="AH220" s="243"/>
      <c r="AI220" s="243"/>
      <c r="AJ220" s="243"/>
      <c r="AK220" s="241"/>
      <c r="AL220" s="241"/>
      <c r="AM220" s="241"/>
      <c r="AN220" s="241"/>
      <c r="AO220" s="241"/>
      <c r="AP220" s="241"/>
      <c r="AQ220" s="241"/>
      <c r="AR220" s="241"/>
    </row>
    <row r="221">
      <c r="A221" s="433" t="s">
        <v>25</v>
      </c>
      <c r="B221" s="385" t="s">
        <v>522</v>
      </c>
      <c r="C221" s="313">
        <v>8.0</v>
      </c>
      <c r="D221" s="313">
        <v>0.75</v>
      </c>
      <c r="E221" s="317" t="s">
        <v>168</v>
      </c>
      <c r="F221" s="316" t="s">
        <v>167</v>
      </c>
      <c r="G221" s="316" t="s">
        <v>167</v>
      </c>
      <c r="H221" s="313">
        <v>6.0</v>
      </c>
      <c r="I221" s="252" t="s">
        <v>178</v>
      </c>
      <c r="J221" s="252" t="s">
        <v>178</v>
      </c>
      <c r="K221" s="258" t="s">
        <v>178</v>
      </c>
      <c r="L221" s="258" t="s">
        <v>178</v>
      </c>
      <c r="M221" s="250"/>
      <c r="N221" s="233"/>
      <c r="O221" s="233"/>
      <c r="P221" s="233"/>
      <c r="Q221" s="233"/>
      <c r="R221" s="233"/>
      <c r="S221" s="233"/>
      <c r="T221" s="233"/>
      <c r="U221" s="233"/>
      <c r="V221" s="233"/>
      <c r="W221" s="233"/>
      <c r="X221" s="233"/>
      <c r="Y221" s="233"/>
      <c r="Z221" s="312"/>
      <c r="AA221" s="243"/>
      <c r="AB221" s="243"/>
      <c r="AC221" s="243"/>
      <c r="AD221" s="243"/>
      <c r="AE221" s="243"/>
      <c r="AF221" s="243"/>
      <c r="AG221" s="243"/>
      <c r="AH221" s="243"/>
      <c r="AI221" s="243"/>
      <c r="AJ221" s="243"/>
      <c r="AK221" s="241"/>
      <c r="AL221" s="241"/>
      <c r="AM221" s="241"/>
      <c r="AN221" s="241"/>
      <c r="AO221" s="241"/>
      <c r="AP221" s="241"/>
      <c r="AQ221" s="241"/>
      <c r="AR221" s="241"/>
    </row>
    <row r="222">
      <c r="A222" s="433" t="s">
        <v>25</v>
      </c>
      <c r="B222" s="385" t="s">
        <v>523</v>
      </c>
      <c r="C222" s="313">
        <v>10.0</v>
      </c>
      <c r="D222" s="313">
        <v>1.0</v>
      </c>
      <c r="E222" s="316" t="s">
        <v>167</v>
      </c>
      <c r="F222" s="316" t="s">
        <v>167</v>
      </c>
      <c r="G222" s="317" t="s">
        <v>168</v>
      </c>
      <c r="H222" s="313">
        <v>2.0</v>
      </c>
      <c r="I222" s="252" t="s">
        <v>178</v>
      </c>
      <c r="J222" s="252" t="s">
        <v>178</v>
      </c>
      <c r="K222" s="258" t="s">
        <v>178</v>
      </c>
      <c r="L222" s="258" t="s">
        <v>178</v>
      </c>
      <c r="M222" s="250"/>
      <c r="N222" s="233"/>
      <c r="O222" s="233"/>
      <c r="P222" s="233"/>
      <c r="Q222" s="233"/>
      <c r="R222" s="233"/>
      <c r="S222" s="233"/>
      <c r="T222" s="233"/>
      <c r="U222" s="233"/>
      <c r="V222" s="233"/>
      <c r="W222" s="233"/>
      <c r="X222" s="233"/>
      <c r="Y222" s="233"/>
      <c r="Z222" s="312"/>
      <c r="AA222" s="243"/>
      <c r="AB222" s="243"/>
      <c r="AC222" s="243"/>
      <c r="AD222" s="243"/>
      <c r="AE222" s="243"/>
      <c r="AF222" s="243"/>
      <c r="AG222" s="243"/>
      <c r="AH222" s="243"/>
      <c r="AI222" s="243"/>
      <c r="AJ222" s="243"/>
      <c r="AK222" s="241"/>
      <c r="AL222" s="241"/>
      <c r="AM222" s="241"/>
      <c r="AN222" s="241"/>
      <c r="AO222" s="241"/>
      <c r="AP222" s="241"/>
      <c r="AQ222" s="241"/>
      <c r="AR222" s="241"/>
    </row>
    <row r="223">
      <c r="A223" s="433" t="s">
        <v>25</v>
      </c>
      <c r="B223" s="385" t="s">
        <v>524</v>
      </c>
      <c r="C223" s="313">
        <v>8.0</v>
      </c>
      <c r="D223" s="313">
        <v>0.75</v>
      </c>
      <c r="E223" s="316" t="s">
        <v>167</v>
      </c>
      <c r="F223" s="317" t="s">
        <v>168</v>
      </c>
      <c r="G223" s="264" t="s">
        <v>167</v>
      </c>
      <c r="H223" s="313">
        <v>2.0</v>
      </c>
      <c r="I223" s="252" t="s">
        <v>178</v>
      </c>
      <c r="J223" s="252" t="s">
        <v>178</v>
      </c>
      <c r="K223" s="258" t="s">
        <v>178</v>
      </c>
      <c r="L223" s="258" t="s">
        <v>178</v>
      </c>
      <c r="M223" s="250"/>
      <c r="N223" s="233"/>
      <c r="O223" s="233"/>
      <c r="P223" s="233"/>
      <c r="Q223" s="233"/>
      <c r="R223" s="233"/>
      <c r="S223" s="233"/>
      <c r="T223" s="233"/>
      <c r="U223" s="233"/>
      <c r="V223" s="233"/>
      <c r="W223" s="233"/>
      <c r="X223" s="233"/>
      <c r="Y223" s="233"/>
      <c r="Z223" s="312"/>
      <c r="AA223" s="243"/>
      <c r="AB223" s="243"/>
      <c r="AC223" s="243"/>
      <c r="AD223" s="243"/>
      <c r="AE223" s="243"/>
      <c r="AF223" s="243"/>
      <c r="AG223" s="243"/>
      <c r="AH223" s="243"/>
      <c r="AI223" s="243"/>
      <c r="AJ223" s="243"/>
      <c r="AK223" s="241"/>
      <c r="AL223" s="241"/>
      <c r="AM223" s="241"/>
      <c r="AN223" s="241"/>
      <c r="AO223" s="241"/>
      <c r="AP223" s="241"/>
      <c r="AQ223" s="241"/>
      <c r="AR223" s="241"/>
    </row>
    <row r="224">
      <c r="A224" s="245"/>
      <c r="B224" s="246" t="s">
        <v>525</v>
      </c>
      <c r="C224" s="233"/>
      <c r="D224" s="228"/>
      <c r="E224" s="228"/>
      <c r="F224" s="228"/>
      <c r="G224" s="228"/>
      <c r="H224" s="228"/>
      <c r="I224" s="228"/>
      <c r="J224" s="228"/>
      <c r="K224" s="233"/>
      <c r="L224" s="233"/>
      <c r="M224" s="233"/>
      <c r="N224" s="233"/>
      <c r="O224" s="233"/>
      <c r="P224" s="233"/>
      <c r="Q224" s="233"/>
      <c r="R224" s="233"/>
      <c r="S224" s="233"/>
      <c r="T224" s="233"/>
      <c r="U224" s="233"/>
      <c r="V224" s="233"/>
      <c r="W224" s="233"/>
      <c r="X224" s="233"/>
      <c r="Y224" s="233"/>
      <c r="Z224" s="312"/>
      <c r="AA224" s="243"/>
      <c r="AB224" s="243"/>
      <c r="AC224" s="243"/>
      <c r="AD224" s="243"/>
      <c r="AE224" s="243"/>
      <c r="AF224" s="243"/>
      <c r="AG224" s="243"/>
      <c r="AH224" s="243"/>
      <c r="AI224" s="243"/>
      <c r="AJ224" s="243"/>
      <c r="AK224" s="241"/>
      <c r="AL224" s="241"/>
      <c r="AM224" s="241"/>
      <c r="AN224" s="241"/>
      <c r="AO224" s="241"/>
      <c r="AP224" s="241"/>
      <c r="AQ224" s="241"/>
      <c r="AR224" s="241"/>
    </row>
    <row r="225">
      <c r="A225" s="228"/>
      <c r="B225" s="228"/>
      <c r="C225" s="233"/>
      <c r="D225" s="228"/>
      <c r="E225" s="228"/>
      <c r="F225" s="228"/>
      <c r="G225" s="228"/>
      <c r="H225" s="228"/>
      <c r="I225" s="228"/>
      <c r="J225" s="228"/>
      <c r="K225" s="233"/>
      <c r="L225" s="233"/>
      <c r="M225" s="233"/>
      <c r="N225" s="233"/>
      <c r="O225" s="233"/>
      <c r="P225" s="233"/>
      <c r="Q225" s="233"/>
      <c r="R225" s="233"/>
      <c r="S225" s="233"/>
      <c r="T225" s="233"/>
      <c r="U225" s="233"/>
      <c r="V225" s="233"/>
      <c r="W225" s="233"/>
      <c r="X225" s="233"/>
      <c r="Y225" s="233"/>
      <c r="Z225" s="312"/>
      <c r="AA225" s="243"/>
      <c r="AB225" s="243"/>
      <c r="AC225" s="243"/>
      <c r="AD225" s="243"/>
      <c r="AE225" s="243"/>
      <c r="AF225" s="243"/>
      <c r="AG225" s="243"/>
      <c r="AH225" s="243"/>
      <c r="AI225" s="243"/>
      <c r="AJ225" s="243"/>
      <c r="AK225" s="241"/>
      <c r="AL225" s="241"/>
      <c r="AM225" s="241"/>
      <c r="AN225" s="241"/>
      <c r="AO225" s="241"/>
      <c r="AP225" s="241"/>
      <c r="AQ225" s="241"/>
      <c r="AR225" s="241"/>
    </row>
    <row r="226">
      <c r="A226" s="228"/>
      <c r="B226" s="329" t="s">
        <v>526</v>
      </c>
      <c r="C226" s="233"/>
      <c r="D226" s="228"/>
      <c r="E226" s="228"/>
      <c r="F226" s="228"/>
      <c r="G226" s="228"/>
      <c r="H226" s="228"/>
      <c r="I226" s="228"/>
      <c r="J226" s="228"/>
      <c r="K226" s="233"/>
      <c r="L226" s="233"/>
      <c r="M226" s="233"/>
      <c r="N226" s="233"/>
      <c r="O226" s="233"/>
      <c r="P226" s="233"/>
      <c r="Q226" s="233"/>
      <c r="R226" s="233"/>
      <c r="S226" s="233"/>
      <c r="T226" s="233"/>
      <c r="U226" s="233"/>
      <c r="V226" s="233"/>
      <c r="W226" s="233"/>
      <c r="X226" s="233"/>
      <c r="Y226" s="233"/>
      <c r="Z226" s="312"/>
      <c r="AA226" s="243"/>
      <c r="AB226" s="243"/>
      <c r="AC226" s="243"/>
      <c r="AD226" s="243"/>
      <c r="AE226" s="243"/>
      <c r="AF226" s="243"/>
      <c r="AG226" s="243"/>
      <c r="AH226" s="243"/>
      <c r="AI226" s="243"/>
      <c r="AJ226" s="243"/>
      <c r="AK226" s="241"/>
      <c r="AL226" s="241"/>
      <c r="AM226" s="241"/>
      <c r="AN226" s="241"/>
      <c r="AO226" s="241"/>
      <c r="AP226" s="241"/>
      <c r="AQ226" s="241"/>
      <c r="AR226" s="241"/>
    </row>
    <row r="227">
      <c r="A227" s="245"/>
      <c r="B227" s="246" t="s">
        <v>527</v>
      </c>
      <c r="C227" s="250" t="s">
        <v>11</v>
      </c>
      <c r="D227" s="252" t="s">
        <v>13</v>
      </c>
      <c r="E227" s="252" t="s">
        <v>14</v>
      </c>
      <c r="F227" s="252" t="s">
        <v>159</v>
      </c>
      <c r="G227" s="252" t="s">
        <v>16</v>
      </c>
      <c r="H227" s="252" t="s">
        <v>12</v>
      </c>
      <c r="I227" s="255" t="s">
        <v>160</v>
      </c>
      <c r="J227" s="252" t="s">
        <v>162</v>
      </c>
      <c r="K227" s="258" t="s">
        <v>163</v>
      </c>
      <c r="L227" s="233"/>
      <c r="M227" s="233"/>
      <c r="N227" s="233"/>
      <c r="O227" s="233"/>
      <c r="P227" s="233"/>
      <c r="Q227" s="233"/>
      <c r="R227" s="233"/>
      <c r="S227" s="233"/>
      <c r="T227" s="233"/>
      <c r="U227" s="233"/>
      <c r="V227" s="233"/>
      <c r="W227" s="233"/>
      <c r="X227" s="233"/>
      <c r="Y227" s="233"/>
      <c r="Z227" s="312"/>
      <c r="AA227" s="243"/>
      <c r="AB227" s="243"/>
      <c r="AC227" s="243"/>
      <c r="AD227" s="243"/>
      <c r="AE227" s="243"/>
      <c r="AF227" s="243"/>
      <c r="AG227" s="243"/>
      <c r="AH227" s="243"/>
      <c r="AI227" s="243"/>
      <c r="AJ227" s="243"/>
      <c r="AK227" s="241"/>
      <c r="AL227" s="241"/>
      <c r="AM227" s="241"/>
      <c r="AN227" s="241"/>
      <c r="AO227" s="241"/>
      <c r="AP227" s="241"/>
      <c r="AQ227" s="241"/>
      <c r="AR227" s="241"/>
    </row>
    <row r="228">
      <c r="A228" s="255" t="s">
        <v>234</v>
      </c>
      <c r="B228" s="228" t="s">
        <v>528</v>
      </c>
      <c r="C228" s="250">
        <v>6.0</v>
      </c>
      <c r="D228" s="255">
        <v>0.5</v>
      </c>
      <c r="E228" s="265" t="s">
        <v>168</v>
      </c>
      <c r="F228" s="265" t="s">
        <v>168</v>
      </c>
      <c r="G228" s="264" t="s">
        <v>167</v>
      </c>
      <c r="H228" s="255">
        <v>2.0</v>
      </c>
      <c r="I228" s="255" t="s">
        <v>184</v>
      </c>
      <c r="J228" s="255" t="str">
        <f>ADDRESS(ROW($A$473),COLUMN($A$473))</f>
        <v>$A$473</v>
      </c>
      <c r="K228" s="250" t="s">
        <v>174</v>
      </c>
      <c r="L228" s="452" t="str">
        <f>HYPERLINK("http://www.d20pfsrd.com/classes/npc-classes/adept","http://www.d20pfsrd.com/classes/npc-classes/adept")</f>
        <v>http://www.d20pfsrd.com/classes/npc-classes/adept</v>
      </c>
      <c r="M228" s="233"/>
      <c r="N228" s="233"/>
      <c r="O228" s="233"/>
      <c r="P228" s="233"/>
      <c r="Q228" s="233"/>
      <c r="R228" s="233"/>
      <c r="S228" s="233"/>
      <c r="T228" s="233"/>
      <c r="U228" s="233"/>
      <c r="V228" s="233"/>
      <c r="W228" s="233"/>
      <c r="X228" s="233"/>
      <c r="Y228" s="233"/>
      <c r="Z228" s="312"/>
      <c r="AA228" s="243"/>
      <c r="AB228" s="243"/>
      <c r="AC228" s="243"/>
      <c r="AD228" s="243"/>
      <c r="AE228" s="243"/>
      <c r="AF228" s="243"/>
      <c r="AG228" s="243"/>
      <c r="AH228" s="243"/>
      <c r="AI228" s="243"/>
      <c r="AJ228" s="243"/>
      <c r="AK228" s="241"/>
      <c r="AL228" s="241"/>
      <c r="AM228" s="241"/>
      <c r="AN228" s="241"/>
      <c r="AO228" s="241"/>
      <c r="AP228" s="241"/>
      <c r="AQ228" s="241"/>
      <c r="AR228" s="241"/>
    </row>
    <row r="229">
      <c r="A229" s="255" t="s">
        <v>234</v>
      </c>
      <c r="B229" s="228" t="s">
        <v>530</v>
      </c>
      <c r="C229" s="250">
        <v>8.0</v>
      </c>
      <c r="D229" s="255">
        <v>0.75</v>
      </c>
      <c r="E229" s="265" t="s">
        <v>168</v>
      </c>
      <c r="F229" s="265" t="s">
        <v>168</v>
      </c>
      <c r="G229" s="264" t="s">
        <v>167</v>
      </c>
      <c r="H229" s="255">
        <v>4.0</v>
      </c>
      <c r="I229" s="252" t="s">
        <v>178</v>
      </c>
      <c r="J229" s="252" t="s">
        <v>178</v>
      </c>
      <c r="K229" s="258" t="s">
        <v>178</v>
      </c>
      <c r="L229" s="233"/>
      <c r="M229" s="233"/>
      <c r="N229" s="233"/>
      <c r="O229" s="233"/>
      <c r="P229" s="233"/>
      <c r="Q229" s="233"/>
      <c r="R229" s="233"/>
      <c r="S229" s="233"/>
      <c r="T229" s="233"/>
      <c r="U229" s="233"/>
      <c r="V229" s="233"/>
      <c r="W229" s="233"/>
      <c r="X229" s="233"/>
      <c r="Y229" s="233"/>
      <c r="Z229" s="312"/>
      <c r="AA229" s="243"/>
      <c r="AB229" s="243"/>
      <c r="AC229" s="243"/>
      <c r="AD229" s="243"/>
      <c r="AE229" s="243"/>
      <c r="AF229" s="243"/>
      <c r="AG229" s="243"/>
      <c r="AH229" s="243"/>
      <c r="AI229" s="243"/>
      <c r="AJ229" s="243"/>
      <c r="AK229" s="241"/>
      <c r="AL229" s="241"/>
      <c r="AM229" s="241"/>
      <c r="AN229" s="241"/>
      <c r="AO229" s="241"/>
      <c r="AP229" s="241"/>
      <c r="AQ229" s="241"/>
      <c r="AR229" s="241"/>
    </row>
    <row r="230">
      <c r="A230" s="255" t="s">
        <v>234</v>
      </c>
      <c r="B230" s="228" t="s">
        <v>531</v>
      </c>
      <c r="C230" s="250">
        <v>6.0</v>
      </c>
      <c r="D230" s="255">
        <v>0.5</v>
      </c>
      <c r="E230" s="265" t="s">
        <v>168</v>
      </c>
      <c r="F230" s="265" t="s">
        <v>168</v>
      </c>
      <c r="G230" s="265" t="s">
        <v>168</v>
      </c>
      <c r="H230" s="255">
        <v>2.0</v>
      </c>
      <c r="I230" s="252" t="s">
        <v>178</v>
      </c>
      <c r="J230" s="252" t="s">
        <v>178</v>
      </c>
      <c r="K230" s="258" t="s">
        <v>178</v>
      </c>
      <c r="L230" s="233"/>
      <c r="M230" s="233"/>
      <c r="N230" s="233"/>
      <c r="O230" s="233"/>
      <c r="P230" s="233"/>
      <c r="Q230" s="233"/>
      <c r="R230" s="233"/>
      <c r="S230" s="233"/>
      <c r="T230" s="233"/>
      <c r="U230" s="233"/>
      <c r="V230" s="233"/>
      <c r="W230" s="233"/>
      <c r="X230" s="233"/>
      <c r="Y230" s="233"/>
      <c r="Z230" s="312"/>
      <c r="AA230" s="243"/>
      <c r="AB230" s="243"/>
      <c r="AC230" s="243"/>
      <c r="AD230" s="243"/>
      <c r="AE230" s="243"/>
      <c r="AF230" s="243"/>
      <c r="AG230" s="243"/>
      <c r="AH230" s="243"/>
      <c r="AI230" s="243"/>
      <c r="AJ230" s="243"/>
      <c r="AK230" s="241"/>
      <c r="AL230" s="241"/>
      <c r="AM230" s="241"/>
      <c r="AN230" s="241"/>
      <c r="AO230" s="241"/>
      <c r="AP230" s="241"/>
      <c r="AQ230" s="241"/>
      <c r="AR230" s="241"/>
    </row>
    <row r="231">
      <c r="A231" s="255" t="s">
        <v>234</v>
      </c>
      <c r="B231" s="228" t="s">
        <v>532</v>
      </c>
      <c r="C231" s="250">
        <v>8.0</v>
      </c>
      <c r="D231" s="255">
        <v>0.75</v>
      </c>
      <c r="E231" s="265" t="s">
        <v>168</v>
      </c>
      <c r="F231" s="265" t="s">
        <v>168</v>
      </c>
      <c r="G231" s="264" t="s">
        <v>167</v>
      </c>
      <c r="H231" s="255">
        <v>6.0</v>
      </c>
      <c r="I231" s="252" t="s">
        <v>178</v>
      </c>
      <c r="J231" s="252" t="s">
        <v>178</v>
      </c>
      <c r="K231" s="258" t="s">
        <v>178</v>
      </c>
      <c r="L231" s="233"/>
      <c r="M231" s="233"/>
      <c r="N231" s="233"/>
      <c r="O231" s="233"/>
      <c r="P231" s="233"/>
      <c r="Q231" s="233"/>
      <c r="R231" s="233"/>
      <c r="S231" s="233"/>
      <c r="T231" s="233"/>
      <c r="U231" s="233"/>
      <c r="V231" s="233"/>
      <c r="W231" s="233"/>
      <c r="X231" s="233"/>
      <c r="Y231" s="233"/>
      <c r="Z231" s="312"/>
      <c r="AA231" s="243"/>
      <c r="AB231" s="243"/>
      <c r="AC231" s="243"/>
      <c r="AD231" s="243"/>
      <c r="AE231" s="243"/>
      <c r="AF231" s="243"/>
      <c r="AG231" s="243"/>
      <c r="AH231" s="243"/>
      <c r="AI231" s="243"/>
      <c r="AJ231" s="243"/>
      <c r="AK231" s="241"/>
      <c r="AL231" s="241"/>
      <c r="AM231" s="241"/>
      <c r="AN231" s="241"/>
      <c r="AO231" s="241"/>
      <c r="AP231" s="241"/>
      <c r="AQ231" s="241"/>
      <c r="AR231" s="241"/>
    </row>
    <row r="232">
      <c r="A232" s="255" t="s">
        <v>234</v>
      </c>
      <c r="B232" s="228" t="s">
        <v>533</v>
      </c>
      <c r="C232" s="250">
        <v>10.0</v>
      </c>
      <c r="D232" s="255">
        <v>1.0</v>
      </c>
      <c r="E232" s="264" t="s">
        <v>167</v>
      </c>
      <c r="F232" s="265" t="s">
        <v>168</v>
      </c>
      <c r="G232" s="265" t="s">
        <v>168</v>
      </c>
      <c r="H232" s="255">
        <v>2.0</v>
      </c>
      <c r="I232" s="252" t="s">
        <v>178</v>
      </c>
      <c r="J232" s="252" t="s">
        <v>178</v>
      </c>
      <c r="K232" s="258" t="s">
        <v>178</v>
      </c>
      <c r="L232" s="233"/>
      <c r="M232" s="233"/>
      <c r="N232" s="233"/>
      <c r="O232" s="233"/>
      <c r="P232" s="233"/>
      <c r="Q232" s="233"/>
      <c r="R232" s="233"/>
      <c r="S232" s="233"/>
      <c r="T232" s="233"/>
      <c r="U232" s="233"/>
      <c r="V232" s="233"/>
      <c r="W232" s="233"/>
      <c r="X232" s="233"/>
      <c r="Y232" s="233"/>
      <c r="Z232" s="312"/>
      <c r="AA232" s="243"/>
      <c r="AB232" s="243"/>
      <c r="AC232" s="243"/>
      <c r="AD232" s="243"/>
      <c r="AE232" s="243"/>
      <c r="AF232" s="243"/>
      <c r="AG232" s="243"/>
      <c r="AH232" s="243"/>
      <c r="AI232" s="243"/>
      <c r="AJ232" s="243"/>
      <c r="AK232" s="241"/>
      <c r="AL232" s="241"/>
      <c r="AM232" s="241"/>
      <c r="AN232" s="241"/>
      <c r="AO232" s="241"/>
      <c r="AP232" s="241"/>
      <c r="AQ232" s="241"/>
      <c r="AR232" s="241"/>
    </row>
    <row r="233">
      <c r="A233" s="245"/>
      <c r="B233" s="339" t="s">
        <v>534</v>
      </c>
      <c r="C233" s="233"/>
      <c r="D233" s="228"/>
      <c r="E233" s="228"/>
      <c r="F233" s="228"/>
      <c r="G233" s="228"/>
      <c r="H233" s="228"/>
      <c r="I233" s="228"/>
      <c r="J233" s="228"/>
      <c r="K233" s="233"/>
      <c r="L233" s="233"/>
      <c r="M233" s="233"/>
      <c r="N233" s="233"/>
      <c r="O233" s="233"/>
      <c r="P233" s="233"/>
      <c r="Q233" s="233"/>
      <c r="R233" s="233"/>
      <c r="S233" s="233"/>
      <c r="T233" s="233"/>
      <c r="U233" s="233"/>
      <c r="V233" s="233"/>
      <c r="W233" s="233"/>
      <c r="X233" s="233"/>
      <c r="Y233" s="233"/>
      <c r="Z233" s="312"/>
      <c r="AA233" s="243"/>
      <c r="AB233" s="243"/>
      <c r="AC233" s="243"/>
      <c r="AD233" s="243"/>
      <c r="AE233" s="243"/>
      <c r="AF233" s="243"/>
      <c r="AG233" s="243"/>
      <c r="AH233" s="243"/>
      <c r="AI233" s="243"/>
      <c r="AJ233" s="243"/>
      <c r="AK233" s="241"/>
      <c r="AL233" s="241"/>
      <c r="AM233" s="241"/>
      <c r="AN233" s="241"/>
      <c r="AO233" s="241"/>
      <c r="AP233" s="241"/>
      <c r="AQ233" s="241"/>
      <c r="AR233" s="241"/>
    </row>
    <row r="234">
      <c r="A234" s="228"/>
      <c r="B234" s="228"/>
      <c r="C234" s="233"/>
      <c r="D234" s="228"/>
      <c r="E234" s="228"/>
      <c r="F234" s="228"/>
      <c r="G234" s="228"/>
      <c r="H234" s="228"/>
      <c r="I234" s="228"/>
      <c r="J234" s="228"/>
      <c r="K234" s="233"/>
      <c r="L234" s="233"/>
      <c r="M234" s="233"/>
      <c r="N234" s="233"/>
      <c r="O234" s="233"/>
      <c r="P234" s="233"/>
      <c r="Q234" s="233"/>
      <c r="R234" s="233"/>
      <c r="S234" s="233"/>
      <c r="T234" s="233"/>
      <c r="U234" s="233"/>
      <c r="V234" s="233"/>
      <c r="W234" s="233"/>
      <c r="X234" s="233"/>
      <c r="Y234" s="233"/>
      <c r="Z234" s="312"/>
      <c r="AA234" s="243"/>
      <c r="AB234" s="243"/>
      <c r="AC234" s="243"/>
      <c r="AD234" s="243"/>
      <c r="AE234" s="243"/>
      <c r="AF234" s="243"/>
      <c r="AG234" s="243"/>
      <c r="AH234" s="243"/>
      <c r="AI234" s="243"/>
      <c r="AJ234" s="243"/>
      <c r="AK234" s="241"/>
      <c r="AL234" s="241"/>
      <c r="AM234" s="241"/>
      <c r="AN234" s="241"/>
      <c r="AO234" s="241"/>
      <c r="AP234" s="241"/>
      <c r="AQ234" s="241"/>
      <c r="AR234" s="241"/>
    </row>
    <row r="235">
      <c r="A235" s="228"/>
      <c r="B235" s="430" t="s">
        <v>535</v>
      </c>
      <c r="C235" s="233"/>
      <c r="D235" s="228"/>
      <c r="E235" s="228"/>
      <c r="F235" s="228"/>
      <c r="G235" s="228"/>
      <c r="H235" s="228"/>
      <c r="I235" s="228"/>
      <c r="J235" s="228"/>
      <c r="K235" s="233"/>
      <c r="L235" s="233"/>
      <c r="M235" s="233"/>
      <c r="N235" s="233"/>
      <c r="O235" s="233"/>
      <c r="P235" s="233"/>
      <c r="Q235" s="233"/>
      <c r="R235" s="233"/>
      <c r="S235" s="233"/>
      <c r="T235" s="233"/>
      <c r="U235" s="233"/>
      <c r="V235" s="233"/>
      <c r="W235" s="233"/>
      <c r="X235" s="233"/>
      <c r="Y235" s="233"/>
      <c r="Z235" s="312"/>
      <c r="AA235" s="243"/>
      <c r="AB235" s="243"/>
      <c r="AC235" s="243"/>
      <c r="AD235" s="243"/>
      <c r="AE235" s="243"/>
      <c r="AF235" s="243"/>
      <c r="AG235" s="243"/>
      <c r="AH235" s="243"/>
      <c r="AI235" s="243"/>
      <c r="AJ235" s="243"/>
      <c r="AK235" s="241"/>
      <c r="AL235" s="241"/>
      <c r="AM235" s="241"/>
      <c r="AN235" s="241"/>
      <c r="AO235" s="241"/>
      <c r="AP235" s="241"/>
      <c r="AQ235" s="241"/>
      <c r="AR235" s="241"/>
    </row>
    <row r="236">
      <c r="A236" s="245"/>
      <c r="B236" s="246" t="s">
        <v>536</v>
      </c>
      <c r="C236" s="250" t="s">
        <v>11</v>
      </c>
      <c r="D236" s="252" t="s">
        <v>13</v>
      </c>
      <c r="E236" s="252" t="s">
        <v>14</v>
      </c>
      <c r="F236" s="252" t="s">
        <v>159</v>
      </c>
      <c r="G236" s="252" t="s">
        <v>16</v>
      </c>
      <c r="H236" s="252" t="s">
        <v>12</v>
      </c>
      <c r="I236" s="255" t="s">
        <v>160</v>
      </c>
      <c r="J236" s="252" t="s">
        <v>537</v>
      </c>
      <c r="K236" s="258" t="s">
        <v>538</v>
      </c>
      <c r="L236" s="250" t="s">
        <v>539</v>
      </c>
      <c r="M236" s="233"/>
      <c r="N236" s="233"/>
      <c r="O236" s="233"/>
      <c r="P236" s="233"/>
      <c r="Q236" s="233"/>
      <c r="R236" s="233"/>
      <c r="S236" s="233"/>
      <c r="T236" s="233"/>
      <c r="U236" s="233"/>
      <c r="V236" s="233"/>
      <c r="W236" s="233"/>
      <c r="X236" s="233"/>
      <c r="Y236" s="233"/>
      <c r="Z236" s="312"/>
      <c r="AA236" s="243"/>
      <c r="AB236" s="243"/>
      <c r="AC236" s="243"/>
      <c r="AD236" s="243"/>
      <c r="AE236" s="243"/>
      <c r="AF236" s="243"/>
      <c r="AG236" s="243"/>
      <c r="AH236" s="243"/>
      <c r="AI236" s="243"/>
      <c r="AJ236" s="243"/>
      <c r="AK236" s="241"/>
      <c r="AL236" s="241"/>
      <c r="AM236" s="241"/>
      <c r="AN236" s="241"/>
      <c r="AO236" s="241"/>
      <c r="AP236" s="241"/>
      <c r="AQ236" s="241"/>
      <c r="AR236" s="241"/>
    </row>
    <row r="237">
      <c r="A237" s="313" t="s">
        <v>237</v>
      </c>
      <c r="B237" s="324" t="s">
        <v>540</v>
      </c>
      <c r="C237" s="250">
        <v>10.0</v>
      </c>
      <c r="D237" s="255">
        <v>1.0</v>
      </c>
      <c r="E237" s="264" t="s">
        <v>167</v>
      </c>
      <c r="F237" s="265" t="s">
        <v>168</v>
      </c>
      <c r="G237" s="264" t="s">
        <v>167</v>
      </c>
      <c r="H237" s="255">
        <v>4.0</v>
      </c>
      <c r="I237" s="255" t="s">
        <v>169</v>
      </c>
      <c r="J237" s="255" t="s">
        <v>541</v>
      </c>
      <c r="K237" s="250" t="s">
        <v>542</v>
      </c>
      <c r="L237" s="250" t="s">
        <v>542</v>
      </c>
      <c r="M237" s="250" t="str">
        <f t="shared" ref="M237:M241" si="12">IF(AND(ISNUMBER(J237),J237&gt;0),int(J237*L237)&amp;" / "&amp;L237,IF(AND(ISNUMBER(J237),J237=0),"None",))</f>
        <v/>
      </c>
      <c r="N237" s="233"/>
      <c r="O237" s="233"/>
      <c r="P237" s="233"/>
      <c r="Q237" s="233"/>
      <c r="R237" s="233"/>
      <c r="S237" s="233"/>
      <c r="T237" s="233"/>
      <c r="U237" s="233"/>
      <c r="V237" s="233"/>
      <c r="W237" s="233"/>
      <c r="X237" s="233"/>
      <c r="Y237" s="233"/>
      <c r="Z237" s="312"/>
      <c r="AA237" s="243"/>
      <c r="AB237" s="243"/>
      <c r="AC237" s="243"/>
      <c r="AD237" s="243"/>
      <c r="AE237" s="243"/>
      <c r="AF237" s="243"/>
      <c r="AG237" s="243"/>
      <c r="AH237" s="243"/>
      <c r="AI237" s="243"/>
      <c r="AJ237" s="243"/>
      <c r="AK237" s="241"/>
      <c r="AL237" s="241"/>
      <c r="AM237" s="241"/>
      <c r="AN237" s="241"/>
      <c r="AO237" s="241"/>
      <c r="AP237" s="241"/>
      <c r="AQ237" s="241"/>
      <c r="AR237" s="241"/>
    </row>
    <row r="238">
      <c r="A238" s="313" t="s">
        <v>237</v>
      </c>
      <c r="B238" s="324" t="s">
        <v>544</v>
      </c>
      <c r="C238" s="250">
        <v>8.0</v>
      </c>
      <c r="D238" s="255">
        <v>0.75</v>
      </c>
      <c r="E238" s="265" t="s">
        <v>168</v>
      </c>
      <c r="F238" s="264" t="s">
        <v>167</v>
      </c>
      <c r="G238" s="264" t="s">
        <v>167</v>
      </c>
      <c r="H238" s="255">
        <v>4.0</v>
      </c>
      <c r="I238" s="255" t="s">
        <v>169</v>
      </c>
      <c r="J238" s="255" t="s">
        <v>545</v>
      </c>
      <c r="K238" s="250" t="s">
        <v>546</v>
      </c>
      <c r="L238" s="250" t="s">
        <v>547</v>
      </c>
      <c r="M238" s="250" t="str">
        <f t="shared" si="12"/>
        <v/>
      </c>
      <c r="N238" s="233"/>
      <c r="O238" s="233"/>
      <c r="P238" s="233"/>
      <c r="Q238" s="233"/>
      <c r="R238" s="233"/>
      <c r="S238" s="233"/>
      <c r="T238" s="233"/>
      <c r="U238" s="233"/>
      <c r="V238" s="233"/>
      <c r="W238" s="233"/>
      <c r="X238" s="233"/>
      <c r="Y238" s="233"/>
      <c r="Z238" s="312"/>
      <c r="AA238" s="243"/>
      <c r="AB238" s="243"/>
      <c r="AC238" s="243"/>
      <c r="AD238" s="243"/>
      <c r="AE238" s="243"/>
      <c r="AF238" s="243"/>
      <c r="AG238" s="243"/>
      <c r="AH238" s="243"/>
      <c r="AI238" s="243"/>
      <c r="AJ238" s="243"/>
      <c r="AK238" s="241"/>
      <c r="AL238" s="241"/>
      <c r="AM238" s="241"/>
      <c r="AN238" s="241"/>
      <c r="AO238" s="241"/>
      <c r="AP238" s="241"/>
      <c r="AQ238" s="241"/>
      <c r="AR238" s="241"/>
    </row>
    <row r="239">
      <c r="A239" s="313" t="s">
        <v>237</v>
      </c>
      <c r="B239" s="324" t="s">
        <v>548</v>
      </c>
      <c r="C239" s="250">
        <v>8.0</v>
      </c>
      <c r="D239" s="255">
        <v>0.75</v>
      </c>
      <c r="E239" s="265" t="s">
        <v>168</v>
      </c>
      <c r="F239" s="264" t="s">
        <v>167</v>
      </c>
      <c r="G239" s="264" t="s">
        <v>167</v>
      </c>
      <c r="H239" s="255">
        <v>6.0</v>
      </c>
      <c r="I239" s="255" t="s">
        <v>173</v>
      </c>
      <c r="J239" s="255" t="s">
        <v>545</v>
      </c>
      <c r="K239" s="250" t="s">
        <v>546</v>
      </c>
      <c r="L239" s="250" t="s">
        <v>547</v>
      </c>
      <c r="M239" s="250" t="str">
        <f t="shared" si="12"/>
        <v/>
      </c>
      <c r="N239" s="233"/>
      <c r="O239" s="233"/>
      <c r="P239" s="233"/>
      <c r="Q239" s="233"/>
      <c r="R239" s="233"/>
      <c r="S239" s="233"/>
      <c r="T239" s="233"/>
      <c r="U239" s="233"/>
      <c r="V239" s="233"/>
      <c r="W239" s="233"/>
      <c r="X239" s="233"/>
      <c r="Y239" s="233"/>
      <c r="Z239" s="312"/>
      <c r="AA239" s="243"/>
      <c r="AB239" s="243"/>
      <c r="AC239" s="243"/>
      <c r="AD239" s="243"/>
      <c r="AE239" s="243"/>
      <c r="AF239" s="243"/>
      <c r="AG239" s="243"/>
      <c r="AH239" s="243"/>
      <c r="AI239" s="243"/>
      <c r="AJ239" s="243"/>
      <c r="AK239" s="241"/>
      <c r="AL239" s="241"/>
      <c r="AM239" s="241"/>
      <c r="AN239" s="241"/>
      <c r="AO239" s="241"/>
      <c r="AP239" s="241"/>
      <c r="AQ239" s="241"/>
      <c r="AR239" s="241"/>
    </row>
    <row r="240">
      <c r="A240" s="313" t="s">
        <v>237</v>
      </c>
      <c r="B240" s="324" t="s">
        <v>549</v>
      </c>
      <c r="C240" s="250">
        <v>8.0</v>
      </c>
      <c r="D240" s="255">
        <v>0.75</v>
      </c>
      <c r="E240" s="265" t="s">
        <v>168</v>
      </c>
      <c r="F240" s="264" t="s">
        <v>167</v>
      </c>
      <c r="G240" s="264" t="s">
        <v>167</v>
      </c>
      <c r="H240" s="255">
        <v>4.0</v>
      </c>
      <c r="I240" s="255" t="s">
        <v>184</v>
      </c>
      <c r="J240" s="255" t="s">
        <v>541</v>
      </c>
      <c r="K240" s="250" t="s">
        <v>550</v>
      </c>
      <c r="L240" s="250" t="s">
        <v>551</v>
      </c>
      <c r="M240" s="250" t="str">
        <f t="shared" si="12"/>
        <v/>
      </c>
      <c r="N240" s="233"/>
      <c r="O240" s="233"/>
      <c r="P240" s="233"/>
      <c r="Q240" s="233"/>
      <c r="R240" s="233"/>
      <c r="S240" s="233"/>
      <c r="T240" s="233"/>
      <c r="U240" s="233"/>
      <c r="V240" s="233"/>
      <c r="W240" s="233"/>
      <c r="X240" s="233"/>
      <c r="Y240" s="233"/>
      <c r="Z240" s="312"/>
      <c r="AA240" s="243"/>
      <c r="AB240" s="243"/>
      <c r="AC240" s="243"/>
      <c r="AD240" s="243"/>
      <c r="AE240" s="243"/>
      <c r="AF240" s="243"/>
      <c r="AG240" s="243"/>
      <c r="AH240" s="243"/>
      <c r="AI240" s="243"/>
      <c r="AJ240" s="243"/>
      <c r="AK240" s="241"/>
      <c r="AL240" s="241"/>
      <c r="AM240" s="241"/>
      <c r="AN240" s="241"/>
      <c r="AO240" s="241"/>
      <c r="AP240" s="241"/>
      <c r="AQ240" s="241"/>
      <c r="AR240" s="241"/>
    </row>
    <row r="241">
      <c r="A241" s="313" t="s">
        <v>237</v>
      </c>
      <c r="B241" s="324" t="s">
        <v>552</v>
      </c>
      <c r="C241" s="250">
        <v>6.0</v>
      </c>
      <c r="D241" s="255">
        <v>0.5</v>
      </c>
      <c r="E241" s="265" t="s">
        <v>168</v>
      </c>
      <c r="F241" s="265" t="s">
        <v>168</v>
      </c>
      <c r="G241" s="264" t="s">
        <v>167</v>
      </c>
      <c r="H241" s="255">
        <v>2.0</v>
      </c>
      <c r="I241" s="255" t="s">
        <v>169</v>
      </c>
      <c r="J241" s="255" t="s">
        <v>553</v>
      </c>
      <c r="K241" s="250" t="s">
        <v>554</v>
      </c>
      <c r="L241" s="250" t="s">
        <v>555</v>
      </c>
      <c r="M241" s="250" t="str">
        <f t="shared" si="12"/>
        <v/>
      </c>
      <c r="N241" s="233"/>
      <c r="O241" s="233"/>
      <c r="P241" s="233"/>
      <c r="Q241" s="233"/>
      <c r="R241" s="233"/>
      <c r="S241" s="233"/>
      <c r="T241" s="233"/>
      <c r="U241" s="233"/>
      <c r="V241" s="233"/>
      <c r="W241" s="233"/>
      <c r="X241" s="233"/>
      <c r="Y241" s="233"/>
      <c r="Z241" s="312"/>
      <c r="AA241" s="243"/>
      <c r="AB241" s="243"/>
      <c r="AC241" s="243"/>
      <c r="AD241" s="243"/>
      <c r="AE241" s="243"/>
      <c r="AF241" s="243"/>
      <c r="AG241" s="243"/>
      <c r="AH241" s="243"/>
      <c r="AI241" s="243"/>
      <c r="AJ241" s="243"/>
      <c r="AK241" s="241"/>
      <c r="AL241" s="241"/>
      <c r="AM241" s="241"/>
      <c r="AN241" s="241"/>
      <c r="AO241" s="241"/>
      <c r="AP241" s="241"/>
      <c r="AQ241" s="241"/>
      <c r="AR241" s="241"/>
    </row>
    <row r="242">
      <c r="A242" s="313" t="s">
        <v>237</v>
      </c>
      <c r="B242" s="324" t="s">
        <v>557</v>
      </c>
      <c r="C242" s="250">
        <v>8.0</v>
      </c>
      <c r="D242" s="255">
        <v>0.75</v>
      </c>
      <c r="E242" s="264" t="s">
        <v>167</v>
      </c>
      <c r="F242" s="265" t="s">
        <v>168</v>
      </c>
      <c r="G242" s="265" t="s">
        <v>168</v>
      </c>
      <c r="H242" s="255">
        <v>4.0</v>
      </c>
      <c r="I242" s="255" t="s">
        <v>184</v>
      </c>
      <c r="J242" s="255" t="s">
        <v>545</v>
      </c>
      <c r="K242" s="250" t="s">
        <v>546</v>
      </c>
      <c r="L242" s="250" t="s">
        <v>547</v>
      </c>
      <c r="M242" s="250" t="s">
        <v>558</v>
      </c>
      <c r="N242" s="233"/>
      <c r="O242" s="233"/>
      <c r="P242" s="233"/>
      <c r="Q242" s="233"/>
      <c r="R242" s="233"/>
      <c r="S242" s="233"/>
      <c r="T242" s="233"/>
      <c r="U242" s="233"/>
      <c r="V242" s="233"/>
      <c r="W242" s="233"/>
      <c r="X242" s="233"/>
      <c r="Y242" s="233"/>
      <c r="Z242" s="312"/>
      <c r="AA242" s="243"/>
      <c r="AB242" s="243"/>
      <c r="AC242" s="243"/>
      <c r="AD242" s="243"/>
      <c r="AE242" s="243"/>
      <c r="AF242" s="243"/>
      <c r="AG242" s="243"/>
      <c r="AH242" s="243"/>
      <c r="AI242" s="243"/>
      <c r="AJ242" s="243"/>
      <c r="AK242" s="241"/>
      <c r="AL242" s="241"/>
      <c r="AM242" s="241"/>
      <c r="AN242" s="241"/>
      <c r="AO242" s="241"/>
      <c r="AP242" s="241"/>
      <c r="AQ242" s="241"/>
      <c r="AR242" s="241"/>
    </row>
    <row r="243">
      <c r="A243" s="313" t="s">
        <v>237</v>
      </c>
      <c r="B243" s="324" t="s">
        <v>559</v>
      </c>
      <c r="C243" s="250">
        <v>10.0</v>
      </c>
      <c r="D243" s="255">
        <v>1.0</v>
      </c>
      <c r="E243" s="265" t="s">
        <v>168</v>
      </c>
      <c r="F243" s="264" t="s">
        <v>167</v>
      </c>
      <c r="G243" s="264" t="s">
        <v>167</v>
      </c>
      <c r="H243" s="255">
        <v>4.0</v>
      </c>
      <c r="I243" s="252" t="s">
        <v>178</v>
      </c>
      <c r="J243" s="252" t="s">
        <v>178</v>
      </c>
      <c r="K243" s="258" t="s">
        <v>178</v>
      </c>
      <c r="L243" s="258" t="s">
        <v>178</v>
      </c>
      <c r="M243" s="250" t="str">
        <f t="shared" ref="M243:M244" si="13">IF(AND(ISNUMBER(J243),J243&gt;0),int(J243*L243)&amp;" / "&amp;L243,IF(AND(ISNUMBER(J243),J243=0),"None",))</f>
        <v/>
      </c>
      <c r="N243" s="233"/>
      <c r="O243" s="233"/>
      <c r="P243" s="233"/>
      <c r="Q243" s="233"/>
      <c r="R243" s="233"/>
      <c r="S243" s="233"/>
      <c r="T243" s="233"/>
      <c r="U243" s="233"/>
      <c r="V243" s="233"/>
      <c r="W243" s="233"/>
      <c r="X243" s="233"/>
      <c r="Y243" s="233"/>
      <c r="Z243" s="312"/>
      <c r="AA243" s="243"/>
      <c r="AB243" s="243"/>
      <c r="AC243" s="243"/>
      <c r="AD243" s="243"/>
      <c r="AE243" s="243"/>
      <c r="AF243" s="243"/>
      <c r="AG243" s="243"/>
      <c r="AH243" s="243"/>
      <c r="AI243" s="243"/>
      <c r="AJ243" s="243"/>
      <c r="AK243" s="241"/>
      <c r="AL243" s="241"/>
      <c r="AM243" s="241"/>
      <c r="AN243" s="241"/>
      <c r="AO243" s="241"/>
      <c r="AP243" s="241"/>
      <c r="AQ243" s="241"/>
      <c r="AR243" s="241"/>
    </row>
    <row r="244">
      <c r="A244" s="313" t="s">
        <v>237</v>
      </c>
      <c r="B244" s="324" t="s">
        <v>560</v>
      </c>
      <c r="C244" s="250">
        <v>8.0</v>
      </c>
      <c r="D244" s="255">
        <v>0.75</v>
      </c>
      <c r="E244" s="265" t="s">
        <v>168</v>
      </c>
      <c r="F244" s="265" t="s">
        <v>168</v>
      </c>
      <c r="G244" s="264" t="s">
        <v>167</v>
      </c>
      <c r="H244" s="255">
        <v>4.0</v>
      </c>
      <c r="I244" s="255" t="s">
        <v>169</v>
      </c>
      <c r="J244" s="255" t="s">
        <v>553</v>
      </c>
      <c r="K244" s="250" t="s">
        <v>546</v>
      </c>
      <c r="L244" s="250" t="s">
        <v>555</v>
      </c>
      <c r="M244" s="250" t="str">
        <f t="shared" si="13"/>
        <v/>
      </c>
      <c r="N244" s="233"/>
      <c r="O244" s="233"/>
      <c r="P244" s="233"/>
      <c r="Q244" s="233"/>
      <c r="R244" s="233"/>
      <c r="S244" s="233"/>
      <c r="T244" s="233"/>
      <c r="U244" s="233"/>
      <c r="V244" s="233"/>
      <c r="W244" s="233"/>
      <c r="X244" s="233"/>
      <c r="Y244" s="233"/>
      <c r="Z244" s="312"/>
      <c r="AA244" s="243"/>
      <c r="AB244" s="243"/>
      <c r="AC244" s="243"/>
      <c r="AD244" s="243"/>
      <c r="AE244" s="243"/>
      <c r="AF244" s="243"/>
      <c r="AG244" s="243"/>
      <c r="AH244" s="243"/>
      <c r="AI244" s="243"/>
      <c r="AJ244" s="243"/>
      <c r="AK244" s="241"/>
      <c r="AL244" s="241"/>
      <c r="AM244" s="241"/>
      <c r="AN244" s="241"/>
      <c r="AO244" s="241"/>
      <c r="AP244" s="241"/>
      <c r="AQ244" s="241"/>
      <c r="AR244" s="241"/>
    </row>
    <row r="245">
      <c r="A245" s="313" t="s">
        <v>237</v>
      </c>
      <c r="B245" s="324" t="s">
        <v>561</v>
      </c>
      <c r="C245" s="250">
        <v>6.0</v>
      </c>
      <c r="D245" s="255">
        <v>0.5</v>
      </c>
      <c r="E245" s="264" t="s">
        <v>167</v>
      </c>
      <c r="F245" s="265" t="s">
        <v>168</v>
      </c>
      <c r="G245" s="264" t="s">
        <v>167</v>
      </c>
      <c r="H245" s="255">
        <v>2.0</v>
      </c>
      <c r="I245" s="255" t="s">
        <v>184</v>
      </c>
      <c r="J245" s="454" t="s">
        <v>553</v>
      </c>
      <c r="K245" s="250" t="s">
        <v>562</v>
      </c>
      <c r="L245" s="250" t="s">
        <v>555</v>
      </c>
      <c r="M245" s="250" t="s">
        <v>558</v>
      </c>
      <c r="N245" s="233"/>
      <c r="O245" s="233"/>
      <c r="P245" s="233"/>
      <c r="Q245" s="233"/>
      <c r="R245" s="233"/>
      <c r="S245" s="233"/>
      <c r="T245" s="233"/>
      <c r="U245" s="233"/>
      <c r="V245" s="233"/>
      <c r="W245" s="233"/>
      <c r="X245" s="233"/>
      <c r="Y245" s="233"/>
      <c r="Z245" s="312"/>
      <c r="AA245" s="243"/>
      <c r="AB245" s="243"/>
      <c r="AC245" s="243"/>
      <c r="AD245" s="243"/>
      <c r="AE245" s="243"/>
      <c r="AF245" s="243"/>
      <c r="AG245" s="243"/>
      <c r="AH245" s="243"/>
      <c r="AI245" s="243"/>
      <c r="AJ245" s="243"/>
      <c r="AK245" s="241"/>
      <c r="AL245" s="241"/>
      <c r="AM245" s="241"/>
      <c r="AN245" s="241"/>
      <c r="AO245" s="241"/>
      <c r="AP245" s="241"/>
      <c r="AQ245" s="241"/>
      <c r="AR245" s="241"/>
    </row>
    <row r="246">
      <c r="A246" s="313" t="s">
        <v>237</v>
      </c>
      <c r="B246" s="324" t="s">
        <v>563</v>
      </c>
      <c r="C246" s="250">
        <v>8.0</v>
      </c>
      <c r="D246" s="255">
        <v>0.75</v>
      </c>
      <c r="E246" s="265" t="s">
        <v>168</v>
      </c>
      <c r="F246" s="265" t="s">
        <v>168</v>
      </c>
      <c r="G246" s="264" t="s">
        <v>167</v>
      </c>
      <c r="H246" s="255">
        <v>4.0</v>
      </c>
      <c r="I246" s="255" t="s">
        <v>173</v>
      </c>
      <c r="J246" s="255" t="s">
        <v>553</v>
      </c>
      <c r="K246" s="250" t="s">
        <v>564</v>
      </c>
      <c r="L246" s="250" t="s">
        <v>565</v>
      </c>
      <c r="M246" s="250" t="str">
        <f>IF(AND(ISNUMBER(J246),J246&gt;0),int(J246*L246)&amp;" / "&amp;L246,IF(AND(ISNUMBER(J246),J246=0),"None",))</f>
        <v/>
      </c>
      <c r="N246" s="233"/>
      <c r="O246" s="233"/>
      <c r="P246" s="233"/>
      <c r="Q246" s="233"/>
      <c r="R246" s="233"/>
      <c r="S246" s="233"/>
      <c r="T246" s="233"/>
      <c r="U246" s="233"/>
      <c r="V246" s="233"/>
      <c r="W246" s="233"/>
      <c r="X246" s="233"/>
      <c r="Y246" s="233"/>
      <c r="Z246" s="312"/>
      <c r="AA246" s="243"/>
      <c r="AB246" s="243"/>
      <c r="AC246" s="243"/>
      <c r="AD246" s="243"/>
      <c r="AE246" s="243"/>
      <c r="AF246" s="243"/>
      <c r="AG246" s="243"/>
      <c r="AH246" s="243"/>
      <c r="AI246" s="243"/>
      <c r="AJ246" s="243"/>
      <c r="AK246" s="241"/>
      <c r="AL246" s="241"/>
      <c r="AM246" s="241"/>
      <c r="AN246" s="241"/>
      <c r="AO246" s="241"/>
      <c r="AP246" s="241"/>
      <c r="AQ246" s="241"/>
      <c r="AR246" s="241"/>
    </row>
    <row r="247">
      <c r="A247" s="245"/>
      <c r="B247" s="339" t="s">
        <v>566</v>
      </c>
      <c r="C247" s="233"/>
      <c r="D247" s="228"/>
      <c r="E247" s="228"/>
      <c r="F247" s="228"/>
      <c r="G247" s="228"/>
      <c r="H247" s="228"/>
      <c r="I247" s="228"/>
      <c r="J247" s="228"/>
      <c r="K247" s="233"/>
      <c r="L247" s="233"/>
      <c r="M247" s="233"/>
      <c r="N247" s="233"/>
      <c r="O247" s="233"/>
      <c r="P247" s="233"/>
      <c r="Q247" s="233"/>
      <c r="R247" s="233"/>
      <c r="S247" s="233"/>
      <c r="T247" s="233"/>
      <c r="U247" s="233"/>
      <c r="V247" s="233"/>
      <c r="W247" s="233"/>
      <c r="X247" s="233"/>
      <c r="Y247" s="233"/>
      <c r="Z247" s="312"/>
      <c r="AA247" s="243"/>
      <c r="AB247" s="243"/>
      <c r="AC247" s="243"/>
      <c r="AD247" s="243"/>
      <c r="AE247" s="243"/>
      <c r="AF247" s="243"/>
      <c r="AG247" s="243"/>
      <c r="AH247" s="243"/>
      <c r="AI247" s="243"/>
      <c r="AJ247" s="243"/>
      <c r="AK247" s="241"/>
      <c r="AL247" s="241"/>
      <c r="AM247" s="241"/>
      <c r="AN247" s="241"/>
      <c r="AO247" s="241"/>
      <c r="AP247" s="241"/>
      <c r="AQ247" s="241"/>
      <c r="AR247" s="241"/>
    </row>
    <row r="248">
      <c r="A248" s="228"/>
      <c r="B248" s="228"/>
      <c r="C248" s="233"/>
      <c r="D248" s="228"/>
      <c r="E248" s="228"/>
      <c r="F248" s="228"/>
      <c r="G248" s="228"/>
      <c r="H248" s="228"/>
      <c r="I248" s="228"/>
      <c r="J248" s="228"/>
      <c r="K248" s="233"/>
      <c r="L248" s="233"/>
      <c r="M248" s="233"/>
      <c r="N248" s="233"/>
      <c r="O248" s="233"/>
      <c r="P248" s="326"/>
      <c r="Q248" s="233"/>
      <c r="R248" s="233"/>
      <c r="S248" s="233"/>
      <c r="T248" s="233"/>
      <c r="U248" s="233"/>
      <c r="V248" s="233"/>
      <c r="W248" s="233"/>
      <c r="X248" s="233"/>
      <c r="Y248" s="312"/>
      <c r="Z248" s="312"/>
      <c r="AA248" s="243"/>
      <c r="AB248" s="243"/>
      <c r="AC248" s="243"/>
      <c r="AD248" s="243"/>
      <c r="AE248" s="243"/>
      <c r="AF248" s="243"/>
      <c r="AG248" s="243"/>
      <c r="AH248" s="243"/>
      <c r="AI248" s="243"/>
      <c r="AJ248" s="243"/>
      <c r="AK248" s="241"/>
      <c r="AL248" s="241"/>
      <c r="AM248" s="241"/>
      <c r="AN248" s="241"/>
      <c r="AO248" s="241"/>
      <c r="AP248" s="241"/>
      <c r="AQ248" s="241"/>
      <c r="AR248" s="241"/>
    </row>
    <row r="249">
      <c r="A249" s="228"/>
      <c r="B249" s="430" t="s">
        <v>568</v>
      </c>
      <c r="C249" s="233"/>
      <c r="D249" s="228"/>
      <c r="E249" s="228"/>
      <c r="F249" s="228"/>
      <c r="G249" s="228"/>
      <c r="H249" s="228"/>
      <c r="I249" s="228"/>
      <c r="J249" s="228"/>
      <c r="K249" s="233"/>
      <c r="L249" s="233"/>
      <c r="M249" s="233"/>
      <c r="N249" s="233"/>
      <c r="O249" s="233"/>
      <c r="P249" s="233"/>
      <c r="Q249" s="233"/>
      <c r="R249" s="233"/>
      <c r="S249" s="233"/>
      <c r="T249" s="233"/>
      <c r="U249" s="233"/>
      <c r="V249" s="233"/>
      <c r="W249" s="233"/>
      <c r="X249" s="233"/>
      <c r="Y249" s="233"/>
      <c r="Z249" s="312"/>
      <c r="AA249" s="243"/>
      <c r="AB249" s="243"/>
      <c r="AC249" s="243"/>
      <c r="AD249" s="243"/>
      <c r="AE249" s="243"/>
      <c r="AF249" s="243"/>
      <c r="AG249" s="243"/>
      <c r="AH249" s="243"/>
      <c r="AI249" s="243"/>
      <c r="AJ249" s="243"/>
      <c r="AK249" s="241"/>
      <c r="AL249" s="241"/>
      <c r="AM249" s="241"/>
      <c r="AN249" s="241"/>
      <c r="AO249" s="241"/>
      <c r="AP249" s="241"/>
      <c r="AQ249" s="241"/>
      <c r="AR249" s="241"/>
    </row>
    <row r="250">
      <c r="A250" s="245"/>
      <c r="B250" s="246" t="s">
        <v>536</v>
      </c>
      <c r="C250" s="250" t="s">
        <v>11</v>
      </c>
      <c r="D250" s="252" t="s">
        <v>13</v>
      </c>
      <c r="E250" s="252" t="s">
        <v>14</v>
      </c>
      <c r="F250" s="252" t="s">
        <v>159</v>
      </c>
      <c r="G250" s="252" t="s">
        <v>16</v>
      </c>
      <c r="H250" s="252" t="s">
        <v>12</v>
      </c>
      <c r="I250" s="255" t="s">
        <v>160</v>
      </c>
      <c r="J250" s="252" t="s">
        <v>537</v>
      </c>
      <c r="K250" s="258" t="s">
        <v>538</v>
      </c>
      <c r="L250" s="250" t="s">
        <v>539</v>
      </c>
      <c r="M250" s="233"/>
      <c r="N250" s="233"/>
      <c r="O250" s="233"/>
      <c r="P250" s="233"/>
      <c r="Q250" s="233"/>
      <c r="R250" s="233"/>
      <c r="S250" s="233"/>
      <c r="T250" s="233"/>
      <c r="U250" s="233"/>
      <c r="V250" s="233"/>
      <c r="W250" s="233"/>
      <c r="X250" s="233"/>
      <c r="Y250" s="233"/>
      <c r="Z250" s="312"/>
      <c r="AA250" s="243"/>
      <c r="AB250" s="243"/>
      <c r="AC250" s="243"/>
      <c r="AD250" s="243"/>
      <c r="AE250" s="243"/>
      <c r="AF250" s="243"/>
      <c r="AG250" s="243"/>
      <c r="AH250" s="243"/>
      <c r="AI250" s="243"/>
      <c r="AJ250" s="243"/>
      <c r="AK250" s="241"/>
      <c r="AL250" s="241"/>
      <c r="AM250" s="241"/>
      <c r="AN250" s="241"/>
      <c r="AO250" s="241"/>
      <c r="AP250" s="241"/>
      <c r="AQ250" s="241"/>
      <c r="AR250" s="241"/>
    </row>
    <row r="251">
      <c r="A251" s="313" t="s">
        <v>43</v>
      </c>
      <c r="B251" s="319" t="s">
        <v>46</v>
      </c>
      <c r="C251" s="313">
        <v>8.0</v>
      </c>
      <c r="D251" s="313">
        <v>0.75</v>
      </c>
      <c r="E251" s="317" t="s">
        <v>168</v>
      </c>
      <c r="F251" s="265" t="s">
        <v>168</v>
      </c>
      <c r="G251" s="264" t="s">
        <v>167</v>
      </c>
      <c r="H251" s="313">
        <v>6.0</v>
      </c>
      <c r="I251" s="252" t="s">
        <v>178</v>
      </c>
      <c r="J251" s="252" t="s">
        <v>178</v>
      </c>
      <c r="K251" s="258" t="s">
        <v>178</v>
      </c>
      <c r="L251" s="258" t="s">
        <v>178</v>
      </c>
      <c r="M251" s="250" t="str">
        <f t="shared" ref="M251:M253" si="14">IF(AND(ISNUMBER(J251),J251&gt;0),int(J251*L251)&amp;" / "&amp;L251,IF(AND(ISNUMBER(J251),J251=0),"None",))</f>
        <v/>
      </c>
      <c r="N251" s="233"/>
      <c r="O251" s="233"/>
      <c r="P251" s="233"/>
      <c r="Q251" s="233"/>
      <c r="R251" s="233"/>
      <c r="S251" s="233"/>
      <c r="T251" s="233"/>
      <c r="U251" s="233"/>
      <c r="V251" s="233"/>
      <c r="W251" s="233"/>
      <c r="X251" s="233"/>
      <c r="Y251" s="233"/>
      <c r="Z251" s="312"/>
      <c r="AA251" s="243"/>
      <c r="AB251" s="243"/>
      <c r="AC251" s="243"/>
      <c r="AD251" s="243"/>
      <c r="AE251" s="243"/>
      <c r="AF251" s="243"/>
      <c r="AG251" s="243"/>
      <c r="AH251" s="243"/>
      <c r="AI251" s="243"/>
      <c r="AJ251" s="243"/>
      <c r="AK251" s="241"/>
      <c r="AL251" s="241"/>
      <c r="AM251" s="241"/>
      <c r="AN251" s="241"/>
      <c r="AO251" s="241"/>
      <c r="AP251" s="241"/>
      <c r="AQ251" s="241"/>
      <c r="AR251" s="241"/>
    </row>
    <row r="252">
      <c r="A252" s="313" t="s">
        <v>43</v>
      </c>
      <c r="B252" s="319" t="s">
        <v>570</v>
      </c>
      <c r="C252" s="313">
        <v>12.0</v>
      </c>
      <c r="D252" s="313">
        <v>1.0</v>
      </c>
      <c r="E252" s="316" t="s">
        <v>167</v>
      </c>
      <c r="F252" s="317" t="s">
        <v>168</v>
      </c>
      <c r="G252" s="264" t="s">
        <v>167</v>
      </c>
      <c r="H252" s="255">
        <v>4.0</v>
      </c>
      <c r="I252" s="252" t="s">
        <v>178</v>
      </c>
      <c r="J252" s="252" t="s">
        <v>178</v>
      </c>
      <c r="K252" s="258" t="s">
        <v>178</v>
      </c>
      <c r="L252" s="258" t="s">
        <v>178</v>
      </c>
      <c r="M252" s="250" t="str">
        <f t="shared" si="14"/>
        <v/>
      </c>
      <c r="N252" s="233"/>
      <c r="O252" s="233"/>
      <c r="P252" s="233"/>
      <c r="Q252" s="233"/>
      <c r="R252" s="233"/>
      <c r="S252" s="233"/>
      <c r="T252" s="233"/>
      <c r="U252" s="233"/>
      <c r="V252" s="233"/>
      <c r="W252" s="233"/>
      <c r="X252" s="233"/>
      <c r="Y252" s="233"/>
      <c r="Z252" s="312"/>
      <c r="AA252" s="243"/>
      <c r="AB252" s="243"/>
      <c r="AC252" s="243"/>
      <c r="AD252" s="243"/>
      <c r="AE252" s="243"/>
      <c r="AF252" s="243"/>
      <c r="AG252" s="243"/>
      <c r="AH252" s="243"/>
      <c r="AI252" s="243"/>
      <c r="AJ252" s="243"/>
      <c r="AK252" s="241"/>
      <c r="AL252" s="241"/>
      <c r="AM252" s="241"/>
      <c r="AN252" s="241"/>
      <c r="AO252" s="241"/>
      <c r="AP252" s="241"/>
      <c r="AQ252" s="241"/>
      <c r="AR252" s="241"/>
    </row>
    <row r="253">
      <c r="A253" s="313" t="s">
        <v>43</v>
      </c>
      <c r="B253" s="319" t="s">
        <v>571</v>
      </c>
      <c r="C253" s="313">
        <v>10.0</v>
      </c>
      <c r="D253" s="313">
        <v>1.0</v>
      </c>
      <c r="E253" s="316" t="s">
        <v>167</v>
      </c>
      <c r="F253" s="317" t="s">
        <v>168</v>
      </c>
      <c r="G253" s="317" t="s">
        <v>168</v>
      </c>
      <c r="H253" s="313">
        <v>4.0</v>
      </c>
      <c r="I253" s="252" t="s">
        <v>178</v>
      </c>
      <c r="J253" s="252" t="s">
        <v>178</v>
      </c>
      <c r="K253" s="258" t="s">
        <v>178</v>
      </c>
      <c r="L253" s="258" t="s">
        <v>178</v>
      </c>
      <c r="M253" s="250" t="str">
        <f t="shared" si="14"/>
        <v/>
      </c>
      <c r="N253" s="233"/>
      <c r="O253" s="233"/>
      <c r="P253" s="233"/>
      <c r="Q253" s="233"/>
      <c r="R253" s="233"/>
      <c r="S253" s="233"/>
      <c r="T253" s="233"/>
      <c r="U253" s="233"/>
      <c r="V253" s="233"/>
      <c r="W253" s="233"/>
      <c r="X253" s="233"/>
      <c r="Y253" s="233"/>
      <c r="Z253" s="312"/>
      <c r="AA253" s="243"/>
      <c r="AB253" s="243"/>
      <c r="AC253" s="243"/>
      <c r="AD253" s="243"/>
      <c r="AE253" s="243"/>
      <c r="AF253" s="243"/>
      <c r="AG253" s="243"/>
      <c r="AH253" s="243"/>
      <c r="AI253" s="243"/>
      <c r="AJ253" s="243"/>
      <c r="AK253" s="241"/>
      <c r="AL253" s="241"/>
      <c r="AM253" s="241"/>
      <c r="AN253" s="241"/>
      <c r="AO253" s="241"/>
      <c r="AP253" s="241"/>
      <c r="AQ253" s="241"/>
      <c r="AR253" s="241"/>
    </row>
    <row r="254">
      <c r="A254" s="228"/>
      <c r="B254" s="340" t="s">
        <v>242</v>
      </c>
      <c r="C254" s="233"/>
      <c r="D254" s="228"/>
      <c r="E254" s="228"/>
      <c r="F254" s="228"/>
      <c r="G254" s="228"/>
      <c r="H254" s="228"/>
      <c r="I254" s="228"/>
      <c r="J254" s="228"/>
      <c r="K254" s="233"/>
      <c r="L254" s="233"/>
      <c r="M254" s="233"/>
      <c r="N254" s="233"/>
      <c r="O254" s="233"/>
      <c r="P254" s="233"/>
      <c r="Q254" s="233"/>
      <c r="R254" s="233"/>
      <c r="S254" s="233"/>
      <c r="T254" s="233"/>
      <c r="U254" s="233"/>
      <c r="V254" s="233"/>
      <c r="W254" s="233"/>
      <c r="X254" s="233"/>
      <c r="Y254" s="233"/>
      <c r="Z254" s="312"/>
      <c r="AA254" s="243"/>
      <c r="AB254" s="243"/>
      <c r="AC254" s="243"/>
      <c r="AD254" s="243"/>
      <c r="AE254" s="243"/>
      <c r="AF254" s="243"/>
      <c r="AG254" s="243"/>
      <c r="AH254" s="243"/>
      <c r="AI254" s="243"/>
      <c r="AJ254" s="243"/>
      <c r="AK254" s="241"/>
      <c r="AL254" s="241"/>
      <c r="AM254" s="241"/>
      <c r="AN254" s="241"/>
      <c r="AO254" s="241"/>
      <c r="AP254" s="241"/>
      <c r="AQ254" s="241"/>
      <c r="AR254" s="241"/>
    </row>
    <row r="255">
      <c r="A255" s="245"/>
      <c r="B255" s="246" t="s">
        <v>572</v>
      </c>
      <c r="C255" s="250" t="s">
        <v>11</v>
      </c>
      <c r="D255" s="252" t="s">
        <v>13</v>
      </c>
      <c r="E255" s="252" t="s">
        <v>14</v>
      </c>
      <c r="F255" s="252" t="s">
        <v>159</v>
      </c>
      <c r="G255" s="252" t="s">
        <v>16</v>
      </c>
      <c r="H255" s="252" t="s">
        <v>12</v>
      </c>
      <c r="I255" s="255" t="s">
        <v>160</v>
      </c>
      <c r="J255" s="252" t="s">
        <v>162</v>
      </c>
      <c r="K255" s="258" t="s">
        <v>163</v>
      </c>
      <c r="L255" s="250" t="s">
        <v>539</v>
      </c>
      <c r="M255" s="255" t="s">
        <v>573</v>
      </c>
      <c r="N255" s="233"/>
      <c r="O255" s="233"/>
      <c r="P255" s="233"/>
      <c r="Q255" s="233"/>
      <c r="R255" s="233"/>
      <c r="S255" s="233"/>
      <c r="T255" s="233"/>
      <c r="U255" s="233"/>
      <c r="V255" s="233"/>
      <c r="W255" s="233"/>
      <c r="X255" s="233"/>
      <c r="Y255" s="233"/>
      <c r="Z255" s="312"/>
      <c r="AA255" s="243"/>
      <c r="AB255" s="243"/>
      <c r="AC255" s="243"/>
      <c r="AD255" s="243"/>
      <c r="AE255" s="243"/>
      <c r="AF255" s="243"/>
      <c r="AG255" s="243"/>
      <c r="AH255" s="243"/>
      <c r="AI255" s="243"/>
      <c r="AJ255" s="243"/>
      <c r="AK255" s="241"/>
      <c r="AL255" s="241"/>
      <c r="AM255" s="241"/>
      <c r="AN255" s="241"/>
      <c r="AO255" s="241"/>
      <c r="AP255" s="241"/>
      <c r="AQ255" s="241"/>
      <c r="AR255" s="241"/>
    </row>
    <row r="256">
      <c r="A256" s="228" t="s">
        <v>242</v>
      </c>
      <c r="B256" s="458" t="s">
        <v>574</v>
      </c>
      <c r="C256" s="313">
        <v>8.0</v>
      </c>
      <c r="D256" s="313">
        <v>0.75</v>
      </c>
      <c r="E256" s="316" t="s">
        <v>167</v>
      </c>
      <c r="F256" s="317" t="s">
        <v>168</v>
      </c>
      <c r="G256" s="264" t="s">
        <v>167</v>
      </c>
      <c r="H256" s="313">
        <v>6.0</v>
      </c>
      <c r="I256" s="252" t="s">
        <v>178</v>
      </c>
      <c r="J256" s="252" t="s">
        <v>178</v>
      </c>
      <c r="K256" s="258" t="s">
        <v>178</v>
      </c>
      <c r="L256" s="258"/>
      <c r="M256" s="250" t="str">
        <f>IF(AND(ISNUMBER(J256),J256&gt;0),int(J256*L256)&amp;" / "&amp;L256,IF(AND(ISNUMBER(J256),J256=0),"None",))</f>
        <v/>
      </c>
      <c r="N256" s="233"/>
      <c r="O256" s="233"/>
      <c r="P256" s="233"/>
      <c r="Q256" s="233"/>
      <c r="R256" s="233"/>
      <c r="S256" s="233"/>
      <c r="T256" s="233"/>
      <c r="U256" s="233"/>
      <c r="V256" s="233"/>
      <c r="W256" s="233"/>
      <c r="X256" s="233"/>
      <c r="Y256" s="233"/>
      <c r="Z256" s="312"/>
      <c r="AA256" s="243"/>
      <c r="AB256" s="243"/>
      <c r="AC256" s="243"/>
      <c r="AD256" s="243"/>
      <c r="AE256" s="243"/>
      <c r="AF256" s="243"/>
      <c r="AG256" s="243"/>
      <c r="AH256" s="243"/>
      <c r="AI256" s="243"/>
      <c r="AJ256" s="243"/>
      <c r="AK256" s="241"/>
      <c r="AL256" s="241"/>
      <c r="AM256" s="241"/>
      <c r="AN256" s="241"/>
      <c r="AO256" s="241"/>
      <c r="AP256" s="241"/>
      <c r="AQ256" s="241"/>
      <c r="AR256" s="241"/>
    </row>
    <row r="257">
      <c r="A257" s="385" t="s">
        <v>240</v>
      </c>
      <c r="B257" s="458" t="s">
        <v>578</v>
      </c>
      <c r="C257" s="313">
        <v>8.0</v>
      </c>
      <c r="D257" s="313">
        <v>0.75</v>
      </c>
      <c r="E257" s="317" t="s">
        <v>168</v>
      </c>
      <c r="F257" s="313" t="s">
        <v>167</v>
      </c>
      <c r="G257" s="317" t="s">
        <v>168</v>
      </c>
      <c r="H257" s="313">
        <v>6.0</v>
      </c>
      <c r="I257" s="252" t="s">
        <v>178</v>
      </c>
      <c r="J257" s="252" t="s">
        <v>178</v>
      </c>
      <c r="K257" s="258" t="s">
        <v>178</v>
      </c>
      <c r="L257" s="258"/>
      <c r="M257" s="250"/>
      <c r="N257" s="233"/>
      <c r="O257" s="233"/>
      <c r="P257" s="233"/>
      <c r="Q257" s="233"/>
      <c r="R257" s="233"/>
      <c r="S257" s="233"/>
      <c r="T257" s="233"/>
      <c r="U257" s="233"/>
      <c r="V257" s="233"/>
      <c r="W257" s="233"/>
      <c r="X257" s="233"/>
      <c r="Y257" s="233"/>
      <c r="Z257" s="312"/>
      <c r="AA257" s="243"/>
      <c r="AB257" s="243"/>
      <c r="AC257" s="243"/>
      <c r="AD257" s="243"/>
      <c r="AE257" s="243"/>
      <c r="AF257" s="243"/>
      <c r="AG257" s="243"/>
      <c r="AH257" s="243"/>
      <c r="AI257" s="243"/>
      <c r="AJ257" s="243"/>
      <c r="AK257" s="241"/>
      <c r="AL257" s="241"/>
      <c r="AM257" s="241"/>
      <c r="AN257" s="241"/>
      <c r="AO257" s="241"/>
      <c r="AP257" s="241"/>
      <c r="AQ257" s="241"/>
      <c r="AR257" s="241"/>
    </row>
    <row r="258">
      <c r="A258" s="385" t="s">
        <v>240</v>
      </c>
      <c r="B258" s="458" t="s">
        <v>179</v>
      </c>
      <c r="C258" s="313">
        <v>8.0</v>
      </c>
      <c r="D258" s="313">
        <v>0.75</v>
      </c>
      <c r="E258" s="317" t="s">
        <v>168</v>
      </c>
      <c r="F258" s="313" t="s">
        <v>167</v>
      </c>
      <c r="G258" s="313" t="s">
        <v>167</v>
      </c>
      <c r="H258" s="313">
        <v>6.0</v>
      </c>
      <c r="I258" s="313" t="s">
        <v>173</v>
      </c>
      <c r="J258" s="255" t="str">
        <f>address(ROW($C$541),COLUMN($C$541))</f>
        <v>$C$541</v>
      </c>
      <c r="K258" s="250" t="str">
        <f>address(ROW($B$568),COLUMN($B$568))</f>
        <v>$B$568</v>
      </c>
      <c r="L258" s="250"/>
      <c r="M258" s="250"/>
      <c r="N258" s="233"/>
      <c r="O258" s="233"/>
      <c r="P258" s="233"/>
      <c r="Q258" s="233"/>
      <c r="R258" s="233"/>
      <c r="S258" s="233"/>
      <c r="T258" s="233"/>
      <c r="U258" s="233"/>
      <c r="V258" s="233"/>
      <c r="W258" s="233"/>
      <c r="X258" s="233"/>
      <c r="Y258" s="233"/>
      <c r="Z258" s="312"/>
      <c r="AA258" s="243"/>
      <c r="AB258" s="243"/>
      <c r="AC258" s="243"/>
      <c r="AD258" s="243"/>
      <c r="AE258" s="243"/>
      <c r="AF258" s="243"/>
      <c r="AG258" s="243"/>
      <c r="AH258" s="243"/>
      <c r="AI258" s="243"/>
      <c r="AJ258" s="243"/>
      <c r="AK258" s="241"/>
      <c r="AL258" s="241"/>
      <c r="AM258" s="241"/>
      <c r="AN258" s="241"/>
      <c r="AO258" s="241"/>
      <c r="AP258" s="241"/>
      <c r="AQ258" s="241"/>
      <c r="AR258" s="241"/>
    </row>
    <row r="259">
      <c r="A259" s="385" t="s">
        <v>240</v>
      </c>
      <c r="B259" s="458" t="s">
        <v>585</v>
      </c>
      <c r="C259" s="313">
        <v>10.0</v>
      </c>
      <c r="D259" s="313">
        <v>1.0</v>
      </c>
      <c r="E259" s="313" t="s">
        <v>167</v>
      </c>
      <c r="F259" s="313" t="s">
        <v>167</v>
      </c>
      <c r="G259" s="317" t="s">
        <v>168</v>
      </c>
      <c r="H259" s="313">
        <v>4.0</v>
      </c>
      <c r="I259" s="252" t="s">
        <v>178</v>
      </c>
      <c r="J259" s="252" t="s">
        <v>178</v>
      </c>
      <c r="K259" s="258" t="s">
        <v>178</v>
      </c>
      <c r="L259" s="258"/>
      <c r="M259" s="250"/>
      <c r="N259" s="233"/>
      <c r="O259" s="233"/>
      <c r="P259" s="233"/>
      <c r="Q259" s="233"/>
      <c r="R259" s="233"/>
      <c r="S259" s="233"/>
      <c r="T259" s="233"/>
      <c r="U259" s="233"/>
      <c r="V259" s="233"/>
      <c r="W259" s="233"/>
      <c r="X259" s="233"/>
      <c r="Y259" s="233"/>
      <c r="Z259" s="312"/>
      <c r="AA259" s="243"/>
      <c r="AB259" s="243"/>
      <c r="AC259" s="243"/>
      <c r="AD259" s="243"/>
      <c r="AE259" s="243"/>
      <c r="AF259" s="243"/>
      <c r="AG259" s="243"/>
      <c r="AH259" s="243"/>
      <c r="AI259" s="243"/>
      <c r="AJ259" s="243"/>
      <c r="AK259" s="241"/>
      <c r="AL259" s="241"/>
      <c r="AM259" s="241"/>
      <c r="AN259" s="241"/>
      <c r="AO259" s="241"/>
      <c r="AP259" s="241"/>
      <c r="AQ259" s="241"/>
      <c r="AR259" s="241"/>
    </row>
    <row r="260">
      <c r="A260" s="385" t="s">
        <v>240</v>
      </c>
      <c r="B260" s="458" t="s">
        <v>587</v>
      </c>
      <c r="C260" s="313">
        <v>6.0</v>
      </c>
      <c r="D260" s="313">
        <v>0.5</v>
      </c>
      <c r="E260" s="317" t="s">
        <v>168</v>
      </c>
      <c r="F260" s="317" t="s">
        <v>168</v>
      </c>
      <c r="G260" s="313" t="s">
        <v>167</v>
      </c>
      <c r="H260" s="313">
        <v>4.0</v>
      </c>
      <c r="I260" s="315" t="s">
        <v>169</v>
      </c>
      <c r="J260" s="255" t="str">
        <f>address(ROW($B$541),COLUMN($B$541))</f>
        <v>$B$541</v>
      </c>
      <c r="K260" s="250" t="str">
        <f>address(ROW($B$546),COLUMN($B$546))</f>
        <v>$B$546</v>
      </c>
      <c r="L260" s="250"/>
      <c r="M260" s="250"/>
      <c r="N260" s="233"/>
      <c r="O260" s="233"/>
      <c r="P260" s="233"/>
      <c r="Q260" s="233"/>
      <c r="R260" s="233"/>
      <c r="S260" s="233"/>
      <c r="T260" s="233"/>
      <c r="U260" s="233"/>
      <c r="V260" s="233"/>
      <c r="W260" s="233"/>
      <c r="X260" s="233"/>
      <c r="Y260" s="233"/>
      <c r="Z260" s="312"/>
      <c r="AA260" s="243"/>
      <c r="AB260" s="243"/>
      <c r="AC260" s="243"/>
      <c r="AD260" s="243"/>
      <c r="AE260" s="243"/>
      <c r="AF260" s="243"/>
      <c r="AG260" s="243"/>
      <c r="AH260" s="243"/>
      <c r="AI260" s="243"/>
      <c r="AJ260" s="243"/>
      <c r="AK260" s="241"/>
      <c r="AL260" s="241"/>
      <c r="AM260" s="241"/>
      <c r="AN260" s="241"/>
      <c r="AO260" s="241"/>
      <c r="AP260" s="241"/>
      <c r="AQ260" s="241"/>
      <c r="AR260" s="241"/>
    </row>
    <row r="261">
      <c r="A261" s="385" t="s">
        <v>240</v>
      </c>
      <c r="B261" s="458" t="s">
        <v>495</v>
      </c>
      <c r="C261" s="313">
        <v>10.0</v>
      </c>
      <c r="D261" s="313">
        <v>1.0</v>
      </c>
      <c r="E261" s="313" t="s">
        <v>167</v>
      </c>
      <c r="F261" s="313" t="s">
        <v>167</v>
      </c>
      <c r="G261" s="317" t="s">
        <v>168</v>
      </c>
      <c r="H261" s="313">
        <v>4.0</v>
      </c>
      <c r="I261" s="252" t="s">
        <v>178</v>
      </c>
      <c r="J261" s="252" t="s">
        <v>178</v>
      </c>
      <c r="K261" s="258" t="s">
        <v>178</v>
      </c>
      <c r="L261" s="258"/>
      <c r="M261" s="250"/>
      <c r="N261" s="233"/>
      <c r="O261" s="233"/>
      <c r="P261" s="233"/>
      <c r="Q261" s="233"/>
      <c r="R261" s="233"/>
      <c r="S261" s="233"/>
      <c r="T261" s="233"/>
      <c r="U261" s="233"/>
      <c r="V261" s="233"/>
      <c r="W261" s="233"/>
      <c r="X261" s="233"/>
      <c r="Y261" s="233"/>
      <c r="Z261" s="312"/>
      <c r="AA261" s="243"/>
      <c r="AB261" s="243"/>
      <c r="AC261" s="243"/>
      <c r="AD261" s="243"/>
      <c r="AE261" s="243"/>
      <c r="AF261" s="243"/>
      <c r="AG261" s="243"/>
      <c r="AH261" s="243"/>
      <c r="AI261" s="243"/>
      <c r="AJ261" s="243"/>
      <c r="AK261" s="241"/>
      <c r="AL261" s="241"/>
      <c r="AM261" s="241"/>
      <c r="AN261" s="241"/>
      <c r="AO261" s="241"/>
      <c r="AP261" s="241"/>
      <c r="AQ261" s="241"/>
      <c r="AR261" s="241"/>
    </row>
    <row r="262">
      <c r="A262" s="385" t="s">
        <v>240</v>
      </c>
      <c r="B262" s="458" t="s">
        <v>590</v>
      </c>
      <c r="C262" s="313">
        <v>10.0</v>
      </c>
      <c r="D262" s="313">
        <v>1.0</v>
      </c>
      <c r="E262" s="316" t="s">
        <v>167</v>
      </c>
      <c r="F262" s="317" t="s">
        <v>168</v>
      </c>
      <c r="G262" s="264" t="s">
        <v>167</v>
      </c>
      <c r="H262" s="313">
        <v>4.0</v>
      </c>
      <c r="I262" s="252" t="s">
        <v>178</v>
      </c>
      <c r="J262" s="252" t="s">
        <v>178</v>
      </c>
      <c r="K262" s="258" t="s">
        <v>178</v>
      </c>
      <c r="L262" s="258"/>
      <c r="M262" s="250"/>
      <c r="N262" s="233"/>
      <c r="O262" s="233"/>
      <c r="P262" s="233"/>
      <c r="Q262" s="233"/>
      <c r="R262" s="233"/>
      <c r="S262" s="233"/>
      <c r="T262" s="233"/>
      <c r="U262" s="233"/>
      <c r="V262" s="233"/>
      <c r="W262" s="233"/>
      <c r="X262" s="233"/>
      <c r="Y262" s="233"/>
      <c r="Z262" s="312"/>
      <c r="AA262" s="243"/>
      <c r="AB262" s="243"/>
      <c r="AC262" s="243"/>
      <c r="AD262" s="243"/>
      <c r="AE262" s="243"/>
      <c r="AF262" s="243"/>
      <c r="AG262" s="243"/>
      <c r="AH262" s="243"/>
      <c r="AI262" s="243"/>
      <c r="AJ262" s="243"/>
      <c r="AK262" s="241"/>
      <c r="AL262" s="241"/>
      <c r="AM262" s="241"/>
      <c r="AN262" s="241"/>
      <c r="AO262" s="241"/>
      <c r="AP262" s="241"/>
      <c r="AQ262" s="241"/>
      <c r="AR262" s="241"/>
    </row>
    <row r="263">
      <c r="A263" s="385" t="s">
        <v>240</v>
      </c>
      <c r="B263" s="458" t="s">
        <v>219</v>
      </c>
      <c r="C263" s="313">
        <v>10.0</v>
      </c>
      <c r="D263" s="313">
        <v>1.0</v>
      </c>
      <c r="E263" s="313" t="s">
        <v>167</v>
      </c>
      <c r="F263" s="313" t="s">
        <v>167</v>
      </c>
      <c r="G263" s="317" t="s">
        <v>168</v>
      </c>
      <c r="H263" s="313">
        <v>4.0</v>
      </c>
      <c r="I263" s="252" t="s">
        <v>178</v>
      </c>
      <c r="J263" s="252" t="s">
        <v>178</v>
      </c>
      <c r="K263" s="258" t="s">
        <v>178</v>
      </c>
      <c r="L263" s="258"/>
      <c r="M263" s="250"/>
      <c r="N263" s="233"/>
      <c r="O263" s="233"/>
      <c r="P263" s="233"/>
      <c r="Q263" s="233"/>
      <c r="R263" s="233"/>
      <c r="S263" s="233"/>
      <c r="T263" s="233"/>
      <c r="U263" s="233"/>
      <c r="V263" s="233"/>
      <c r="W263" s="233"/>
      <c r="X263" s="233"/>
      <c r="Y263" s="233"/>
      <c r="Z263" s="312"/>
      <c r="AA263" s="243"/>
      <c r="AB263" s="243"/>
      <c r="AC263" s="243"/>
      <c r="AD263" s="243"/>
      <c r="AE263" s="243"/>
      <c r="AF263" s="243"/>
      <c r="AG263" s="243"/>
      <c r="AH263" s="243"/>
      <c r="AI263" s="243"/>
      <c r="AJ263" s="243"/>
      <c r="AK263" s="241"/>
      <c r="AL263" s="241"/>
      <c r="AM263" s="241"/>
      <c r="AN263" s="241"/>
      <c r="AO263" s="241"/>
      <c r="AP263" s="241"/>
      <c r="AQ263" s="241"/>
      <c r="AR263" s="241"/>
    </row>
    <row r="264">
      <c r="A264" s="385" t="s">
        <v>240</v>
      </c>
      <c r="B264" s="458" t="s">
        <v>593</v>
      </c>
      <c r="C264" s="313">
        <v>8.0</v>
      </c>
      <c r="D264" s="313">
        <v>0.75</v>
      </c>
      <c r="E264" s="313" t="s">
        <v>167</v>
      </c>
      <c r="F264" s="317" t="s">
        <v>168</v>
      </c>
      <c r="G264" s="264" t="s">
        <v>167</v>
      </c>
      <c r="H264" s="313">
        <v>6.0</v>
      </c>
      <c r="I264" s="313" t="s">
        <v>173</v>
      </c>
      <c r="J264" s="255" t="str">
        <f>address(ROW($C$541),COLUMN($C$541))</f>
        <v>$C$541</v>
      </c>
      <c r="K264" s="250" t="str">
        <f>address(ROW($B$568),COLUMN($B$568))</f>
        <v>$B$568</v>
      </c>
      <c r="L264" s="250"/>
      <c r="M264" s="250"/>
      <c r="N264" s="233"/>
      <c r="O264" s="233"/>
      <c r="P264" s="233"/>
      <c r="Q264" s="233"/>
      <c r="R264" s="233"/>
      <c r="S264" s="233"/>
      <c r="T264" s="233"/>
      <c r="U264" s="233"/>
      <c r="V264" s="233"/>
      <c r="W264" s="233"/>
      <c r="X264" s="233"/>
      <c r="Y264" s="233"/>
      <c r="Z264" s="312"/>
      <c r="AA264" s="243"/>
      <c r="AB264" s="243"/>
      <c r="AC264" s="243"/>
      <c r="AD264" s="243"/>
      <c r="AE264" s="243"/>
      <c r="AF264" s="243"/>
      <c r="AG264" s="243"/>
      <c r="AH264" s="243"/>
      <c r="AI264" s="243"/>
      <c r="AJ264" s="243"/>
      <c r="AK264" s="241"/>
      <c r="AL264" s="241"/>
      <c r="AM264" s="241"/>
      <c r="AN264" s="241"/>
      <c r="AO264" s="241"/>
      <c r="AP264" s="241"/>
      <c r="AQ264" s="241"/>
      <c r="AR264" s="241"/>
    </row>
    <row r="265">
      <c r="A265" s="385" t="s">
        <v>240</v>
      </c>
      <c r="B265" s="458" t="s">
        <v>594</v>
      </c>
      <c r="C265" s="313">
        <v>8.0</v>
      </c>
      <c r="D265" s="313">
        <v>0.75</v>
      </c>
      <c r="E265" s="317" t="s">
        <v>168</v>
      </c>
      <c r="F265" s="313" t="s">
        <v>167</v>
      </c>
      <c r="G265" s="317" t="s">
        <v>168</v>
      </c>
      <c r="H265" s="313">
        <v>8.0</v>
      </c>
      <c r="I265" s="252" t="s">
        <v>178</v>
      </c>
      <c r="J265" s="252" t="s">
        <v>178</v>
      </c>
      <c r="K265" s="258" t="s">
        <v>178</v>
      </c>
      <c r="L265" s="258"/>
      <c r="M265" s="250"/>
      <c r="N265" s="233"/>
      <c r="O265" s="233"/>
      <c r="P265" s="233"/>
      <c r="Q265" s="233"/>
      <c r="R265" s="233"/>
      <c r="S265" s="233"/>
      <c r="T265" s="233"/>
      <c r="U265" s="233"/>
      <c r="V265" s="233"/>
      <c r="W265" s="233"/>
      <c r="X265" s="233"/>
      <c r="Y265" s="233"/>
      <c r="Z265" s="312"/>
      <c r="AA265" s="243"/>
      <c r="AB265" s="243"/>
      <c r="AC265" s="243"/>
      <c r="AD265" s="243"/>
      <c r="AE265" s="243"/>
      <c r="AF265" s="243"/>
      <c r="AG265" s="243"/>
      <c r="AH265" s="243"/>
      <c r="AI265" s="243"/>
      <c r="AJ265" s="243"/>
      <c r="AK265" s="241"/>
      <c r="AL265" s="241"/>
      <c r="AM265" s="241"/>
      <c r="AN265" s="241"/>
      <c r="AO265" s="241"/>
      <c r="AP265" s="241"/>
      <c r="AQ265" s="241"/>
      <c r="AR265" s="241"/>
    </row>
    <row r="266">
      <c r="A266" s="385" t="s">
        <v>240</v>
      </c>
      <c r="B266" s="458" t="s">
        <v>533</v>
      </c>
      <c r="C266" s="313">
        <v>10.0</v>
      </c>
      <c r="D266" s="313">
        <v>1.0</v>
      </c>
      <c r="E266" s="316" t="s">
        <v>167</v>
      </c>
      <c r="F266" s="317" t="s">
        <v>168</v>
      </c>
      <c r="G266" s="317" t="s">
        <v>168</v>
      </c>
      <c r="H266" s="313">
        <v>4.0</v>
      </c>
      <c r="I266" s="252" t="s">
        <v>178</v>
      </c>
      <c r="J266" s="252" t="s">
        <v>178</v>
      </c>
      <c r="K266" s="258" t="s">
        <v>178</v>
      </c>
      <c r="L266" s="258"/>
      <c r="M266" s="250"/>
      <c r="N266" s="233"/>
      <c r="O266" s="233"/>
      <c r="P266" s="233"/>
      <c r="Q266" s="233"/>
      <c r="R266" s="233"/>
      <c r="S266" s="233"/>
      <c r="T266" s="233"/>
      <c r="U266" s="233"/>
      <c r="V266" s="233"/>
      <c r="W266" s="233"/>
      <c r="X266" s="233"/>
      <c r="Y266" s="233"/>
      <c r="Z266" s="312"/>
      <c r="AA266" s="243"/>
      <c r="AB266" s="243"/>
      <c r="AC266" s="243"/>
      <c r="AD266" s="243"/>
      <c r="AE266" s="243"/>
      <c r="AF266" s="243"/>
      <c r="AG266" s="243"/>
      <c r="AH266" s="243"/>
      <c r="AI266" s="243"/>
      <c r="AJ266" s="243"/>
      <c r="AK266" s="241"/>
      <c r="AL266" s="241"/>
      <c r="AM266" s="241"/>
      <c r="AN266" s="241"/>
      <c r="AO266" s="241"/>
      <c r="AP266" s="241"/>
      <c r="AQ266" s="241"/>
      <c r="AR266" s="241"/>
    </row>
    <row r="267">
      <c r="A267" s="385" t="s">
        <v>240</v>
      </c>
      <c r="B267" s="458" t="s">
        <v>598</v>
      </c>
      <c r="C267" s="313">
        <v>6.0</v>
      </c>
      <c r="D267" s="313">
        <v>0.5</v>
      </c>
      <c r="E267" s="317" t="s">
        <v>168</v>
      </c>
      <c r="F267" s="317" t="s">
        <v>168</v>
      </c>
      <c r="G267" s="313" t="s">
        <v>167</v>
      </c>
      <c r="H267" s="313">
        <v>4.0</v>
      </c>
      <c r="I267" s="255" t="s">
        <v>184</v>
      </c>
      <c r="J267" s="255" t="str">
        <f t="shared" ref="J267:J268" si="15">address(ROW($B$541),COLUMN($B$541))</f>
        <v>$B$541</v>
      </c>
      <c r="K267" s="250" t="str">
        <f t="shared" ref="K267:K268" si="16">address(ROW($B$546),COLUMN($B$546))</f>
        <v>$B$546</v>
      </c>
      <c r="L267" s="250"/>
      <c r="M267" s="250"/>
      <c r="N267" s="233"/>
      <c r="O267" s="233"/>
      <c r="P267" s="233"/>
      <c r="Q267" s="233"/>
      <c r="R267" s="233"/>
      <c r="S267" s="233"/>
      <c r="T267" s="233"/>
      <c r="U267" s="233"/>
      <c r="V267" s="233"/>
      <c r="W267" s="233"/>
      <c r="X267" s="233"/>
      <c r="Y267" s="233"/>
      <c r="Z267" s="312"/>
      <c r="AA267" s="243"/>
      <c r="AB267" s="243"/>
      <c r="AC267" s="243"/>
      <c r="AD267" s="243"/>
      <c r="AE267" s="243"/>
      <c r="AF267" s="243"/>
      <c r="AG267" s="243"/>
      <c r="AH267" s="243"/>
      <c r="AI267" s="243"/>
      <c r="AJ267" s="243"/>
      <c r="AK267" s="241"/>
      <c r="AL267" s="241"/>
      <c r="AM267" s="241"/>
      <c r="AN267" s="241"/>
      <c r="AO267" s="241"/>
      <c r="AP267" s="241"/>
      <c r="AQ267" s="241"/>
      <c r="AR267" s="241"/>
    </row>
    <row r="268">
      <c r="A268" s="385" t="s">
        <v>240</v>
      </c>
      <c r="B268" s="458" t="s">
        <v>599</v>
      </c>
      <c r="C268" s="313">
        <v>6.0</v>
      </c>
      <c r="D268" s="313">
        <v>0.5</v>
      </c>
      <c r="E268" s="317" t="s">
        <v>168</v>
      </c>
      <c r="F268" s="317" t="s">
        <v>168</v>
      </c>
      <c r="G268" s="313" t="s">
        <v>167</v>
      </c>
      <c r="H268" s="313">
        <v>4.0</v>
      </c>
      <c r="I268" s="255" t="s">
        <v>184</v>
      </c>
      <c r="J268" s="255" t="str">
        <f t="shared" si="15"/>
        <v>$B$541</v>
      </c>
      <c r="K268" s="250" t="str">
        <f t="shared" si="16"/>
        <v>$B$546</v>
      </c>
      <c r="L268" s="250"/>
      <c r="M268" s="250"/>
      <c r="N268" s="233"/>
      <c r="O268" s="233"/>
      <c r="P268" s="233"/>
      <c r="Q268" s="233"/>
      <c r="R268" s="233"/>
      <c r="S268" s="233"/>
      <c r="T268" s="233"/>
      <c r="U268" s="233"/>
      <c r="V268" s="233"/>
      <c r="W268" s="233"/>
      <c r="X268" s="233"/>
      <c r="Y268" s="233"/>
      <c r="Z268" s="312"/>
      <c r="AA268" s="243"/>
      <c r="AB268" s="243"/>
      <c r="AC268" s="243"/>
      <c r="AD268" s="243"/>
      <c r="AE268" s="243"/>
      <c r="AF268" s="243"/>
      <c r="AG268" s="243"/>
      <c r="AH268" s="243"/>
      <c r="AI268" s="243"/>
      <c r="AJ268" s="243"/>
      <c r="AK268" s="241"/>
      <c r="AL268" s="241"/>
      <c r="AM268" s="241"/>
      <c r="AN268" s="241"/>
      <c r="AO268" s="241"/>
      <c r="AP268" s="241"/>
      <c r="AQ268" s="241"/>
      <c r="AR268" s="241"/>
    </row>
    <row r="269">
      <c r="A269" s="385" t="s">
        <v>240</v>
      </c>
      <c r="B269" s="458" t="s">
        <v>601</v>
      </c>
      <c r="C269" s="313">
        <v>12.0</v>
      </c>
      <c r="D269" s="313">
        <v>1.0</v>
      </c>
      <c r="E269" s="316" t="s">
        <v>167</v>
      </c>
      <c r="F269" s="317" t="s">
        <v>168</v>
      </c>
      <c r="G269" s="317" t="s">
        <v>168</v>
      </c>
      <c r="H269" s="313">
        <v>4.0</v>
      </c>
      <c r="I269" s="252" t="s">
        <v>178</v>
      </c>
      <c r="J269" s="252" t="s">
        <v>178</v>
      </c>
      <c r="K269" s="258" t="s">
        <v>178</v>
      </c>
      <c r="L269" s="258"/>
      <c r="M269" s="250"/>
      <c r="N269" s="233"/>
      <c r="O269" s="233"/>
      <c r="P269" s="233"/>
      <c r="Q269" s="233"/>
      <c r="R269" s="233"/>
      <c r="S269" s="233"/>
      <c r="T269" s="233"/>
      <c r="U269" s="233"/>
      <c r="V269" s="233"/>
      <c r="W269" s="233"/>
      <c r="X269" s="233"/>
      <c r="Y269" s="233"/>
      <c r="Z269" s="312"/>
      <c r="AA269" s="243"/>
      <c r="AB269" s="243"/>
      <c r="AC269" s="243"/>
      <c r="AD269" s="243"/>
      <c r="AE269" s="243"/>
      <c r="AF269" s="243"/>
      <c r="AG269" s="243"/>
      <c r="AH269" s="243"/>
      <c r="AI269" s="243"/>
      <c r="AJ269" s="243"/>
      <c r="AK269" s="241"/>
      <c r="AL269" s="241"/>
      <c r="AM269" s="241"/>
      <c r="AN269" s="241"/>
      <c r="AO269" s="241"/>
      <c r="AP269" s="241"/>
      <c r="AQ269" s="241"/>
      <c r="AR269" s="241"/>
    </row>
    <row r="270">
      <c r="A270" s="385" t="s">
        <v>240</v>
      </c>
      <c r="B270" s="458" t="s">
        <v>604</v>
      </c>
      <c r="C270" s="313">
        <v>8.0</v>
      </c>
      <c r="D270" s="313">
        <v>0.75</v>
      </c>
      <c r="E270" s="317" t="s">
        <v>168</v>
      </c>
      <c r="F270" s="317" t="s">
        <v>168</v>
      </c>
      <c r="G270" s="313" t="s">
        <v>167</v>
      </c>
      <c r="H270" s="313">
        <v>6.0</v>
      </c>
      <c r="I270" s="315" t="s">
        <v>169</v>
      </c>
      <c r="J270" s="255" t="str">
        <f>address(ROW($B$541),COLUMN($B$541))</f>
        <v>$B$541</v>
      </c>
      <c r="K270" s="250" t="str">
        <f>address(ROW($B$546),COLUMN($B$546))</f>
        <v>$B$546</v>
      </c>
      <c r="L270" s="250"/>
      <c r="M270" s="250"/>
      <c r="N270" s="233"/>
      <c r="O270" s="233"/>
      <c r="P270" s="233"/>
      <c r="Q270" s="233"/>
      <c r="R270" s="233"/>
      <c r="S270" s="233"/>
      <c r="T270" s="233"/>
      <c r="U270" s="233"/>
      <c r="V270" s="233"/>
      <c r="W270" s="233"/>
      <c r="X270" s="233"/>
      <c r="Y270" s="233"/>
      <c r="Z270" s="312"/>
      <c r="AA270" s="243"/>
      <c r="AB270" s="243"/>
      <c r="AC270" s="243"/>
      <c r="AD270" s="243"/>
      <c r="AE270" s="243"/>
      <c r="AF270" s="243"/>
      <c r="AG270" s="243"/>
      <c r="AH270" s="243"/>
      <c r="AI270" s="243"/>
      <c r="AJ270" s="243"/>
      <c r="AK270" s="241"/>
      <c r="AL270" s="241"/>
      <c r="AM270" s="241"/>
      <c r="AN270" s="241"/>
      <c r="AO270" s="241"/>
      <c r="AP270" s="241"/>
      <c r="AQ270" s="241"/>
      <c r="AR270" s="241"/>
    </row>
    <row r="271">
      <c r="A271" s="385" t="s">
        <v>240</v>
      </c>
      <c r="B271" s="458" t="s">
        <v>606</v>
      </c>
      <c r="C271" s="313">
        <v>8.0</v>
      </c>
      <c r="D271" s="313">
        <v>0.75</v>
      </c>
      <c r="E271" s="313" t="s">
        <v>167</v>
      </c>
      <c r="F271" s="313" t="s">
        <v>167</v>
      </c>
      <c r="G271" s="317" t="s">
        <v>168</v>
      </c>
      <c r="H271" s="313">
        <v>4.0</v>
      </c>
      <c r="I271" s="252" t="s">
        <v>178</v>
      </c>
      <c r="J271" s="252" t="s">
        <v>178</v>
      </c>
      <c r="K271" s="258" t="s">
        <v>178</v>
      </c>
      <c r="L271" s="258"/>
      <c r="M271" s="250"/>
      <c r="N271" s="233"/>
      <c r="O271" s="233"/>
      <c r="P271" s="233"/>
      <c r="Q271" s="233"/>
      <c r="R271" s="233"/>
      <c r="S271" s="233"/>
      <c r="T271" s="233"/>
      <c r="U271" s="233"/>
      <c r="V271" s="233"/>
      <c r="W271" s="233"/>
      <c r="X271" s="233"/>
      <c r="Y271" s="233"/>
      <c r="Z271" s="312"/>
      <c r="AA271" s="243"/>
      <c r="AB271" s="243"/>
      <c r="AC271" s="243"/>
      <c r="AD271" s="243"/>
      <c r="AE271" s="243"/>
      <c r="AF271" s="243"/>
      <c r="AG271" s="243"/>
      <c r="AH271" s="243"/>
      <c r="AI271" s="243"/>
      <c r="AJ271" s="243"/>
      <c r="AK271" s="241"/>
      <c r="AL271" s="241"/>
      <c r="AM271" s="241"/>
      <c r="AN271" s="241"/>
      <c r="AO271" s="241"/>
      <c r="AP271" s="241"/>
      <c r="AQ271" s="241"/>
      <c r="AR271" s="241"/>
    </row>
    <row r="272">
      <c r="A272" s="385" t="s">
        <v>240</v>
      </c>
      <c r="B272" s="458" t="s">
        <v>607</v>
      </c>
      <c r="C272" s="313">
        <v>10.0</v>
      </c>
      <c r="D272" s="313">
        <v>1.0</v>
      </c>
      <c r="E272" s="316" t="s">
        <v>167</v>
      </c>
      <c r="F272" s="317" t="s">
        <v>168</v>
      </c>
      <c r="G272" s="317" t="s">
        <v>168</v>
      </c>
      <c r="H272" s="313">
        <v>4.0</v>
      </c>
      <c r="I272" s="252" t="s">
        <v>178</v>
      </c>
      <c r="J272" s="252" t="s">
        <v>178</v>
      </c>
      <c r="K272" s="258" t="s">
        <v>178</v>
      </c>
      <c r="L272" s="258"/>
      <c r="M272" s="250"/>
      <c r="N272" s="233"/>
      <c r="O272" s="233"/>
      <c r="P272" s="233"/>
      <c r="Q272" s="233"/>
      <c r="R272" s="233"/>
      <c r="S272" s="233"/>
      <c r="T272" s="233"/>
      <c r="U272" s="233"/>
      <c r="V272" s="233"/>
      <c r="W272" s="233"/>
      <c r="X272" s="233"/>
      <c r="Y272" s="233"/>
      <c r="Z272" s="312"/>
      <c r="AA272" s="243"/>
      <c r="AB272" s="243"/>
      <c r="AC272" s="243"/>
      <c r="AD272" s="243"/>
      <c r="AE272" s="243"/>
      <c r="AF272" s="243"/>
      <c r="AG272" s="243"/>
      <c r="AH272" s="243"/>
      <c r="AI272" s="243"/>
      <c r="AJ272" s="243"/>
      <c r="AK272" s="241"/>
      <c r="AL272" s="241"/>
      <c r="AM272" s="241"/>
      <c r="AN272" s="241"/>
      <c r="AO272" s="241"/>
      <c r="AP272" s="241"/>
      <c r="AQ272" s="241"/>
      <c r="AR272" s="241"/>
    </row>
    <row r="273">
      <c r="A273" s="385" t="s">
        <v>240</v>
      </c>
      <c r="B273" s="458" t="s">
        <v>182</v>
      </c>
      <c r="C273" s="313">
        <v>8.0</v>
      </c>
      <c r="D273" s="313">
        <v>0.75</v>
      </c>
      <c r="E273" s="316" t="s">
        <v>167</v>
      </c>
      <c r="F273" s="317" t="s">
        <v>168</v>
      </c>
      <c r="G273" s="264" t="s">
        <v>167</v>
      </c>
      <c r="H273" s="313">
        <v>4.0</v>
      </c>
      <c r="I273" s="255" t="s">
        <v>184</v>
      </c>
      <c r="J273" s="255" t="str">
        <f>address(ROW($C$541),COLUMN($C$541))</f>
        <v>$C$541</v>
      </c>
      <c r="K273" s="250" t="str">
        <f>address(ROW($B$568),COLUMN($B$568))</f>
        <v>$B$568</v>
      </c>
      <c r="L273" s="250"/>
      <c r="M273" s="250"/>
      <c r="N273" s="233"/>
      <c r="O273" s="233"/>
      <c r="P273" s="233"/>
      <c r="Q273" s="233"/>
      <c r="R273" s="233"/>
      <c r="S273" s="233"/>
      <c r="T273" s="233"/>
      <c r="U273" s="233"/>
      <c r="V273" s="233"/>
      <c r="W273" s="233"/>
      <c r="X273" s="233"/>
      <c r="Y273" s="233"/>
      <c r="Z273" s="312"/>
      <c r="AA273" s="243"/>
      <c r="AB273" s="243"/>
      <c r="AC273" s="243"/>
      <c r="AD273" s="243"/>
      <c r="AE273" s="243"/>
      <c r="AF273" s="243"/>
      <c r="AG273" s="243"/>
      <c r="AH273" s="243"/>
      <c r="AI273" s="243"/>
      <c r="AJ273" s="243"/>
      <c r="AK273" s="241"/>
      <c r="AL273" s="241"/>
      <c r="AM273" s="241"/>
      <c r="AN273" s="241"/>
      <c r="AO273" s="241"/>
      <c r="AP273" s="241"/>
      <c r="AQ273" s="241"/>
      <c r="AR273" s="241"/>
    </row>
    <row r="274">
      <c r="A274" s="385" t="s">
        <v>240</v>
      </c>
      <c r="B274" s="458" t="s">
        <v>610</v>
      </c>
      <c r="C274" s="313">
        <v>10.0</v>
      </c>
      <c r="D274" s="313">
        <v>1.0</v>
      </c>
      <c r="E274" s="316" t="s">
        <v>167</v>
      </c>
      <c r="F274" s="317" t="s">
        <v>168</v>
      </c>
      <c r="G274" s="264" t="s">
        <v>167</v>
      </c>
      <c r="H274" s="313">
        <v>4.0</v>
      </c>
      <c r="I274" s="313" t="s">
        <v>173</v>
      </c>
      <c r="J274" s="255" t="str">
        <f>address(ROW($D$541),COLUMN($D$541))</f>
        <v>$D$541</v>
      </c>
      <c r="K274" s="250" t="str">
        <f>address(ROW($B$590),COLUMN($B$590))</f>
        <v>$B$590</v>
      </c>
      <c r="L274" s="250"/>
      <c r="M274" s="250"/>
      <c r="N274" s="233"/>
      <c r="O274" s="233"/>
      <c r="P274" s="233"/>
      <c r="Q274" s="233"/>
      <c r="R274" s="233"/>
      <c r="S274" s="233"/>
      <c r="T274" s="233"/>
      <c r="U274" s="233"/>
      <c r="V274" s="233"/>
      <c r="W274" s="233"/>
      <c r="X274" s="233"/>
      <c r="Y274" s="233"/>
      <c r="Z274" s="312"/>
      <c r="AA274" s="243"/>
      <c r="AB274" s="243"/>
      <c r="AC274" s="243"/>
      <c r="AD274" s="243"/>
      <c r="AE274" s="243"/>
      <c r="AF274" s="243"/>
      <c r="AG274" s="243"/>
      <c r="AH274" s="243"/>
      <c r="AI274" s="243"/>
      <c r="AJ274" s="243"/>
      <c r="AK274" s="241"/>
      <c r="AL274" s="241"/>
      <c r="AM274" s="241"/>
      <c r="AN274" s="241"/>
      <c r="AO274" s="241"/>
      <c r="AP274" s="241"/>
      <c r="AQ274" s="241"/>
      <c r="AR274" s="241"/>
    </row>
    <row r="275">
      <c r="A275" s="385" t="s">
        <v>240</v>
      </c>
      <c r="B275" s="458" t="s">
        <v>611</v>
      </c>
      <c r="C275" s="313">
        <v>8.0</v>
      </c>
      <c r="D275" s="313">
        <v>0.75</v>
      </c>
      <c r="E275" s="313" t="s">
        <v>167</v>
      </c>
      <c r="F275" s="313" t="s">
        <v>167</v>
      </c>
      <c r="G275" s="317" t="s">
        <v>168</v>
      </c>
      <c r="H275" s="313">
        <v>4.0</v>
      </c>
      <c r="I275" s="252" t="s">
        <v>178</v>
      </c>
      <c r="J275" s="252" t="s">
        <v>178</v>
      </c>
      <c r="K275" s="258" t="s">
        <v>178</v>
      </c>
      <c r="L275" s="258"/>
      <c r="M275" s="250"/>
      <c r="N275" s="233"/>
      <c r="O275" s="233"/>
      <c r="P275" s="233"/>
      <c r="Q275" s="233"/>
      <c r="R275" s="233"/>
      <c r="S275" s="233"/>
      <c r="T275" s="233"/>
      <c r="U275" s="233"/>
      <c r="V275" s="233"/>
      <c r="W275" s="233"/>
      <c r="X275" s="233"/>
      <c r="Y275" s="233"/>
      <c r="Z275" s="312"/>
      <c r="AA275" s="243"/>
      <c r="AB275" s="243"/>
      <c r="AC275" s="243"/>
      <c r="AD275" s="243"/>
      <c r="AE275" s="243"/>
      <c r="AF275" s="243"/>
      <c r="AG275" s="243"/>
      <c r="AH275" s="243"/>
      <c r="AI275" s="243"/>
      <c r="AJ275" s="243"/>
      <c r="AK275" s="241"/>
      <c r="AL275" s="241"/>
      <c r="AM275" s="241"/>
      <c r="AN275" s="241"/>
      <c r="AO275" s="241"/>
      <c r="AP275" s="241"/>
      <c r="AQ275" s="241"/>
      <c r="AR275" s="241"/>
    </row>
    <row r="276">
      <c r="A276" s="385" t="s">
        <v>240</v>
      </c>
      <c r="B276" s="458" t="s">
        <v>613</v>
      </c>
      <c r="C276" s="313">
        <v>8.0</v>
      </c>
      <c r="D276" s="313">
        <v>0.75</v>
      </c>
      <c r="E276" s="317" t="s">
        <v>168</v>
      </c>
      <c r="F276" s="313" t="s">
        <v>167</v>
      </c>
      <c r="G276" s="317" t="s">
        <v>168</v>
      </c>
      <c r="H276" s="313">
        <v>6.0</v>
      </c>
      <c r="I276" s="252" t="s">
        <v>178</v>
      </c>
      <c r="J276" s="252" t="s">
        <v>178</v>
      </c>
      <c r="K276" s="258" t="s">
        <v>178</v>
      </c>
      <c r="L276" s="258"/>
      <c r="M276" s="250"/>
      <c r="N276" s="233"/>
      <c r="O276" s="233"/>
      <c r="P276" s="233"/>
      <c r="Q276" s="233"/>
      <c r="R276" s="233"/>
      <c r="S276" s="233"/>
      <c r="T276" s="233"/>
      <c r="U276" s="233"/>
      <c r="V276" s="233"/>
      <c r="W276" s="233"/>
      <c r="X276" s="233"/>
      <c r="Y276" s="233"/>
      <c r="Z276" s="312"/>
      <c r="AA276" s="243"/>
      <c r="AB276" s="243"/>
      <c r="AC276" s="243"/>
      <c r="AD276" s="243"/>
      <c r="AE276" s="243"/>
      <c r="AF276" s="243"/>
      <c r="AG276" s="243"/>
      <c r="AH276" s="243"/>
      <c r="AI276" s="243"/>
      <c r="AJ276" s="243"/>
      <c r="AK276" s="241"/>
      <c r="AL276" s="241"/>
      <c r="AM276" s="241"/>
      <c r="AN276" s="241"/>
      <c r="AO276" s="241"/>
      <c r="AP276" s="241"/>
      <c r="AQ276" s="241"/>
      <c r="AR276" s="241"/>
    </row>
    <row r="277">
      <c r="A277" s="385" t="s">
        <v>240</v>
      </c>
      <c r="B277" s="458" t="s">
        <v>616</v>
      </c>
      <c r="C277" s="313">
        <v>8.0</v>
      </c>
      <c r="D277" s="313">
        <v>0.75</v>
      </c>
      <c r="E277" s="316" t="s">
        <v>167</v>
      </c>
      <c r="F277" s="317" t="s">
        <v>168</v>
      </c>
      <c r="G277" s="264" t="s">
        <v>167</v>
      </c>
      <c r="H277" s="313">
        <v>4.0</v>
      </c>
      <c r="I277" s="255" t="s">
        <v>184</v>
      </c>
      <c r="J277" s="255" t="str">
        <f>address(ROW($B$541),COLUMN($B$541))</f>
        <v>$B$541</v>
      </c>
      <c r="K277" s="250" t="str">
        <f>address(ROW($B$546),COLUMN($B$546))</f>
        <v>$B$546</v>
      </c>
      <c r="L277" s="250"/>
      <c r="M277" s="250"/>
      <c r="N277" s="233"/>
      <c r="O277" s="233"/>
      <c r="P277" s="233"/>
      <c r="Q277" s="233"/>
      <c r="R277" s="233"/>
      <c r="S277" s="233"/>
      <c r="T277" s="233"/>
      <c r="U277" s="233"/>
      <c r="V277" s="233"/>
      <c r="W277" s="233"/>
      <c r="X277" s="233"/>
      <c r="Y277" s="233"/>
      <c r="Z277" s="312"/>
      <c r="AA277" s="243"/>
      <c r="AB277" s="243"/>
      <c r="AC277" s="243"/>
      <c r="AD277" s="243"/>
      <c r="AE277" s="243"/>
      <c r="AF277" s="243"/>
      <c r="AG277" s="243"/>
      <c r="AH277" s="243"/>
      <c r="AI277" s="243"/>
      <c r="AJ277" s="243"/>
      <c r="AK277" s="241"/>
      <c r="AL277" s="241"/>
      <c r="AM277" s="241"/>
      <c r="AN277" s="241"/>
      <c r="AO277" s="241"/>
      <c r="AP277" s="241"/>
      <c r="AQ277" s="241"/>
      <c r="AR277" s="241"/>
    </row>
    <row r="278">
      <c r="A278" s="385" t="s">
        <v>240</v>
      </c>
      <c r="B278" s="458" t="s">
        <v>619</v>
      </c>
      <c r="C278" s="313">
        <v>8.0</v>
      </c>
      <c r="D278" s="313">
        <v>0.75</v>
      </c>
      <c r="E278" s="317" t="s">
        <v>168</v>
      </c>
      <c r="F278" s="313" t="s">
        <v>167</v>
      </c>
      <c r="G278" s="317" t="s">
        <v>168</v>
      </c>
      <c r="H278" s="313">
        <v>4.0</v>
      </c>
      <c r="I278" s="252" t="s">
        <v>178</v>
      </c>
      <c r="J278" s="252" t="s">
        <v>178</v>
      </c>
      <c r="K278" s="258" t="s">
        <v>178</v>
      </c>
      <c r="L278" s="258"/>
      <c r="M278" s="250"/>
      <c r="N278" s="233"/>
      <c r="O278" s="233"/>
      <c r="P278" s="233"/>
      <c r="Q278" s="233"/>
      <c r="R278" s="233"/>
      <c r="S278" s="233"/>
      <c r="T278" s="233"/>
      <c r="U278" s="233"/>
      <c r="V278" s="233"/>
      <c r="W278" s="233"/>
      <c r="X278" s="233"/>
      <c r="Y278" s="233"/>
      <c r="Z278" s="312"/>
      <c r="AA278" s="243"/>
      <c r="AB278" s="243"/>
      <c r="AC278" s="243"/>
      <c r="AD278" s="243"/>
      <c r="AE278" s="243"/>
      <c r="AF278" s="243"/>
      <c r="AG278" s="243"/>
      <c r="AH278" s="243"/>
      <c r="AI278" s="243"/>
      <c r="AJ278" s="243"/>
      <c r="AK278" s="241"/>
      <c r="AL278" s="241"/>
      <c r="AM278" s="241"/>
      <c r="AN278" s="241"/>
      <c r="AO278" s="241"/>
      <c r="AP278" s="241"/>
      <c r="AQ278" s="241"/>
      <c r="AR278" s="241"/>
    </row>
    <row r="279">
      <c r="A279" s="385" t="s">
        <v>240</v>
      </c>
      <c r="B279" s="458" t="s">
        <v>622</v>
      </c>
      <c r="C279" s="313">
        <v>10.0</v>
      </c>
      <c r="D279" s="313">
        <v>1.0</v>
      </c>
      <c r="E279" s="316" t="s">
        <v>167</v>
      </c>
      <c r="F279" s="317" t="s">
        <v>168</v>
      </c>
      <c r="G279" s="264" t="s">
        <v>167</v>
      </c>
      <c r="H279" s="313">
        <v>4.0</v>
      </c>
      <c r="I279" s="313" t="s">
        <v>173</v>
      </c>
      <c r="J279" s="255" t="str">
        <f>address(ROW($D$541),COLUMN($D$541))</f>
        <v>$D$541</v>
      </c>
      <c r="K279" s="250" t="str">
        <f>address(ROW($B$590),COLUMN($B$590))</f>
        <v>$B$590</v>
      </c>
      <c r="L279" s="250"/>
      <c r="M279" s="250"/>
      <c r="N279" s="233"/>
      <c r="O279" s="233"/>
      <c r="P279" s="233"/>
      <c r="Q279" s="233"/>
      <c r="R279" s="233"/>
      <c r="S279" s="233"/>
      <c r="T279" s="233"/>
      <c r="U279" s="233"/>
      <c r="V279" s="233"/>
      <c r="W279" s="233"/>
      <c r="X279" s="233"/>
      <c r="Y279" s="233"/>
      <c r="Z279" s="312"/>
      <c r="AA279" s="243"/>
      <c r="AB279" s="243"/>
      <c r="AC279" s="243"/>
      <c r="AD279" s="243"/>
      <c r="AE279" s="243"/>
      <c r="AF279" s="243"/>
      <c r="AG279" s="243"/>
      <c r="AH279" s="243"/>
      <c r="AI279" s="243"/>
      <c r="AJ279" s="243"/>
      <c r="AK279" s="241"/>
      <c r="AL279" s="241"/>
      <c r="AM279" s="241"/>
      <c r="AN279" s="241"/>
      <c r="AO279" s="241"/>
      <c r="AP279" s="241"/>
      <c r="AQ279" s="241"/>
      <c r="AR279" s="241"/>
    </row>
    <row r="280">
      <c r="A280" s="385" t="s">
        <v>240</v>
      </c>
      <c r="B280" s="458" t="s">
        <v>623</v>
      </c>
      <c r="C280" s="313">
        <v>6.0</v>
      </c>
      <c r="D280" s="313">
        <v>0.5</v>
      </c>
      <c r="E280" s="317" t="s">
        <v>168</v>
      </c>
      <c r="F280" s="317" t="s">
        <v>168</v>
      </c>
      <c r="G280" s="313" t="s">
        <v>167</v>
      </c>
      <c r="H280" s="313">
        <v>4.0</v>
      </c>
      <c r="I280" s="313" t="s">
        <v>173</v>
      </c>
      <c r="J280" s="255" t="str">
        <f>address(ROW($B$541),COLUMN($B$541))</f>
        <v>$B$541</v>
      </c>
      <c r="K280" s="250" t="str">
        <f>address(ROW($B$546),COLUMN($B$546))</f>
        <v>$B$546</v>
      </c>
      <c r="L280" s="250"/>
      <c r="M280" s="250"/>
      <c r="N280" s="233"/>
      <c r="O280" s="233"/>
      <c r="P280" s="233"/>
      <c r="Q280" s="233"/>
      <c r="R280" s="233"/>
      <c r="S280" s="233"/>
      <c r="T280" s="233"/>
      <c r="U280" s="233"/>
      <c r="V280" s="233"/>
      <c r="W280" s="233"/>
      <c r="X280" s="233"/>
      <c r="Y280" s="233"/>
      <c r="Z280" s="312"/>
      <c r="AA280" s="243"/>
      <c r="AB280" s="243"/>
      <c r="AC280" s="243"/>
      <c r="AD280" s="243"/>
      <c r="AE280" s="243"/>
      <c r="AF280" s="243"/>
      <c r="AG280" s="243"/>
      <c r="AH280" s="243"/>
      <c r="AI280" s="243"/>
      <c r="AJ280" s="243"/>
      <c r="AK280" s="241"/>
      <c r="AL280" s="241"/>
      <c r="AM280" s="241"/>
      <c r="AN280" s="241"/>
      <c r="AO280" s="241"/>
      <c r="AP280" s="241"/>
      <c r="AQ280" s="241"/>
      <c r="AR280" s="241"/>
    </row>
    <row r="281">
      <c r="A281" s="385" t="s">
        <v>240</v>
      </c>
      <c r="B281" s="458" t="s">
        <v>513</v>
      </c>
      <c r="C281" s="313">
        <v>8.0</v>
      </c>
      <c r="D281" s="313">
        <v>0.75</v>
      </c>
      <c r="E281" s="313" t="s">
        <v>167</v>
      </c>
      <c r="F281" s="313" t="s">
        <v>167</v>
      </c>
      <c r="G281" s="317" t="s">
        <v>168</v>
      </c>
      <c r="H281" s="313">
        <v>4.0</v>
      </c>
      <c r="I281" s="252" t="s">
        <v>178</v>
      </c>
      <c r="J281" s="252" t="s">
        <v>178</v>
      </c>
      <c r="K281" s="258" t="s">
        <v>178</v>
      </c>
      <c r="L281" s="258"/>
      <c r="M281" s="250"/>
      <c r="N281" s="233"/>
      <c r="O281" s="233"/>
      <c r="P281" s="233"/>
      <c r="Q281" s="233"/>
      <c r="R281" s="233"/>
      <c r="S281" s="233"/>
      <c r="T281" s="233"/>
      <c r="U281" s="233"/>
      <c r="V281" s="233"/>
      <c r="W281" s="233"/>
      <c r="X281" s="233"/>
      <c r="Y281" s="233"/>
      <c r="Z281" s="312"/>
      <c r="AA281" s="243"/>
      <c r="AB281" s="243"/>
      <c r="AC281" s="243"/>
      <c r="AD281" s="243"/>
      <c r="AE281" s="243"/>
      <c r="AF281" s="243"/>
      <c r="AG281" s="243"/>
      <c r="AH281" s="243"/>
      <c r="AI281" s="243"/>
      <c r="AJ281" s="243"/>
      <c r="AK281" s="241"/>
      <c r="AL281" s="241"/>
      <c r="AM281" s="241"/>
      <c r="AN281" s="241"/>
      <c r="AO281" s="241"/>
      <c r="AP281" s="241"/>
      <c r="AQ281" s="241"/>
      <c r="AR281" s="241"/>
    </row>
    <row r="282">
      <c r="A282" s="385" t="s">
        <v>240</v>
      </c>
      <c r="B282" s="458" t="s">
        <v>625</v>
      </c>
      <c r="C282" s="313">
        <v>6.0</v>
      </c>
      <c r="D282" s="313">
        <v>0.5</v>
      </c>
      <c r="E282" s="317" t="s">
        <v>168</v>
      </c>
      <c r="F282" s="317" t="s">
        <v>168</v>
      </c>
      <c r="G282" s="313" t="s">
        <v>167</v>
      </c>
      <c r="H282" s="313">
        <v>4.0</v>
      </c>
      <c r="I282" s="313" t="s">
        <v>173</v>
      </c>
      <c r="J282" s="255" t="str">
        <f t="shared" ref="J282:J284" si="17">address(ROW($B$541),COLUMN($B$541))</f>
        <v>$B$541</v>
      </c>
      <c r="K282" s="250" t="str">
        <f t="shared" ref="K282:K284" si="18">address(ROW($B$546),COLUMN($B$546))</f>
        <v>$B$546</v>
      </c>
      <c r="L282" s="250"/>
      <c r="M282" s="250"/>
      <c r="N282" s="233"/>
      <c r="O282" s="233"/>
      <c r="P282" s="233"/>
      <c r="Q282" s="233"/>
      <c r="R282" s="233"/>
      <c r="S282" s="233"/>
      <c r="T282" s="233"/>
      <c r="U282" s="233"/>
      <c r="V282" s="233"/>
      <c r="W282" s="233"/>
      <c r="X282" s="233"/>
      <c r="Y282" s="233"/>
      <c r="Z282" s="312"/>
      <c r="AA282" s="243"/>
      <c r="AB282" s="243"/>
      <c r="AC282" s="243"/>
      <c r="AD282" s="243"/>
      <c r="AE282" s="243"/>
      <c r="AF282" s="243"/>
      <c r="AG282" s="243"/>
      <c r="AH282" s="243"/>
      <c r="AI282" s="243"/>
      <c r="AJ282" s="243"/>
      <c r="AK282" s="241"/>
      <c r="AL282" s="241"/>
      <c r="AM282" s="241"/>
      <c r="AN282" s="241"/>
      <c r="AO282" s="241"/>
      <c r="AP282" s="241"/>
      <c r="AQ282" s="241"/>
      <c r="AR282" s="241"/>
    </row>
    <row r="283">
      <c r="A283" s="385" t="s">
        <v>240</v>
      </c>
      <c r="B283" s="458" t="s">
        <v>244</v>
      </c>
      <c r="C283" s="313">
        <v>6.0</v>
      </c>
      <c r="D283" s="313">
        <v>0.5</v>
      </c>
      <c r="E283" s="317" t="s">
        <v>168</v>
      </c>
      <c r="F283" s="317" t="s">
        <v>168</v>
      </c>
      <c r="G283" s="313" t="s">
        <v>167</v>
      </c>
      <c r="H283" s="313">
        <v>4.0</v>
      </c>
      <c r="I283" s="313" t="s">
        <v>173</v>
      </c>
      <c r="J283" s="255" t="str">
        <f t="shared" si="17"/>
        <v>$B$541</v>
      </c>
      <c r="K283" s="250" t="str">
        <f t="shared" si="18"/>
        <v>$B$546</v>
      </c>
      <c r="L283" s="250"/>
      <c r="M283" s="250"/>
      <c r="N283" s="233"/>
      <c r="O283" s="233"/>
      <c r="P283" s="233"/>
      <c r="Q283" s="233"/>
      <c r="R283" s="233"/>
      <c r="S283" s="233"/>
      <c r="T283" s="233"/>
      <c r="U283" s="233"/>
      <c r="V283" s="233"/>
      <c r="W283" s="233"/>
      <c r="X283" s="233"/>
      <c r="Y283" s="233"/>
      <c r="Z283" s="312"/>
      <c r="AA283" s="243"/>
      <c r="AB283" s="243"/>
      <c r="AC283" s="243"/>
      <c r="AD283" s="243"/>
      <c r="AE283" s="243"/>
      <c r="AF283" s="243"/>
      <c r="AG283" s="243"/>
      <c r="AH283" s="243"/>
      <c r="AI283" s="243"/>
      <c r="AJ283" s="243"/>
      <c r="AK283" s="241"/>
      <c r="AL283" s="241"/>
      <c r="AM283" s="241"/>
      <c r="AN283" s="241"/>
      <c r="AO283" s="241"/>
      <c r="AP283" s="241"/>
      <c r="AQ283" s="241"/>
      <c r="AR283" s="241"/>
    </row>
    <row r="284">
      <c r="A284" s="385" t="s">
        <v>240</v>
      </c>
      <c r="B284" s="458" t="s">
        <v>630</v>
      </c>
      <c r="C284" s="313">
        <v>6.0</v>
      </c>
      <c r="D284" s="313">
        <v>0.5</v>
      </c>
      <c r="E284" s="317" t="s">
        <v>168</v>
      </c>
      <c r="F284" s="317" t="s">
        <v>168</v>
      </c>
      <c r="G284" s="313" t="s">
        <v>167</v>
      </c>
      <c r="H284" s="313">
        <v>4.0</v>
      </c>
      <c r="I284" s="315" t="s">
        <v>169</v>
      </c>
      <c r="J284" s="255" t="str">
        <f t="shared" si="17"/>
        <v>$B$541</v>
      </c>
      <c r="K284" s="250" t="str">
        <f t="shared" si="18"/>
        <v>$B$546</v>
      </c>
      <c r="L284" s="250"/>
      <c r="M284" s="250"/>
      <c r="N284" s="233"/>
      <c r="O284" s="233"/>
      <c r="P284" s="233"/>
      <c r="Q284" s="233"/>
      <c r="R284" s="233"/>
      <c r="S284" s="233"/>
      <c r="T284" s="233"/>
      <c r="U284" s="233"/>
      <c r="V284" s="233"/>
      <c r="W284" s="233"/>
      <c r="X284" s="233"/>
      <c r="Y284" s="233"/>
      <c r="Z284" s="312"/>
      <c r="AA284" s="243"/>
      <c r="AB284" s="243"/>
      <c r="AC284" s="243"/>
      <c r="AD284" s="243"/>
      <c r="AE284" s="243"/>
      <c r="AF284" s="243"/>
      <c r="AG284" s="243"/>
      <c r="AH284" s="243"/>
      <c r="AI284" s="243"/>
      <c r="AJ284" s="243"/>
      <c r="AK284" s="241"/>
      <c r="AL284" s="241"/>
      <c r="AM284" s="241"/>
      <c r="AN284" s="241"/>
      <c r="AO284" s="241"/>
      <c r="AP284" s="241"/>
      <c r="AQ284" s="241"/>
      <c r="AR284" s="241"/>
    </row>
    <row r="285">
      <c r="A285" s="385" t="s">
        <v>240</v>
      </c>
      <c r="B285" s="458" t="s">
        <v>631</v>
      </c>
      <c r="C285" s="313">
        <v>10.0</v>
      </c>
      <c r="D285" s="313">
        <v>1.0</v>
      </c>
      <c r="E285" s="313" t="s">
        <v>167</v>
      </c>
      <c r="F285" s="313" t="s">
        <v>167</v>
      </c>
      <c r="G285" s="317" t="s">
        <v>168</v>
      </c>
      <c r="H285" s="313">
        <v>4.0</v>
      </c>
      <c r="I285" s="252" t="s">
        <v>178</v>
      </c>
      <c r="J285" s="252" t="s">
        <v>178</v>
      </c>
      <c r="K285" s="258" t="s">
        <v>178</v>
      </c>
      <c r="L285" s="258"/>
      <c r="M285" s="250"/>
      <c r="N285" s="233"/>
      <c r="O285" s="233"/>
      <c r="P285" s="233"/>
      <c r="Q285" s="233"/>
      <c r="R285" s="233"/>
      <c r="S285" s="233"/>
      <c r="T285" s="233"/>
      <c r="U285" s="233"/>
      <c r="V285" s="233"/>
      <c r="W285" s="233"/>
      <c r="X285" s="233"/>
      <c r="Y285" s="233"/>
      <c r="Z285" s="312"/>
      <c r="AA285" s="243"/>
      <c r="AB285" s="243"/>
      <c r="AC285" s="243"/>
      <c r="AD285" s="243"/>
      <c r="AE285" s="243"/>
      <c r="AF285" s="243"/>
      <c r="AG285" s="243"/>
      <c r="AH285" s="243"/>
      <c r="AI285" s="243"/>
      <c r="AJ285" s="243"/>
      <c r="AK285" s="241"/>
      <c r="AL285" s="241"/>
      <c r="AM285" s="241"/>
      <c r="AN285" s="241"/>
      <c r="AO285" s="241"/>
      <c r="AP285" s="241"/>
      <c r="AQ285" s="241"/>
      <c r="AR285" s="241"/>
    </row>
    <row r="286">
      <c r="A286" s="385" t="s">
        <v>240</v>
      </c>
      <c r="B286" s="458" t="s">
        <v>632</v>
      </c>
      <c r="C286" s="313">
        <v>8.0</v>
      </c>
      <c r="D286" s="313">
        <v>0.75</v>
      </c>
      <c r="E286" s="313" t="s">
        <v>167</v>
      </c>
      <c r="F286" s="313" t="s">
        <v>167</v>
      </c>
      <c r="G286" s="317" t="s">
        <v>168</v>
      </c>
      <c r="H286" s="313">
        <v>4.0</v>
      </c>
      <c r="I286" s="252" t="s">
        <v>178</v>
      </c>
      <c r="J286" s="252" t="s">
        <v>178</v>
      </c>
      <c r="K286" s="258" t="s">
        <v>178</v>
      </c>
      <c r="L286" s="258"/>
      <c r="M286" s="250"/>
      <c r="N286" s="233"/>
      <c r="O286" s="233"/>
      <c r="P286" s="233"/>
      <c r="Q286" s="233"/>
      <c r="R286" s="233"/>
      <c r="S286" s="233"/>
      <c r="T286" s="233"/>
      <c r="U286" s="233"/>
      <c r="V286" s="233"/>
      <c r="W286" s="233"/>
      <c r="X286" s="233"/>
      <c r="Y286" s="233"/>
      <c r="Z286" s="312"/>
      <c r="AA286" s="243"/>
      <c r="AB286" s="243"/>
      <c r="AC286" s="243"/>
      <c r="AD286" s="243"/>
      <c r="AE286" s="243"/>
      <c r="AF286" s="243"/>
      <c r="AG286" s="243"/>
      <c r="AH286" s="243"/>
      <c r="AI286" s="243"/>
      <c r="AJ286" s="243"/>
      <c r="AK286" s="241"/>
      <c r="AL286" s="241"/>
      <c r="AM286" s="241"/>
      <c r="AN286" s="241"/>
      <c r="AO286" s="241"/>
      <c r="AP286" s="241"/>
      <c r="AQ286" s="241"/>
      <c r="AR286" s="241"/>
    </row>
    <row r="287">
      <c r="A287" s="385" t="s">
        <v>240</v>
      </c>
      <c r="B287" s="458" t="s">
        <v>190</v>
      </c>
      <c r="C287" s="313">
        <v>8.0</v>
      </c>
      <c r="D287" s="313">
        <v>0.75</v>
      </c>
      <c r="E287" s="313" t="s">
        <v>167</v>
      </c>
      <c r="F287" s="317" t="s">
        <v>168</v>
      </c>
      <c r="G287" s="313" t="s">
        <v>167</v>
      </c>
      <c r="H287" s="313">
        <v>4.0</v>
      </c>
      <c r="I287" s="255" t="s">
        <v>184</v>
      </c>
      <c r="J287" s="255" t="str">
        <f>address(ROW($B$541),COLUMN($B$541))</f>
        <v>$B$541</v>
      </c>
      <c r="K287" s="250" t="str">
        <f>address(ROW($B$546),COLUMN($B$546))</f>
        <v>$B$546</v>
      </c>
      <c r="L287" s="250"/>
      <c r="M287" s="250"/>
      <c r="N287" s="233"/>
      <c r="O287" s="233"/>
      <c r="P287" s="233"/>
      <c r="Q287" s="233"/>
      <c r="R287" s="233"/>
      <c r="S287" s="233"/>
      <c r="T287" s="233"/>
      <c r="U287" s="233"/>
      <c r="V287" s="233"/>
      <c r="W287" s="233"/>
      <c r="X287" s="233"/>
      <c r="Y287" s="233"/>
      <c r="Z287" s="312"/>
      <c r="AA287" s="243"/>
      <c r="AB287" s="243"/>
      <c r="AC287" s="243"/>
      <c r="AD287" s="243"/>
      <c r="AE287" s="243"/>
      <c r="AF287" s="243"/>
      <c r="AG287" s="243"/>
      <c r="AH287" s="243"/>
      <c r="AI287" s="243"/>
      <c r="AJ287" s="243"/>
      <c r="AK287" s="241"/>
      <c r="AL287" s="241"/>
      <c r="AM287" s="241"/>
      <c r="AN287" s="241"/>
      <c r="AO287" s="241"/>
      <c r="AP287" s="241"/>
      <c r="AQ287" s="241"/>
      <c r="AR287" s="241"/>
    </row>
    <row r="288">
      <c r="A288" s="385" t="s">
        <v>240</v>
      </c>
      <c r="B288" s="458" t="s">
        <v>635</v>
      </c>
      <c r="C288" s="313">
        <v>10.0</v>
      </c>
      <c r="D288" s="313">
        <v>1.0</v>
      </c>
      <c r="E288" s="317" t="s">
        <v>168</v>
      </c>
      <c r="F288" s="313" t="s">
        <v>167</v>
      </c>
      <c r="G288" s="317" t="s">
        <v>168</v>
      </c>
      <c r="H288" s="313">
        <v>4.0</v>
      </c>
      <c r="I288" s="252" t="s">
        <v>178</v>
      </c>
      <c r="J288" s="252" t="s">
        <v>178</v>
      </c>
      <c r="K288" s="258" t="s">
        <v>178</v>
      </c>
      <c r="L288" s="258"/>
      <c r="M288" s="250"/>
      <c r="N288" s="233"/>
      <c r="O288" s="233"/>
      <c r="P288" s="233"/>
      <c r="Q288" s="233"/>
      <c r="R288" s="233"/>
      <c r="S288" s="233"/>
      <c r="T288" s="233"/>
      <c r="U288" s="233"/>
      <c r="V288" s="233"/>
      <c r="W288" s="233"/>
      <c r="X288" s="233"/>
      <c r="Y288" s="233"/>
      <c r="Z288" s="312"/>
      <c r="AA288" s="243"/>
      <c r="AB288" s="243"/>
      <c r="AC288" s="243"/>
      <c r="AD288" s="243"/>
      <c r="AE288" s="243"/>
      <c r="AF288" s="243"/>
      <c r="AG288" s="243"/>
      <c r="AH288" s="243"/>
      <c r="AI288" s="243"/>
      <c r="AJ288" s="243"/>
      <c r="AK288" s="241"/>
      <c r="AL288" s="241"/>
      <c r="AM288" s="241"/>
      <c r="AN288" s="241"/>
      <c r="AO288" s="241"/>
      <c r="AP288" s="241"/>
      <c r="AQ288" s="241"/>
      <c r="AR288" s="241"/>
    </row>
    <row r="289">
      <c r="A289" s="385" t="s">
        <v>240</v>
      </c>
      <c r="B289" s="458" t="s">
        <v>637</v>
      </c>
      <c r="C289" s="313">
        <v>10.0</v>
      </c>
      <c r="D289" s="313">
        <v>1.0</v>
      </c>
      <c r="E289" s="313" t="s">
        <v>167</v>
      </c>
      <c r="F289" s="313" t="s">
        <v>167</v>
      </c>
      <c r="G289" s="317" t="s">
        <v>168</v>
      </c>
      <c r="H289" s="313">
        <v>4.0</v>
      </c>
      <c r="I289" s="252" t="s">
        <v>178</v>
      </c>
      <c r="J289" s="252" t="s">
        <v>178</v>
      </c>
      <c r="K289" s="258" t="s">
        <v>178</v>
      </c>
      <c r="L289" s="258"/>
      <c r="M289" s="250"/>
      <c r="N289" s="233"/>
      <c r="O289" s="233"/>
      <c r="P289" s="233"/>
      <c r="Q289" s="233"/>
      <c r="R289" s="233"/>
      <c r="S289" s="233"/>
      <c r="T289" s="233"/>
      <c r="U289" s="233"/>
      <c r="V289" s="233"/>
      <c r="W289" s="233"/>
      <c r="X289" s="233"/>
      <c r="Y289" s="233"/>
      <c r="Z289" s="312"/>
      <c r="AA289" s="243"/>
      <c r="AB289" s="243"/>
      <c r="AC289" s="243"/>
      <c r="AD289" s="243"/>
      <c r="AE289" s="243"/>
      <c r="AF289" s="243"/>
      <c r="AG289" s="243"/>
      <c r="AH289" s="243"/>
      <c r="AI289" s="243"/>
      <c r="AJ289" s="243"/>
      <c r="AK289" s="241"/>
      <c r="AL289" s="241"/>
      <c r="AM289" s="241"/>
      <c r="AN289" s="241"/>
      <c r="AO289" s="241"/>
      <c r="AP289" s="241"/>
      <c r="AQ289" s="241"/>
      <c r="AR289" s="241"/>
    </row>
    <row r="290">
      <c r="A290" s="385" t="s">
        <v>240</v>
      </c>
      <c r="B290" s="458" t="s">
        <v>224</v>
      </c>
      <c r="C290" s="313">
        <v>8.0</v>
      </c>
      <c r="D290" s="313">
        <v>0.75</v>
      </c>
      <c r="E290" s="317" t="s">
        <v>168</v>
      </c>
      <c r="F290" s="313" t="s">
        <v>167</v>
      </c>
      <c r="G290" s="317" t="s">
        <v>168</v>
      </c>
      <c r="H290" s="313">
        <v>6.0</v>
      </c>
      <c r="I290" s="255" t="s">
        <v>184</v>
      </c>
      <c r="J290" s="255" t="str">
        <f>address(ROW($B$541),COLUMN($B$541))</f>
        <v>$B$541</v>
      </c>
      <c r="K290" s="250" t="str">
        <f>address(ROW($B$612),COLUMN($B$612))</f>
        <v>$B$612</v>
      </c>
      <c r="L290" s="250"/>
      <c r="M290" s="250"/>
      <c r="N290" s="233"/>
      <c r="O290" s="233"/>
      <c r="P290" s="233"/>
      <c r="Q290" s="233"/>
      <c r="R290" s="233"/>
      <c r="S290" s="233"/>
      <c r="T290" s="233"/>
      <c r="U290" s="233"/>
      <c r="V290" s="233"/>
      <c r="W290" s="233"/>
      <c r="X290" s="233"/>
      <c r="Y290" s="233"/>
      <c r="Z290" s="312"/>
      <c r="AA290" s="243"/>
      <c r="AB290" s="243"/>
      <c r="AC290" s="243"/>
      <c r="AD290" s="243"/>
      <c r="AE290" s="243"/>
      <c r="AF290" s="243"/>
      <c r="AG290" s="243"/>
      <c r="AH290" s="243"/>
      <c r="AI290" s="243"/>
      <c r="AJ290" s="243"/>
      <c r="AK290" s="241"/>
      <c r="AL290" s="241"/>
      <c r="AM290" s="241"/>
      <c r="AN290" s="241"/>
      <c r="AO290" s="241"/>
      <c r="AP290" s="241"/>
      <c r="AQ290" s="241"/>
      <c r="AR290" s="241"/>
    </row>
    <row r="291">
      <c r="A291" s="385" t="s">
        <v>240</v>
      </c>
      <c r="B291" s="458" t="s">
        <v>238</v>
      </c>
      <c r="C291" s="313">
        <v>10.0</v>
      </c>
      <c r="D291" s="313">
        <v>1.0</v>
      </c>
      <c r="E291" s="313" t="s">
        <v>167</v>
      </c>
      <c r="F291" s="317" t="s">
        <v>168</v>
      </c>
      <c r="G291" s="313" t="s">
        <v>167</v>
      </c>
      <c r="H291" s="313">
        <v>4.0</v>
      </c>
      <c r="I291" s="252" t="s">
        <v>178</v>
      </c>
      <c r="J291" s="252" t="s">
        <v>178</v>
      </c>
      <c r="K291" s="258" t="s">
        <v>178</v>
      </c>
      <c r="L291" s="258"/>
      <c r="M291" s="250"/>
      <c r="N291" s="233"/>
      <c r="O291" s="233"/>
      <c r="P291" s="233"/>
      <c r="Q291" s="233"/>
      <c r="R291" s="233"/>
      <c r="S291" s="233"/>
      <c r="T291" s="233"/>
      <c r="U291" s="233"/>
      <c r="V291" s="233"/>
      <c r="W291" s="233"/>
      <c r="X291" s="233"/>
      <c r="Y291" s="233"/>
      <c r="Z291" s="312"/>
      <c r="AA291" s="243"/>
      <c r="AB291" s="243"/>
      <c r="AC291" s="243"/>
      <c r="AD291" s="243"/>
      <c r="AE291" s="243"/>
      <c r="AF291" s="243"/>
      <c r="AG291" s="243"/>
      <c r="AH291" s="243"/>
      <c r="AI291" s="243"/>
      <c r="AJ291" s="243"/>
      <c r="AK291" s="241"/>
      <c r="AL291" s="241"/>
      <c r="AM291" s="241"/>
      <c r="AN291" s="241"/>
      <c r="AO291" s="241"/>
      <c r="AP291" s="241"/>
      <c r="AQ291" s="241"/>
      <c r="AR291" s="241"/>
    </row>
    <row r="292">
      <c r="A292" s="385" t="s">
        <v>240</v>
      </c>
      <c r="B292" s="458" t="s">
        <v>488</v>
      </c>
      <c r="C292" s="313">
        <v>6.0</v>
      </c>
      <c r="D292" s="313">
        <v>0.5</v>
      </c>
      <c r="E292" s="317" t="s">
        <v>168</v>
      </c>
      <c r="F292" s="317" t="s">
        <v>168</v>
      </c>
      <c r="G292" s="313" t="s">
        <v>167</v>
      </c>
      <c r="H292" s="313">
        <v>4.0</v>
      </c>
      <c r="I292" s="255"/>
      <c r="J292" s="255"/>
      <c r="K292" s="250"/>
      <c r="L292" s="250"/>
      <c r="M292" s="250"/>
      <c r="N292" s="233"/>
      <c r="O292" s="233"/>
      <c r="P292" s="233"/>
      <c r="Q292" s="233"/>
      <c r="R292" s="233"/>
      <c r="S292" s="233"/>
      <c r="T292" s="233"/>
      <c r="U292" s="233"/>
      <c r="V292" s="233"/>
      <c r="W292" s="233"/>
      <c r="X292" s="233"/>
      <c r="Y292" s="233"/>
      <c r="Z292" s="312"/>
      <c r="AA292" s="243"/>
      <c r="AB292" s="243"/>
      <c r="AC292" s="243"/>
      <c r="AD292" s="243"/>
      <c r="AE292" s="243"/>
      <c r="AF292" s="243"/>
      <c r="AG292" s="243"/>
      <c r="AH292" s="243"/>
      <c r="AI292" s="243"/>
      <c r="AJ292" s="243"/>
      <c r="AK292" s="241"/>
      <c r="AL292" s="241"/>
      <c r="AM292" s="241"/>
      <c r="AN292" s="241"/>
      <c r="AO292" s="241"/>
      <c r="AP292" s="241"/>
      <c r="AQ292" s="241"/>
      <c r="AR292" s="241"/>
    </row>
    <row r="293">
      <c r="A293" s="385" t="s">
        <v>240</v>
      </c>
      <c r="B293" s="458" t="s">
        <v>640</v>
      </c>
      <c r="C293" s="313">
        <v>10.0</v>
      </c>
      <c r="D293" s="313">
        <v>1.0</v>
      </c>
      <c r="E293" s="313" t="s">
        <v>167</v>
      </c>
      <c r="F293" s="317" t="s">
        <v>168</v>
      </c>
      <c r="G293" s="313" t="s">
        <v>167</v>
      </c>
      <c r="H293" s="313">
        <v>4.0</v>
      </c>
      <c r="I293" s="252" t="s">
        <v>178</v>
      </c>
      <c r="J293" s="252" t="s">
        <v>178</v>
      </c>
      <c r="K293" s="258" t="s">
        <v>178</v>
      </c>
      <c r="L293" s="258"/>
      <c r="M293" s="250"/>
      <c r="N293" s="233"/>
      <c r="O293" s="233"/>
      <c r="P293" s="233"/>
      <c r="Q293" s="233"/>
      <c r="R293" s="233"/>
      <c r="S293" s="233"/>
      <c r="T293" s="233"/>
      <c r="U293" s="233"/>
      <c r="V293" s="233"/>
      <c r="W293" s="233"/>
      <c r="X293" s="233"/>
      <c r="Y293" s="233"/>
      <c r="Z293" s="312"/>
      <c r="AA293" s="243"/>
      <c r="AB293" s="243"/>
      <c r="AC293" s="243"/>
      <c r="AD293" s="243"/>
      <c r="AE293" s="243"/>
      <c r="AF293" s="243"/>
      <c r="AG293" s="243"/>
      <c r="AH293" s="243"/>
      <c r="AI293" s="243"/>
      <c r="AJ293" s="243"/>
      <c r="AK293" s="241"/>
      <c r="AL293" s="241"/>
      <c r="AM293" s="241"/>
      <c r="AN293" s="241"/>
      <c r="AO293" s="241"/>
      <c r="AP293" s="241"/>
      <c r="AQ293" s="241"/>
      <c r="AR293" s="241"/>
    </row>
    <row r="294">
      <c r="A294" s="385" t="s">
        <v>240</v>
      </c>
      <c r="B294" s="458" t="s">
        <v>643</v>
      </c>
      <c r="C294" s="313">
        <v>6.0</v>
      </c>
      <c r="D294" s="313">
        <v>0.5</v>
      </c>
      <c r="E294" s="317" t="s">
        <v>168</v>
      </c>
      <c r="F294" s="317" t="s">
        <v>168</v>
      </c>
      <c r="G294" s="313" t="s">
        <v>167</v>
      </c>
      <c r="H294" s="313">
        <v>4.0</v>
      </c>
      <c r="I294" s="315" t="s">
        <v>169</v>
      </c>
      <c r="J294" s="255" t="str">
        <f>address(ROW($B$541),COLUMN($B$541))</f>
        <v>$B$541</v>
      </c>
      <c r="K294" s="250" t="str">
        <f>address(ROW($B$546),COLUMN($B$546))</f>
        <v>$B$546</v>
      </c>
      <c r="L294" s="250"/>
      <c r="M294" s="250"/>
      <c r="N294" s="233"/>
      <c r="O294" s="233"/>
      <c r="P294" s="233"/>
      <c r="Q294" s="233"/>
      <c r="R294" s="233"/>
      <c r="S294" s="233"/>
      <c r="T294" s="233"/>
      <c r="U294" s="233"/>
      <c r="V294" s="233"/>
      <c r="W294" s="233"/>
      <c r="X294" s="233"/>
      <c r="Y294" s="233"/>
      <c r="Z294" s="312"/>
      <c r="AA294" s="243"/>
      <c r="AB294" s="243"/>
      <c r="AC294" s="243"/>
      <c r="AD294" s="243"/>
      <c r="AE294" s="243"/>
      <c r="AF294" s="243"/>
      <c r="AG294" s="243"/>
      <c r="AH294" s="243"/>
      <c r="AI294" s="243"/>
      <c r="AJ294" s="243"/>
      <c r="AK294" s="241"/>
      <c r="AL294" s="241"/>
      <c r="AM294" s="241"/>
      <c r="AN294" s="241"/>
      <c r="AO294" s="241"/>
      <c r="AP294" s="241"/>
      <c r="AQ294" s="241"/>
      <c r="AR294" s="241"/>
    </row>
    <row r="295">
      <c r="A295" s="385" t="s">
        <v>242</v>
      </c>
      <c r="B295" s="458" t="s">
        <v>645</v>
      </c>
      <c r="C295" s="313">
        <v>10.0</v>
      </c>
      <c r="D295" s="313">
        <v>1.0</v>
      </c>
      <c r="E295" s="313" t="s">
        <v>167</v>
      </c>
      <c r="F295" s="317" t="s">
        <v>168</v>
      </c>
      <c r="G295" s="313" t="s">
        <v>167</v>
      </c>
      <c r="H295" s="313">
        <v>6.0</v>
      </c>
      <c r="I295" s="252" t="s">
        <v>178</v>
      </c>
      <c r="J295" s="252" t="s">
        <v>178</v>
      </c>
      <c r="K295" s="258" t="s">
        <v>178</v>
      </c>
      <c r="L295" s="250"/>
      <c r="M295" s="250" t="str">
        <f t="shared" ref="M295:M305" si="19">IF(AND(ISNUMBER(J295),J295&gt;0),int(J295*L295)&amp;" / "&amp;L295,IF(AND(ISNUMBER(J295),J295=0),"None",))</f>
        <v/>
      </c>
      <c r="N295" s="233"/>
      <c r="O295" s="233"/>
      <c r="P295" s="233"/>
      <c r="Q295" s="233"/>
      <c r="R295" s="233"/>
      <c r="S295" s="233"/>
      <c r="T295" s="233"/>
      <c r="U295" s="233"/>
      <c r="V295" s="233"/>
      <c r="W295" s="233"/>
      <c r="X295" s="233"/>
      <c r="Y295" s="233"/>
      <c r="Z295" s="312"/>
      <c r="AA295" s="243"/>
      <c r="AB295" s="243"/>
      <c r="AC295" s="243"/>
      <c r="AD295" s="243"/>
      <c r="AE295" s="243"/>
      <c r="AF295" s="243"/>
      <c r="AG295" s="243"/>
      <c r="AH295" s="243"/>
      <c r="AI295" s="243"/>
      <c r="AJ295" s="243"/>
      <c r="AK295" s="241"/>
      <c r="AL295" s="241"/>
      <c r="AM295" s="241"/>
      <c r="AN295" s="241"/>
      <c r="AO295" s="241"/>
      <c r="AP295" s="241"/>
      <c r="AQ295" s="241"/>
      <c r="AR295" s="241"/>
    </row>
    <row r="296">
      <c r="A296" s="228"/>
      <c r="B296" s="228"/>
      <c r="C296" s="250"/>
      <c r="D296" s="255"/>
      <c r="E296" s="255"/>
      <c r="F296" s="255"/>
      <c r="G296" s="255"/>
      <c r="H296" s="255"/>
      <c r="I296" s="255"/>
      <c r="J296" s="255"/>
      <c r="K296" s="250"/>
      <c r="L296" s="250"/>
      <c r="M296" s="250" t="str">
        <f t="shared" si="19"/>
        <v/>
      </c>
      <c r="N296" s="233"/>
      <c r="O296" s="233"/>
      <c r="P296" s="233"/>
      <c r="Q296" s="233"/>
      <c r="R296" s="233"/>
      <c r="S296" s="233"/>
      <c r="T296" s="233"/>
      <c r="U296" s="233"/>
      <c r="V296" s="233"/>
      <c r="W296" s="233"/>
      <c r="X296" s="233"/>
      <c r="Y296" s="233"/>
      <c r="Z296" s="312"/>
      <c r="AA296" s="243"/>
      <c r="AB296" s="243"/>
      <c r="AC296" s="243"/>
      <c r="AD296" s="243"/>
      <c r="AE296" s="243"/>
      <c r="AF296" s="243"/>
      <c r="AG296" s="243"/>
      <c r="AH296" s="243"/>
      <c r="AI296" s="243"/>
      <c r="AJ296" s="243"/>
      <c r="AK296" s="241"/>
      <c r="AL296" s="241"/>
      <c r="AM296" s="241"/>
      <c r="AN296" s="241"/>
      <c r="AO296" s="241"/>
      <c r="AP296" s="241"/>
      <c r="AQ296" s="241"/>
      <c r="AR296" s="241"/>
    </row>
    <row r="297">
      <c r="A297" s="228"/>
      <c r="B297" s="228"/>
      <c r="C297" s="250"/>
      <c r="D297" s="255"/>
      <c r="E297" s="255"/>
      <c r="F297" s="255"/>
      <c r="G297" s="255"/>
      <c r="H297" s="255"/>
      <c r="I297" s="255"/>
      <c r="J297" s="255"/>
      <c r="K297" s="250"/>
      <c r="L297" s="250"/>
      <c r="M297" s="250" t="str">
        <f t="shared" si="19"/>
        <v/>
      </c>
      <c r="N297" s="233"/>
      <c r="O297" s="233"/>
      <c r="P297" s="233"/>
      <c r="Q297" s="233"/>
      <c r="R297" s="233"/>
      <c r="S297" s="233"/>
      <c r="T297" s="233"/>
      <c r="U297" s="233"/>
      <c r="V297" s="233"/>
      <c r="W297" s="233"/>
      <c r="X297" s="233"/>
      <c r="Y297" s="233"/>
      <c r="Z297" s="312"/>
      <c r="AA297" s="243"/>
      <c r="AB297" s="243"/>
      <c r="AC297" s="243"/>
      <c r="AD297" s="243"/>
      <c r="AE297" s="243"/>
      <c r="AF297" s="243"/>
      <c r="AG297" s="243"/>
      <c r="AH297" s="243"/>
      <c r="AI297" s="243"/>
      <c r="AJ297" s="243"/>
      <c r="AK297" s="241"/>
      <c r="AL297" s="241"/>
      <c r="AM297" s="241"/>
      <c r="AN297" s="241"/>
      <c r="AO297" s="241"/>
      <c r="AP297" s="241"/>
      <c r="AQ297" s="241"/>
      <c r="AR297" s="241"/>
    </row>
    <row r="298">
      <c r="A298" s="228"/>
      <c r="B298" s="228"/>
      <c r="C298" s="250"/>
      <c r="D298" s="255"/>
      <c r="E298" s="255"/>
      <c r="F298" s="255"/>
      <c r="G298" s="255"/>
      <c r="H298" s="255"/>
      <c r="I298" s="255"/>
      <c r="J298" s="255"/>
      <c r="K298" s="250"/>
      <c r="L298" s="250"/>
      <c r="M298" s="250" t="str">
        <f t="shared" si="19"/>
        <v/>
      </c>
      <c r="N298" s="233"/>
      <c r="O298" s="233"/>
      <c r="P298" s="233"/>
      <c r="Q298" s="233"/>
      <c r="R298" s="233"/>
      <c r="S298" s="233"/>
      <c r="T298" s="233"/>
      <c r="U298" s="233"/>
      <c r="V298" s="233"/>
      <c r="W298" s="233"/>
      <c r="X298" s="233"/>
      <c r="Y298" s="233"/>
      <c r="Z298" s="312"/>
      <c r="AA298" s="243"/>
      <c r="AB298" s="243"/>
      <c r="AC298" s="243"/>
      <c r="AD298" s="243"/>
      <c r="AE298" s="243"/>
      <c r="AF298" s="243"/>
      <c r="AG298" s="243"/>
      <c r="AH298" s="243"/>
      <c r="AI298" s="243"/>
      <c r="AJ298" s="243"/>
      <c r="AK298" s="241"/>
      <c r="AL298" s="241"/>
      <c r="AM298" s="241"/>
      <c r="AN298" s="241"/>
      <c r="AO298" s="241"/>
      <c r="AP298" s="241"/>
      <c r="AQ298" s="241"/>
      <c r="AR298" s="241"/>
    </row>
    <row r="299">
      <c r="A299" s="228"/>
      <c r="B299" s="228"/>
      <c r="C299" s="250"/>
      <c r="D299" s="255"/>
      <c r="E299" s="255"/>
      <c r="F299" s="255"/>
      <c r="G299" s="255"/>
      <c r="H299" s="255"/>
      <c r="I299" s="255"/>
      <c r="J299" s="255"/>
      <c r="K299" s="250"/>
      <c r="L299" s="250"/>
      <c r="M299" s="250" t="str">
        <f t="shared" si="19"/>
        <v/>
      </c>
      <c r="N299" s="233"/>
      <c r="O299" s="233"/>
      <c r="P299" s="233"/>
      <c r="Q299" s="233"/>
      <c r="R299" s="233"/>
      <c r="S299" s="233"/>
      <c r="T299" s="233"/>
      <c r="U299" s="233"/>
      <c r="V299" s="233"/>
      <c r="W299" s="233"/>
      <c r="X299" s="233"/>
      <c r="Y299" s="233"/>
      <c r="Z299" s="312"/>
      <c r="AA299" s="243"/>
      <c r="AB299" s="243"/>
      <c r="AC299" s="243"/>
      <c r="AD299" s="243"/>
      <c r="AE299" s="243"/>
      <c r="AF299" s="243"/>
      <c r="AG299" s="243"/>
      <c r="AH299" s="243"/>
      <c r="AI299" s="243"/>
      <c r="AJ299" s="243"/>
      <c r="AK299" s="241"/>
      <c r="AL299" s="241"/>
      <c r="AM299" s="241"/>
      <c r="AN299" s="241"/>
      <c r="AO299" s="241"/>
      <c r="AP299" s="241"/>
      <c r="AQ299" s="241"/>
      <c r="AR299" s="241"/>
    </row>
    <row r="300">
      <c r="A300" s="228"/>
      <c r="B300" s="228"/>
      <c r="C300" s="250"/>
      <c r="D300" s="255"/>
      <c r="E300" s="255"/>
      <c r="F300" s="255"/>
      <c r="G300" s="255"/>
      <c r="H300" s="255"/>
      <c r="I300" s="255"/>
      <c r="J300" s="255"/>
      <c r="K300" s="250"/>
      <c r="L300" s="250"/>
      <c r="M300" s="250" t="str">
        <f t="shared" si="19"/>
        <v/>
      </c>
      <c r="N300" s="233"/>
      <c r="O300" s="233"/>
      <c r="P300" s="233"/>
      <c r="Q300" s="233"/>
      <c r="R300" s="233"/>
      <c r="S300" s="233"/>
      <c r="T300" s="233"/>
      <c r="U300" s="233"/>
      <c r="V300" s="233"/>
      <c r="W300" s="233"/>
      <c r="X300" s="233"/>
      <c r="Y300" s="233"/>
      <c r="Z300" s="312"/>
      <c r="AA300" s="243"/>
      <c r="AB300" s="243"/>
      <c r="AC300" s="243"/>
      <c r="AD300" s="243"/>
      <c r="AE300" s="243"/>
      <c r="AF300" s="243"/>
      <c r="AG300" s="243"/>
      <c r="AH300" s="243"/>
      <c r="AI300" s="243"/>
      <c r="AJ300" s="243"/>
      <c r="AK300" s="241"/>
      <c r="AL300" s="241"/>
      <c r="AM300" s="241"/>
      <c r="AN300" s="241"/>
      <c r="AO300" s="241"/>
      <c r="AP300" s="241"/>
      <c r="AQ300" s="241"/>
      <c r="AR300" s="241"/>
    </row>
    <row r="301">
      <c r="A301" s="228"/>
      <c r="B301" s="228"/>
      <c r="C301" s="250"/>
      <c r="D301" s="255"/>
      <c r="E301" s="255"/>
      <c r="F301" s="255"/>
      <c r="G301" s="255"/>
      <c r="H301" s="255"/>
      <c r="I301" s="255"/>
      <c r="J301" s="255"/>
      <c r="K301" s="250"/>
      <c r="L301" s="250"/>
      <c r="M301" s="250" t="str">
        <f t="shared" si="19"/>
        <v/>
      </c>
      <c r="N301" s="233"/>
      <c r="O301" s="233"/>
      <c r="P301" s="233"/>
      <c r="Q301" s="233"/>
      <c r="R301" s="233"/>
      <c r="S301" s="233"/>
      <c r="T301" s="233"/>
      <c r="U301" s="233"/>
      <c r="V301" s="233"/>
      <c r="W301" s="233"/>
      <c r="X301" s="233"/>
      <c r="Y301" s="233"/>
      <c r="Z301" s="312"/>
      <c r="AA301" s="243"/>
      <c r="AB301" s="243"/>
      <c r="AC301" s="243"/>
      <c r="AD301" s="243"/>
      <c r="AE301" s="243"/>
      <c r="AF301" s="243"/>
      <c r="AG301" s="243"/>
      <c r="AH301" s="243"/>
      <c r="AI301" s="243"/>
      <c r="AJ301" s="243"/>
      <c r="AK301" s="241"/>
      <c r="AL301" s="241"/>
      <c r="AM301" s="241"/>
      <c r="AN301" s="241"/>
      <c r="AO301" s="241"/>
      <c r="AP301" s="241"/>
      <c r="AQ301" s="241"/>
      <c r="AR301" s="241"/>
    </row>
    <row r="302">
      <c r="A302" s="228"/>
      <c r="B302" s="228"/>
      <c r="C302" s="250"/>
      <c r="D302" s="255"/>
      <c r="E302" s="255"/>
      <c r="F302" s="255"/>
      <c r="G302" s="255"/>
      <c r="H302" s="255"/>
      <c r="I302" s="255"/>
      <c r="J302" s="255"/>
      <c r="K302" s="250"/>
      <c r="L302" s="250"/>
      <c r="M302" s="250" t="str">
        <f t="shared" si="19"/>
        <v/>
      </c>
      <c r="N302" s="233"/>
      <c r="O302" s="233"/>
      <c r="P302" s="233"/>
      <c r="Q302" s="233"/>
      <c r="R302" s="233"/>
      <c r="S302" s="233"/>
      <c r="T302" s="233"/>
      <c r="U302" s="233"/>
      <c r="V302" s="233"/>
      <c r="W302" s="233"/>
      <c r="X302" s="233"/>
      <c r="Y302" s="233"/>
      <c r="Z302" s="312"/>
      <c r="AA302" s="243"/>
      <c r="AB302" s="243"/>
      <c r="AC302" s="243"/>
      <c r="AD302" s="243"/>
      <c r="AE302" s="243"/>
      <c r="AF302" s="243"/>
      <c r="AG302" s="243"/>
      <c r="AH302" s="243"/>
      <c r="AI302" s="243"/>
      <c r="AJ302" s="243"/>
      <c r="AK302" s="241"/>
      <c r="AL302" s="241"/>
      <c r="AM302" s="241"/>
      <c r="AN302" s="241"/>
      <c r="AO302" s="241"/>
      <c r="AP302" s="241"/>
      <c r="AQ302" s="241"/>
      <c r="AR302" s="241"/>
    </row>
    <row r="303">
      <c r="A303" s="228"/>
      <c r="B303" s="228"/>
      <c r="C303" s="250"/>
      <c r="D303" s="255"/>
      <c r="E303" s="255"/>
      <c r="F303" s="255"/>
      <c r="G303" s="255"/>
      <c r="H303" s="255"/>
      <c r="I303" s="255"/>
      <c r="J303" s="255"/>
      <c r="K303" s="250"/>
      <c r="L303" s="250"/>
      <c r="M303" s="250" t="str">
        <f t="shared" si="19"/>
        <v/>
      </c>
      <c r="N303" s="233"/>
      <c r="O303" s="233"/>
      <c r="P303" s="233"/>
      <c r="Q303" s="233"/>
      <c r="R303" s="233"/>
      <c r="S303" s="233"/>
      <c r="T303" s="233"/>
      <c r="U303" s="233"/>
      <c r="V303" s="233"/>
      <c r="W303" s="233"/>
      <c r="X303" s="233"/>
      <c r="Y303" s="233"/>
      <c r="Z303" s="312"/>
      <c r="AA303" s="243"/>
      <c r="AB303" s="243"/>
      <c r="AC303" s="243"/>
      <c r="AD303" s="243"/>
      <c r="AE303" s="243"/>
      <c r="AF303" s="243"/>
      <c r="AG303" s="243"/>
      <c r="AH303" s="243"/>
      <c r="AI303" s="243"/>
      <c r="AJ303" s="243"/>
      <c r="AK303" s="241"/>
      <c r="AL303" s="241"/>
      <c r="AM303" s="241"/>
      <c r="AN303" s="241"/>
      <c r="AO303" s="241"/>
      <c r="AP303" s="241"/>
      <c r="AQ303" s="241"/>
      <c r="AR303" s="241"/>
    </row>
    <row r="304">
      <c r="A304" s="228"/>
      <c r="B304" s="228"/>
      <c r="C304" s="250"/>
      <c r="D304" s="255"/>
      <c r="E304" s="255"/>
      <c r="F304" s="255"/>
      <c r="G304" s="255"/>
      <c r="H304" s="255"/>
      <c r="I304" s="255"/>
      <c r="J304" s="255"/>
      <c r="K304" s="250"/>
      <c r="L304" s="250"/>
      <c r="M304" s="250" t="str">
        <f t="shared" si="19"/>
        <v/>
      </c>
      <c r="N304" s="233"/>
      <c r="O304" s="233"/>
      <c r="P304" s="233"/>
      <c r="Q304" s="233"/>
      <c r="R304" s="233"/>
      <c r="S304" s="233"/>
      <c r="T304" s="233"/>
      <c r="U304" s="233"/>
      <c r="V304" s="233"/>
      <c r="W304" s="233"/>
      <c r="X304" s="233"/>
      <c r="Y304" s="233"/>
      <c r="Z304" s="312"/>
      <c r="AA304" s="243"/>
      <c r="AB304" s="243"/>
      <c r="AC304" s="243"/>
      <c r="AD304" s="243"/>
      <c r="AE304" s="243"/>
      <c r="AF304" s="243"/>
      <c r="AG304" s="243"/>
      <c r="AH304" s="243"/>
      <c r="AI304" s="243"/>
      <c r="AJ304" s="243"/>
      <c r="AK304" s="241"/>
      <c r="AL304" s="241"/>
      <c r="AM304" s="241"/>
      <c r="AN304" s="241"/>
      <c r="AO304" s="241"/>
      <c r="AP304" s="241"/>
      <c r="AQ304" s="241"/>
      <c r="AR304" s="241"/>
    </row>
    <row r="305">
      <c r="A305" s="228"/>
      <c r="B305" s="228"/>
      <c r="C305" s="250"/>
      <c r="D305" s="255"/>
      <c r="E305" s="255"/>
      <c r="F305" s="255"/>
      <c r="G305" s="255"/>
      <c r="H305" s="255"/>
      <c r="I305" s="255"/>
      <c r="J305" s="255"/>
      <c r="K305" s="250"/>
      <c r="L305" s="250"/>
      <c r="M305" s="250" t="str">
        <f t="shared" si="19"/>
        <v/>
      </c>
      <c r="N305" s="233"/>
      <c r="O305" s="233"/>
      <c r="P305" s="233"/>
      <c r="Q305" s="233"/>
      <c r="R305" s="233"/>
      <c r="S305" s="233"/>
      <c r="T305" s="233"/>
      <c r="U305" s="233"/>
      <c r="V305" s="233"/>
      <c r="W305" s="233"/>
      <c r="X305" s="233"/>
      <c r="Y305" s="233"/>
      <c r="Z305" s="312"/>
      <c r="AA305" s="243"/>
      <c r="AB305" s="243"/>
      <c r="AC305" s="243"/>
      <c r="AD305" s="243"/>
      <c r="AE305" s="243"/>
      <c r="AF305" s="243"/>
      <c r="AG305" s="243"/>
      <c r="AH305" s="243"/>
      <c r="AI305" s="243"/>
      <c r="AJ305" s="243"/>
      <c r="AK305" s="241"/>
      <c r="AL305" s="241"/>
      <c r="AM305" s="241"/>
      <c r="AN305" s="241"/>
      <c r="AO305" s="241"/>
      <c r="AP305" s="241"/>
      <c r="AQ305" s="241"/>
      <c r="AR305" s="241"/>
    </row>
    <row r="306">
      <c r="A306" s="310"/>
      <c r="B306" s="310"/>
      <c r="C306" s="310"/>
      <c r="D306" s="310"/>
      <c r="E306" s="310"/>
      <c r="F306" s="310"/>
      <c r="G306" s="310"/>
      <c r="H306" s="310"/>
      <c r="I306" s="546"/>
      <c r="J306" s="310"/>
      <c r="K306" s="547"/>
      <c r="L306" s="241"/>
      <c r="M306" s="241"/>
      <c r="N306" s="241"/>
      <c r="O306" s="241"/>
      <c r="P306" s="326"/>
      <c r="Q306" s="233"/>
      <c r="R306" s="233"/>
      <c r="S306" s="233"/>
      <c r="T306" s="233"/>
      <c r="U306" s="233"/>
      <c r="V306" s="233"/>
      <c r="W306" s="233"/>
      <c r="X306" s="233"/>
      <c r="Y306" s="312"/>
      <c r="Z306" s="312"/>
      <c r="AA306" s="243"/>
      <c r="AB306" s="243"/>
      <c r="AC306" s="243"/>
      <c r="AD306" s="243"/>
      <c r="AE306" s="243"/>
      <c r="AF306" s="243"/>
      <c r="AG306" s="243"/>
      <c r="AH306" s="243"/>
      <c r="AI306" s="243"/>
      <c r="AJ306" s="243"/>
      <c r="AK306" s="241"/>
      <c r="AL306" s="241"/>
      <c r="AM306" s="241"/>
      <c r="AN306" s="241"/>
      <c r="AO306" s="241"/>
      <c r="AP306" s="241"/>
      <c r="AQ306" s="241"/>
      <c r="AR306" s="241"/>
    </row>
    <row r="307">
      <c r="A307" s="310"/>
      <c r="B307" s="310"/>
      <c r="C307" s="310"/>
      <c r="D307" s="310"/>
      <c r="E307" s="310"/>
      <c r="F307" s="310"/>
      <c r="G307" s="310"/>
      <c r="H307" s="310"/>
      <c r="I307" s="546"/>
      <c r="J307" s="310"/>
      <c r="K307" s="547"/>
      <c r="L307" s="241"/>
      <c r="M307" s="241"/>
      <c r="N307" s="241"/>
      <c r="O307" s="241"/>
      <c r="P307" s="326"/>
      <c r="Q307" s="233"/>
      <c r="R307" s="233"/>
      <c r="S307" s="233"/>
      <c r="T307" s="233"/>
      <c r="U307" s="233"/>
      <c r="V307" s="233"/>
      <c r="W307" s="233"/>
      <c r="X307" s="233"/>
      <c r="Y307" s="312"/>
      <c r="Z307" s="312"/>
      <c r="AA307" s="243"/>
      <c r="AB307" s="243"/>
      <c r="AC307" s="243"/>
      <c r="AD307" s="243"/>
      <c r="AE307" s="243"/>
      <c r="AF307" s="243"/>
      <c r="AG307" s="243"/>
      <c r="AH307" s="243"/>
      <c r="AI307" s="243"/>
      <c r="AJ307" s="243"/>
      <c r="AK307" s="241"/>
      <c r="AL307" s="241"/>
      <c r="AM307" s="241"/>
      <c r="AN307" s="241"/>
      <c r="AO307" s="241"/>
      <c r="AP307" s="241"/>
      <c r="AQ307" s="241"/>
      <c r="AR307" s="241"/>
    </row>
    <row r="308">
      <c r="A308" s="310"/>
      <c r="B308" s="310"/>
      <c r="C308" s="310"/>
      <c r="D308" s="310"/>
      <c r="E308" s="310"/>
      <c r="F308" s="310"/>
      <c r="G308" s="310"/>
      <c r="H308" s="310"/>
      <c r="I308" s="546"/>
      <c r="J308" s="310"/>
      <c r="K308" s="547"/>
      <c r="L308" s="241"/>
      <c r="M308" s="241"/>
      <c r="N308" s="241"/>
      <c r="O308" s="241"/>
      <c r="P308" s="326"/>
      <c r="Q308" s="233"/>
      <c r="R308" s="233"/>
      <c r="S308" s="233"/>
      <c r="T308" s="233"/>
      <c r="U308" s="233"/>
      <c r="V308" s="233"/>
      <c r="W308" s="233"/>
      <c r="X308" s="233"/>
      <c r="Y308" s="312"/>
      <c r="Z308" s="312"/>
      <c r="AA308" s="243"/>
      <c r="AB308" s="243"/>
      <c r="AC308" s="243"/>
      <c r="AD308" s="243"/>
      <c r="AE308" s="243"/>
      <c r="AF308" s="243"/>
      <c r="AG308" s="243"/>
      <c r="AH308" s="243"/>
      <c r="AI308" s="243"/>
      <c r="AJ308" s="243"/>
      <c r="AK308" s="241"/>
      <c r="AL308" s="241"/>
      <c r="AM308" s="241"/>
      <c r="AN308" s="241"/>
      <c r="AO308" s="241"/>
      <c r="AP308" s="241"/>
      <c r="AQ308" s="241"/>
      <c r="AR308" s="241"/>
    </row>
    <row r="309">
      <c r="A309" s="310"/>
      <c r="B309" s="310"/>
      <c r="C309" s="310"/>
      <c r="D309" s="310"/>
      <c r="E309" s="310"/>
      <c r="F309" s="310"/>
      <c r="G309" s="310"/>
      <c r="H309" s="310"/>
      <c r="I309" s="546"/>
      <c r="J309" s="310"/>
      <c r="K309" s="547"/>
      <c r="L309" s="241"/>
      <c r="M309" s="241"/>
      <c r="N309" s="241"/>
      <c r="O309" s="241"/>
      <c r="P309" s="326"/>
      <c r="Q309" s="233"/>
      <c r="R309" s="233"/>
      <c r="S309" s="233"/>
      <c r="T309" s="233"/>
      <c r="U309" s="233"/>
      <c r="V309" s="233"/>
      <c r="W309" s="233"/>
      <c r="X309" s="233"/>
      <c r="Y309" s="312"/>
      <c r="Z309" s="312"/>
      <c r="AA309" s="243"/>
      <c r="AB309" s="243"/>
      <c r="AC309" s="243"/>
      <c r="AD309" s="243"/>
      <c r="AE309" s="243"/>
      <c r="AF309" s="243"/>
      <c r="AG309" s="243"/>
      <c r="AH309" s="243"/>
      <c r="AI309" s="243"/>
      <c r="AJ309" s="243"/>
      <c r="AK309" s="241"/>
      <c r="AL309" s="241"/>
      <c r="AM309" s="241"/>
      <c r="AN309" s="241"/>
      <c r="AO309" s="241"/>
      <c r="AP309" s="241"/>
      <c r="AQ309" s="241"/>
      <c r="AR309" s="241"/>
    </row>
    <row r="310">
      <c r="A310" s="241"/>
      <c r="B310" s="241"/>
      <c r="C310" s="241"/>
      <c r="D310" s="241"/>
      <c r="E310" s="241"/>
      <c r="F310" s="241"/>
      <c r="G310" s="241"/>
      <c r="H310" s="241"/>
      <c r="I310" s="241"/>
      <c r="J310" s="241"/>
      <c r="K310" s="241"/>
      <c r="L310" s="241"/>
      <c r="M310" s="241"/>
      <c r="N310" s="241"/>
      <c r="O310" s="241"/>
      <c r="P310" s="326"/>
      <c r="Q310" s="233"/>
      <c r="R310" s="233"/>
      <c r="S310" s="233"/>
      <c r="T310" s="233"/>
      <c r="U310" s="233"/>
      <c r="V310" s="233"/>
      <c r="W310" s="233"/>
      <c r="X310" s="233"/>
      <c r="Y310" s="312"/>
      <c r="Z310" s="312"/>
      <c r="AA310" s="243"/>
      <c r="AB310" s="243"/>
      <c r="AC310" s="243"/>
      <c r="AD310" s="243"/>
      <c r="AE310" s="243"/>
      <c r="AF310" s="243"/>
      <c r="AG310" s="243"/>
      <c r="AH310" s="243"/>
      <c r="AI310" s="243"/>
      <c r="AJ310" s="243"/>
      <c r="AK310" s="241"/>
      <c r="AL310" s="241"/>
      <c r="AM310" s="241"/>
      <c r="AN310" s="241"/>
      <c r="AO310" s="241"/>
      <c r="AP310" s="241"/>
      <c r="AQ310" s="241"/>
      <c r="AR310" s="241"/>
    </row>
    <row r="311">
      <c r="A311" s="549"/>
      <c r="B311" s="549" t="s">
        <v>658</v>
      </c>
      <c r="C311" s="312"/>
      <c r="D311" s="312"/>
      <c r="E311" s="312"/>
      <c r="F311" s="312"/>
      <c r="G311" s="312"/>
      <c r="H311" s="312"/>
      <c r="I311" s="241"/>
      <c r="J311" s="312"/>
      <c r="K311" s="312"/>
      <c r="L311" s="241"/>
      <c r="M311" s="241"/>
      <c r="N311" s="549" t="s">
        <v>659</v>
      </c>
      <c r="O311" s="243"/>
      <c r="P311" s="243"/>
      <c r="Q311" s="243"/>
      <c r="R311" s="243"/>
      <c r="S311" s="243"/>
      <c r="T311" s="243"/>
      <c r="U311" s="243"/>
      <c r="V311" s="243"/>
      <c r="W311" s="243"/>
      <c r="X311" s="243"/>
      <c r="Y311" s="241"/>
      <c r="Z311" s="312"/>
      <c r="AA311" s="241"/>
      <c r="AB311" s="243"/>
      <c r="AC311" s="243"/>
      <c r="AD311" s="243"/>
      <c r="AE311" s="243"/>
      <c r="AF311" s="243"/>
      <c r="AG311" s="243"/>
      <c r="AH311" s="243"/>
      <c r="AI311" s="243"/>
      <c r="AJ311" s="243"/>
      <c r="AK311" s="241"/>
      <c r="AL311" s="241"/>
      <c r="AM311" s="241"/>
      <c r="AN311" s="241"/>
      <c r="AO311" s="241"/>
      <c r="AP311" s="241"/>
      <c r="AQ311" s="241"/>
      <c r="AR311" s="241"/>
    </row>
    <row r="312">
      <c r="A312" s="554" t="s">
        <v>660</v>
      </c>
      <c r="B312" s="555">
        <v>0.0</v>
      </c>
      <c r="C312" s="556">
        <v>1.0</v>
      </c>
      <c r="D312" s="310">
        <v>2.0</v>
      </c>
      <c r="E312" s="310">
        <v>3.0</v>
      </c>
      <c r="F312" s="310">
        <v>4.0</v>
      </c>
      <c r="G312" s="310">
        <v>5.0</v>
      </c>
      <c r="H312" s="310">
        <v>6.0</v>
      </c>
      <c r="I312" s="310">
        <v>7.0</v>
      </c>
      <c r="J312" s="310">
        <v>8.0</v>
      </c>
      <c r="K312" s="310">
        <v>9.0</v>
      </c>
      <c r="L312" s="241"/>
      <c r="M312" s="241"/>
      <c r="N312" s="554" t="s">
        <v>660</v>
      </c>
      <c r="O312" s="555">
        <v>0.0</v>
      </c>
      <c r="P312" s="556">
        <v>1.0</v>
      </c>
      <c r="Q312" s="310">
        <v>2.0</v>
      </c>
      <c r="R312" s="310">
        <v>3.0</v>
      </c>
      <c r="S312" s="310">
        <v>4.0</v>
      </c>
      <c r="T312" s="310">
        <v>5.0</v>
      </c>
      <c r="U312" s="310">
        <v>6.0</v>
      </c>
      <c r="V312" s="310">
        <v>7.0</v>
      </c>
      <c r="W312" s="310">
        <v>8.0</v>
      </c>
      <c r="X312" s="310">
        <v>9.0</v>
      </c>
      <c r="Y312" s="241"/>
      <c r="Z312" s="241"/>
      <c r="AA312" s="312"/>
      <c r="AB312" s="312"/>
      <c r="AC312" s="312"/>
      <c r="AD312" s="243"/>
      <c r="AE312" s="243"/>
      <c r="AF312" s="243"/>
      <c r="AG312" s="243"/>
      <c r="AH312" s="243"/>
      <c r="AI312" s="243"/>
      <c r="AJ312" s="243"/>
      <c r="AK312" s="241"/>
      <c r="AL312" s="241"/>
      <c r="AM312" s="241"/>
      <c r="AN312" s="241"/>
      <c r="AO312" s="241"/>
      <c r="AP312" s="241"/>
      <c r="AQ312" s="241"/>
      <c r="AR312" s="241"/>
    </row>
    <row r="313">
      <c r="A313" s="558">
        <v>1.0</v>
      </c>
      <c r="B313" s="559" t="s">
        <v>661</v>
      </c>
      <c r="C313" s="547">
        <v>3.0</v>
      </c>
      <c r="D313" s="547" t="s">
        <v>178</v>
      </c>
      <c r="E313" s="547" t="s">
        <v>178</v>
      </c>
      <c r="F313" s="547" t="s">
        <v>178</v>
      </c>
      <c r="G313" s="547" t="s">
        <v>178</v>
      </c>
      <c r="H313" s="547" t="s">
        <v>178</v>
      </c>
      <c r="I313" s="547" t="s">
        <v>178</v>
      </c>
      <c r="J313" s="547" t="s">
        <v>178</v>
      </c>
      <c r="K313" s="547" t="s">
        <v>178</v>
      </c>
      <c r="L313" s="241"/>
      <c r="M313" s="241"/>
      <c r="N313" s="558">
        <v>1.0</v>
      </c>
      <c r="O313" s="547">
        <v>4.0</v>
      </c>
      <c r="P313" s="547">
        <v>2.0</v>
      </c>
      <c r="Q313" s="547" t="s">
        <v>178</v>
      </c>
      <c r="R313" s="547" t="s">
        <v>178</v>
      </c>
      <c r="S313" s="547" t="s">
        <v>178</v>
      </c>
      <c r="T313" s="547" t="s">
        <v>178</v>
      </c>
      <c r="U313" s="547" t="s">
        <v>178</v>
      </c>
      <c r="V313" s="555" t="s">
        <v>178</v>
      </c>
      <c r="W313" s="555" t="s">
        <v>178</v>
      </c>
      <c r="X313" s="555" t="s">
        <v>178</v>
      </c>
      <c r="Y313" s="241"/>
      <c r="Z313" s="312"/>
      <c r="AA313" s="312"/>
      <c r="AB313" s="312"/>
      <c r="AC313" s="312"/>
      <c r="AD313" s="243"/>
      <c r="AE313" s="243"/>
      <c r="AF313" s="243"/>
      <c r="AG313" s="243"/>
      <c r="AH313" s="243"/>
      <c r="AI313" s="243"/>
      <c r="AJ313" s="243"/>
      <c r="AK313" s="241"/>
      <c r="AL313" s="241"/>
      <c r="AM313" s="241"/>
      <c r="AN313" s="241"/>
      <c r="AO313" s="241"/>
      <c r="AP313" s="241"/>
      <c r="AQ313" s="241"/>
      <c r="AR313" s="241"/>
    </row>
    <row r="314">
      <c r="A314" s="558">
        <v>2.0</v>
      </c>
      <c r="B314" s="559" t="s">
        <v>661</v>
      </c>
      <c r="C314" s="547">
        <v>4.0</v>
      </c>
      <c r="D314" s="547" t="s">
        <v>178</v>
      </c>
      <c r="E314" s="547" t="s">
        <v>178</v>
      </c>
      <c r="F314" s="547" t="s">
        <v>178</v>
      </c>
      <c r="G314" s="547" t="s">
        <v>178</v>
      </c>
      <c r="H314" s="547" t="s">
        <v>178</v>
      </c>
      <c r="I314" s="547" t="s">
        <v>178</v>
      </c>
      <c r="J314" s="547" t="s">
        <v>178</v>
      </c>
      <c r="K314" s="547" t="s">
        <v>178</v>
      </c>
      <c r="L314" s="241"/>
      <c r="M314" s="241"/>
      <c r="N314" s="558">
        <v>2.0</v>
      </c>
      <c r="O314" s="547">
        <v>5.0</v>
      </c>
      <c r="P314" s="547">
        <v>2.0</v>
      </c>
      <c r="Q314" s="547" t="s">
        <v>178</v>
      </c>
      <c r="R314" s="547" t="s">
        <v>178</v>
      </c>
      <c r="S314" s="547" t="s">
        <v>178</v>
      </c>
      <c r="T314" s="547" t="s">
        <v>178</v>
      </c>
      <c r="U314" s="547" t="s">
        <v>178</v>
      </c>
      <c r="V314" s="555" t="s">
        <v>178</v>
      </c>
      <c r="W314" s="555" t="s">
        <v>178</v>
      </c>
      <c r="X314" s="555" t="s">
        <v>178</v>
      </c>
      <c r="Y314" s="241"/>
      <c r="Z314" s="312"/>
      <c r="AA314" s="312"/>
      <c r="AB314" s="312"/>
      <c r="AC314" s="312"/>
      <c r="AD314" s="312"/>
      <c r="AE314" s="243"/>
      <c r="AF314" s="243"/>
      <c r="AG314" s="243"/>
      <c r="AH314" s="243"/>
      <c r="AI314" s="243"/>
      <c r="AJ314" s="243"/>
      <c r="AK314" s="241"/>
      <c r="AL314" s="241"/>
      <c r="AM314" s="241"/>
      <c r="AN314" s="241"/>
      <c r="AO314" s="241"/>
      <c r="AP314" s="241"/>
      <c r="AQ314" s="241"/>
      <c r="AR314" s="241"/>
    </row>
    <row r="315">
      <c r="A315" s="558">
        <v>3.0</v>
      </c>
      <c r="B315" s="559" t="s">
        <v>661</v>
      </c>
      <c r="C315" s="547">
        <v>5.0</v>
      </c>
      <c r="D315" s="547" t="s">
        <v>178</v>
      </c>
      <c r="E315" s="547" t="s">
        <v>178</v>
      </c>
      <c r="F315" s="547" t="s">
        <v>178</v>
      </c>
      <c r="G315" s="547" t="s">
        <v>178</v>
      </c>
      <c r="H315" s="547" t="s">
        <v>178</v>
      </c>
      <c r="I315" s="547" t="s">
        <v>178</v>
      </c>
      <c r="J315" s="547" t="s">
        <v>178</v>
      </c>
      <c r="K315" s="547" t="s">
        <v>178</v>
      </c>
      <c r="L315" s="241"/>
      <c r="M315" s="241"/>
      <c r="N315" s="558">
        <v>3.0</v>
      </c>
      <c r="O315" s="547">
        <v>5.0</v>
      </c>
      <c r="P315" s="547">
        <v>3.0</v>
      </c>
      <c r="Q315" s="547" t="s">
        <v>178</v>
      </c>
      <c r="R315" s="547" t="s">
        <v>178</v>
      </c>
      <c r="S315" s="547" t="s">
        <v>178</v>
      </c>
      <c r="T315" s="547" t="s">
        <v>178</v>
      </c>
      <c r="U315" s="547" t="s">
        <v>178</v>
      </c>
      <c r="V315" s="547" t="s">
        <v>178</v>
      </c>
      <c r="W315" s="547" t="s">
        <v>178</v>
      </c>
      <c r="X315" s="547" t="s">
        <v>178</v>
      </c>
      <c r="Y315" s="241"/>
      <c r="Z315" s="312"/>
      <c r="AA315" s="312"/>
      <c r="AB315" s="312"/>
      <c r="AC315" s="312"/>
      <c r="AD315" s="243"/>
      <c r="AE315" s="243"/>
      <c r="AF315" s="243"/>
      <c r="AG315" s="243"/>
      <c r="AH315" s="312"/>
      <c r="AI315" s="312"/>
      <c r="AJ315" s="312"/>
      <c r="AK315" s="241"/>
      <c r="AL315" s="241"/>
      <c r="AM315" s="241"/>
      <c r="AN315" s="241"/>
      <c r="AO315" s="241"/>
      <c r="AP315" s="241"/>
      <c r="AQ315" s="241"/>
      <c r="AR315" s="241"/>
    </row>
    <row r="316">
      <c r="A316" s="558">
        <v>4.0</v>
      </c>
      <c r="B316" s="559" t="s">
        <v>661</v>
      </c>
      <c r="C316" s="547">
        <v>6.0</v>
      </c>
      <c r="D316" s="547">
        <v>3.0</v>
      </c>
      <c r="E316" s="547" t="s">
        <v>178</v>
      </c>
      <c r="F316" s="547" t="s">
        <v>178</v>
      </c>
      <c r="G316" s="547" t="s">
        <v>178</v>
      </c>
      <c r="H316" s="547" t="s">
        <v>178</v>
      </c>
      <c r="I316" s="547" t="s">
        <v>178</v>
      </c>
      <c r="J316" s="547" t="s">
        <v>178</v>
      </c>
      <c r="K316" s="547" t="s">
        <v>178</v>
      </c>
      <c r="L316" s="241"/>
      <c r="M316" s="241"/>
      <c r="N316" s="558">
        <v>4.0</v>
      </c>
      <c r="O316" s="547">
        <v>6.0</v>
      </c>
      <c r="P316" s="547">
        <v>3.0</v>
      </c>
      <c r="Q316" s="547">
        <v>1.0</v>
      </c>
      <c r="R316" s="547" t="s">
        <v>178</v>
      </c>
      <c r="S316" s="547" t="s">
        <v>178</v>
      </c>
      <c r="T316" s="547" t="s">
        <v>178</v>
      </c>
      <c r="U316" s="547" t="s">
        <v>178</v>
      </c>
      <c r="V316" s="547" t="s">
        <v>178</v>
      </c>
      <c r="W316" s="547" t="s">
        <v>178</v>
      </c>
      <c r="X316" s="547" t="s">
        <v>178</v>
      </c>
      <c r="Y316" s="241"/>
      <c r="Z316" s="312"/>
      <c r="AA316" s="312"/>
      <c r="AB316" s="312"/>
      <c r="AC316" s="312"/>
      <c r="AD316" s="243"/>
      <c r="AE316" s="243"/>
      <c r="AF316" s="243"/>
      <c r="AG316" s="243"/>
      <c r="AH316" s="312"/>
      <c r="AI316" s="312"/>
      <c r="AJ316" s="312"/>
      <c r="AK316" s="241"/>
      <c r="AL316" s="241"/>
      <c r="AM316" s="241"/>
      <c r="AN316" s="241"/>
      <c r="AO316" s="241"/>
      <c r="AP316" s="241"/>
      <c r="AQ316" s="241"/>
      <c r="AR316" s="241"/>
    </row>
    <row r="317">
      <c r="A317" s="558">
        <v>5.0</v>
      </c>
      <c r="B317" s="559" t="s">
        <v>661</v>
      </c>
      <c r="C317" s="547">
        <v>6.0</v>
      </c>
      <c r="D317" s="547">
        <v>4.0</v>
      </c>
      <c r="E317" s="547" t="s">
        <v>178</v>
      </c>
      <c r="F317" s="547" t="s">
        <v>178</v>
      </c>
      <c r="G317" s="547" t="s">
        <v>178</v>
      </c>
      <c r="H317" s="547" t="s">
        <v>178</v>
      </c>
      <c r="I317" s="547" t="s">
        <v>178</v>
      </c>
      <c r="J317" s="547" t="s">
        <v>178</v>
      </c>
      <c r="K317" s="547" t="s">
        <v>178</v>
      </c>
      <c r="L317" s="241"/>
      <c r="M317" s="241"/>
      <c r="N317" s="558">
        <v>5.0</v>
      </c>
      <c r="O317" s="547">
        <v>6.0</v>
      </c>
      <c r="P317" s="547">
        <v>4.0</v>
      </c>
      <c r="Q317" s="547">
        <v>2.0</v>
      </c>
      <c r="R317" s="547" t="s">
        <v>178</v>
      </c>
      <c r="S317" s="547" t="s">
        <v>178</v>
      </c>
      <c r="T317" s="547" t="s">
        <v>178</v>
      </c>
      <c r="U317" s="547" t="s">
        <v>178</v>
      </c>
      <c r="V317" s="547" t="s">
        <v>178</v>
      </c>
      <c r="W317" s="547" t="s">
        <v>178</v>
      </c>
      <c r="X317" s="547" t="s">
        <v>178</v>
      </c>
      <c r="Y317" s="241"/>
      <c r="Z317" s="312"/>
      <c r="AA317" s="312"/>
      <c r="AB317" s="312"/>
      <c r="AC317" s="312"/>
      <c r="AD317" s="243"/>
      <c r="AE317" s="243"/>
      <c r="AF317" s="243"/>
      <c r="AG317" s="243"/>
      <c r="AH317" s="312"/>
      <c r="AI317" s="312"/>
      <c r="AJ317" s="312"/>
      <c r="AK317" s="241"/>
      <c r="AL317" s="241"/>
      <c r="AM317" s="241"/>
      <c r="AN317" s="241"/>
      <c r="AO317" s="241"/>
      <c r="AP317" s="241"/>
      <c r="AQ317" s="241"/>
      <c r="AR317" s="241"/>
    </row>
    <row r="318">
      <c r="A318" s="558">
        <v>6.0</v>
      </c>
      <c r="B318" s="559" t="s">
        <v>661</v>
      </c>
      <c r="C318" s="547">
        <v>6.0</v>
      </c>
      <c r="D318" s="547">
        <v>5.0</v>
      </c>
      <c r="E318" s="547">
        <v>3.0</v>
      </c>
      <c r="F318" s="547" t="s">
        <v>178</v>
      </c>
      <c r="G318" s="547" t="s">
        <v>178</v>
      </c>
      <c r="H318" s="547" t="s">
        <v>178</v>
      </c>
      <c r="I318" s="547" t="s">
        <v>178</v>
      </c>
      <c r="J318" s="547" t="s">
        <v>178</v>
      </c>
      <c r="K318" s="547" t="s">
        <v>178</v>
      </c>
      <c r="L318" s="241"/>
      <c r="M318" s="241"/>
      <c r="N318" s="558">
        <v>6.0</v>
      </c>
      <c r="O318" s="547">
        <v>7.0</v>
      </c>
      <c r="P318" s="547">
        <v>4.0</v>
      </c>
      <c r="Q318" s="547">
        <v>2.0</v>
      </c>
      <c r="R318" s="547">
        <v>1.0</v>
      </c>
      <c r="S318" s="547" t="s">
        <v>178</v>
      </c>
      <c r="T318" s="547" t="s">
        <v>178</v>
      </c>
      <c r="U318" s="547" t="s">
        <v>178</v>
      </c>
      <c r="V318" s="547" t="s">
        <v>178</v>
      </c>
      <c r="W318" s="547" t="s">
        <v>178</v>
      </c>
      <c r="X318" s="547" t="s">
        <v>178</v>
      </c>
      <c r="Y318" s="241"/>
      <c r="Z318" s="312"/>
      <c r="AA318" s="312"/>
      <c r="AB318" s="312"/>
      <c r="AC318" s="312"/>
      <c r="AD318" s="243"/>
      <c r="AE318" s="243"/>
      <c r="AF318" s="243"/>
      <c r="AG318" s="243"/>
      <c r="AH318" s="312"/>
      <c r="AI318" s="312"/>
      <c r="AJ318" s="312"/>
      <c r="AK318" s="241"/>
      <c r="AL318" s="241"/>
      <c r="AM318" s="241"/>
      <c r="AN318" s="241"/>
      <c r="AO318" s="241"/>
      <c r="AP318" s="241"/>
      <c r="AQ318" s="241"/>
      <c r="AR318" s="241"/>
    </row>
    <row r="319">
      <c r="A319" s="558">
        <v>7.0</v>
      </c>
      <c r="B319" s="559" t="s">
        <v>661</v>
      </c>
      <c r="C319" s="547">
        <v>6.0</v>
      </c>
      <c r="D319" s="547">
        <v>6.0</v>
      </c>
      <c r="E319" s="547">
        <v>4.0</v>
      </c>
      <c r="F319" s="547" t="s">
        <v>178</v>
      </c>
      <c r="G319" s="547" t="s">
        <v>178</v>
      </c>
      <c r="H319" s="547" t="s">
        <v>178</v>
      </c>
      <c r="I319" s="547" t="s">
        <v>178</v>
      </c>
      <c r="J319" s="547" t="s">
        <v>178</v>
      </c>
      <c r="K319" s="547" t="s">
        <v>178</v>
      </c>
      <c r="L319" s="241"/>
      <c r="M319" s="241"/>
      <c r="N319" s="558">
        <v>7.0</v>
      </c>
      <c r="O319" s="547">
        <v>7.0</v>
      </c>
      <c r="P319" s="547">
        <v>5.0</v>
      </c>
      <c r="Q319" s="547">
        <v>3.0</v>
      </c>
      <c r="R319" s="547">
        <v>2.0</v>
      </c>
      <c r="S319" s="547" t="s">
        <v>178</v>
      </c>
      <c r="T319" s="547" t="s">
        <v>178</v>
      </c>
      <c r="U319" s="547" t="s">
        <v>178</v>
      </c>
      <c r="V319" s="547" t="s">
        <v>178</v>
      </c>
      <c r="W319" s="547" t="s">
        <v>178</v>
      </c>
      <c r="X319" s="547" t="s">
        <v>178</v>
      </c>
      <c r="Y319" s="241"/>
      <c r="Z319" s="312"/>
      <c r="AA319" s="312"/>
      <c r="AB319" s="312"/>
      <c r="AC319" s="312"/>
      <c r="AD319" s="243"/>
      <c r="AE319" s="243"/>
      <c r="AF319" s="243"/>
      <c r="AG319" s="243"/>
      <c r="AH319" s="312"/>
      <c r="AI319" s="312"/>
      <c r="AJ319" s="312"/>
      <c r="AK319" s="241"/>
      <c r="AL319" s="241"/>
      <c r="AM319" s="241"/>
      <c r="AN319" s="241"/>
      <c r="AO319" s="241"/>
      <c r="AP319" s="241"/>
      <c r="AQ319" s="241"/>
      <c r="AR319" s="241"/>
    </row>
    <row r="320">
      <c r="A320" s="558">
        <v>8.0</v>
      </c>
      <c r="B320" s="559" t="s">
        <v>661</v>
      </c>
      <c r="C320" s="547">
        <v>6.0</v>
      </c>
      <c r="D320" s="547">
        <v>6.0</v>
      </c>
      <c r="E320" s="547">
        <v>5.0</v>
      </c>
      <c r="F320" s="547">
        <v>3.0</v>
      </c>
      <c r="G320" s="547" t="s">
        <v>178</v>
      </c>
      <c r="H320" s="547" t="s">
        <v>178</v>
      </c>
      <c r="I320" s="547" t="s">
        <v>178</v>
      </c>
      <c r="J320" s="547" t="s">
        <v>178</v>
      </c>
      <c r="K320" s="547" t="s">
        <v>178</v>
      </c>
      <c r="L320" s="241"/>
      <c r="M320" s="241"/>
      <c r="N320" s="558">
        <v>8.0</v>
      </c>
      <c r="O320" s="547">
        <v>8.0</v>
      </c>
      <c r="P320" s="547">
        <v>5.0</v>
      </c>
      <c r="Q320" s="547">
        <v>3.0</v>
      </c>
      <c r="R320" s="547">
        <v>2.0</v>
      </c>
      <c r="S320" s="547">
        <v>1.0</v>
      </c>
      <c r="T320" s="547" t="s">
        <v>178</v>
      </c>
      <c r="U320" s="547" t="s">
        <v>178</v>
      </c>
      <c r="V320" s="547" t="s">
        <v>178</v>
      </c>
      <c r="W320" s="547" t="s">
        <v>178</v>
      </c>
      <c r="X320" s="547" t="s">
        <v>178</v>
      </c>
      <c r="Y320" s="241"/>
      <c r="Z320" s="312"/>
      <c r="AA320" s="312"/>
      <c r="AB320" s="312"/>
      <c r="AC320" s="312"/>
      <c r="AD320" s="243"/>
      <c r="AE320" s="243"/>
      <c r="AF320" s="243"/>
      <c r="AG320" s="243"/>
      <c r="AH320" s="312"/>
      <c r="AI320" s="312"/>
      <c r="AJ320" s="312"/>
      <c r="AK320" s="241"/>
      <c r="AL320" s="241"/>
      <c r="AM320" s="241"/>
      <c r="AN320" s="241"/>
      <c r="AO320" s="241"/>
      <c r="AP320" s="241"/>
      <c r="AQ320" s="241"/>
      <c r="AR320" s="241"/>
    </row>
    <row r="321">
      <c r="A321" s="558">
        <v>9.0</v>
      </c>
      <c r="B321" s="559" t="s">
        <v>661</v>
      </c>
      <c r="C321" s="547">
        <v>6.0</v>
      </c>
      <c r="D321" s="547">
        <v>6.0</v>
      </c>
      <c r="E321" s="547">
        <v>6.0</v>
      </c>
      <c r="F321" s="547">
        <v>4.0</v>
      </c>
      <c r="G321" s="547" t="s">
        <v>178</v>
      </c>
      <c r="H321" s="547" t="s">
        <v>178</v>
      </c>
      <c r="I321" s="547" t="s">
        <v>178</v>
      </c>
      <c r="J321" s="547" t="s">
        <v>178</v>
      </c>
      <c r="K321" s="547" t="s">
        <v>178</v>
      </c>
      <c r="L321" s="241"/>
      <c r="M321" s="241"/>
      <c r="N321" s="558">
        <v>9.0</v>
      </c>
      <c r="O321" s="547">
        <v>8.0</v>
      </c>
      <c r="P321" s="547">
        <v>5.0</v>
      </c>
      <c r="Q321" s="547">
        <v>4.0</v>
      </c>
      <c r="R321" s="547">
        <v>3.0</v>
      </c>
      <c r="S321" s="547">
        <v>2.0</v>
      </c>
      <c r="T321" s="547" t="s">
        <v>178</v>
      </c>
      <c r="U321" s="547" t="s">
        <v>178</v>
      </c>
      <c r="V321" s="547" t="s">
        <v>178</v>
      </c>
      <c r="W321" s="547" t="s">
        <v>178</v>
      </c>
      <c r="X321" s="547" t="s">
        <v>178</v>
      </c>
      <c r="Y321" s="241"/>
      <c r="Z321" s="312"/>
      <c r="AA321" s="312"/>
      <c r="AB321" s="312"/>
      <c r="AC321" s="312"/>
      <c r="AD321" s="243"/>
      <c r="AE321" s="243"/>
      <c r="AF321" s="243"/>
      <c r="AG321" s="243"/>
      <c r="AH321" s="312"/>
      <c r="AI321" s="312"/>
      <c r="AJ321" s="312"/>
      <c r="AK321" s="241"/>
      <c r="AL321" s="241"/>
      <c r="AM321" s="241"/>
      <c r="AN321" s="241"/>
      <c r="AO321" s="241"/>
      <c r="AP321" s="241"/>
      <c r="AQ321" s="241"/>
      <c r="AR321" s="241"/>
    </row>
    <row r="322">
      <c r="A322" s="558">
        <v>10.0</v>
      </c>
      <c r="B322" s="559" t="s">
        <v>661</v>
      </c>
      <c r="C322" s="547">
        <v>6.0</v>
      </c>
      <c r="D322" s="547">
        <v>6.0</v>
      </c>
      <c r="E322" s="547">
        <v>6.0</v>
      </c>
      <c r="F322" s="547">
        <v>5.0</v>
      </c>
      <c r="G322" s="547">
        <v>3.0</v>
      </c>
      <c r="H322" s="547" t="s">
        <v>178</v>
      </c>
      <c r="I322" s="547" t="s">
        <v>178</v>
      </c>
      <c r="J322" s="547" t="s">
        <v>178</v>
      </c>
      <c r="K322" s="547" t="s">
        <v>178</v>
      </c>
      <c r="L322" s="241"/>
      <c r="M322" s="241"/>
      <c r="N322" s="558">
        <v>10.0</v>
      </c>
      <c r="O322" s="547">
        <v>9.0</v>
      </c>
      <c r="P322" s="547">
        <v>5.0</v>
      </c>
      <c r="Q322" s="547">
        <v>4.0</v>
      </c>
      <c r="R322" s="547">
        <v>3.0</v>
      </c>
      <c r="S322" s="547">
        <v>2.0</v>
      </c>
      <c r="T322" s="547">
        <v>1.0</v>
      </c>
      <c r="U322" s="547" t="s">
        <v>178</v>
      </c>
      <c r="V322" s="547" t="s">
        <v>178</v>
      </c>
      <c r="W322" s="547" t="s">
        <v>178</v>
      </c>
      <c r="X322" s="547" t="s">
        <v>178</v>
      </c>
      <c r="Y322" s="241"/>
      <c r="Z322" s="312"/>
      <c r="AA322" s="312"/>
      <c r="AB322" s="312"/>
      <c r="AC322" s="312"/>
      <c r="AD322" s="243"/>
      <c r="AE322" s="243"/>
      <c r="AF322" s="243"/>
      <c r="AG322" s="243"/>
      <c r="AH322" s="312"/>
      <c r="AI322" s="312"/>
      <c r="AJ322" s="312"/>
      <c r="AK322" s="241"/>
      <c r="AL322" s="241"/>
      <c r="AM322" s="241"/>
      <c r="AN322" s="241"/>
      <c r="AO322" s="241"/>
      <c r="AP322" s="241"/>
      <c r="AQ322" s="241"/>
      <c r="AR322" s="241"/>
    </row>
    <row r="323">
      <c r="A323" s="558">
        <v>11.0</v>
      </c>
      <c r="B323" s="559" t="s">
        <v>661</v>
      </c>
      <c r="C323" s="547">
        <v>6.0</v>
      </c>
      <c r="D323" s="547">
        <v>6.0</v>
      </c>
      <c r="E323" s="547">
        <v>6.0</v>
      </c>
      <c r="F323" s="547">
        <v>6.0</v>
      </c>
      <c r="G323" s="547">
        <v>4.0</v>
      </c>
      <c r="H323" s="547" t="s">
        <v>178</v>
      </c>
      <c r="I323" s="547" t="s">
        <v>178</v>
      </c>
      <c r="J323" s="547" t="s">
        <v>178</v>
      </c>
      <c r="K323" s="547" t="s">
        <v>178</v>
      </c>
      <c r="L323" s="241"/>
      <c r="M323" s="241"/>
      <c r="N323" s="558">
        <v>11.0</v>
      </c>
      <c r="O323" s="547">
        <v>9.0</v>
      </c>
      <c r="P323" s="547">
        <v>5.0</v>
      </c>
      <c r="Q323" s="547">
        <v>5.0</v>
      </c>
      <c r="R323" s="547">
        <v>4.0</v>
      </c>
      <c r="S323" s="547">
        <v>3.0</v>
      </c>
      <c r="T323" s="547">
        <v>2.0</v>
      </c>
      <c r="U323" s="547" t="s">
        <v>178</v>
      </c>
      <c r="V323" s="547" t="s">
        <v>178</v>
      </c>
      <c r="W323" s="547" t="s">
        <v>178</v>
      </c>
      <c r="X323" s="547" t="s">
        <v>178</v>
      </c>
      <c r="Y323" s="241"/>
      <c r="Z323" s="312"/>
      <c r="AA323" s="312"/>
      <c r="AB323" s="312"/>
      <c r="AC323" s="312"/>
      <c r="AD323" s="243"/>
      <c r="AE323" s="243"/>
      <c r="AF323" s="243"/>
      <c r="AG323" s="243"/>
      <c r="AH323" s="312"/>
      <c r="AI323" s="312"/>
      <c r="AJ323" s="312"/>
      <c r="AK323" s="241"/>
      <c r="AL323" s="241"/>
      <c r="AM323" s="241"/>
      <c r="AN323" s="241"/>
      <c r="AO323" s="241"/>
      <c r="AP323" s="241"/>
      <c r="AQ323" s="241"/>
      <c r="AR323" s="241"/>
    </row>
    <row r="324">
      <c r="A324" s="558">
        <v>12.0</v>
      </c>
      <c r="B324" s="559" t="s">
        <v>661</v>
      </c>
      <c r="C324" s="547">
        <v>6.0</v>
      </c>
      <c r="D324" s="547">
        <v>6.0</v>
      </c>
      <c r="E324" s="547">
        <v>6.0</v>
      </c>
      <c r="F324" s="547">
        <v>6.0</v>
      </c>
      <c r="G324" s="547">
        <v>5.0</v>
      </c>
      <c r="H324" s="547">
        <v>3.0</v>
      </c>
      <c r="I324" s="547" t="s">
        <v>178</v>
      </c>
      <c r="J324" s="547" t="s">
        <v>178</v>
      </c>
      <c r="K324" s="547" t="s">
        <v>178</v>
      </c>
      <c r="L324" s="241"/>
      <c r="M324" s="241"/>
      <c r="N324" s="558">
        <v>12.0</v>
      </c>
      <c r="O324" s="547">
        <v>9.0</v>
      </c>
      <c r="P324" s="547">
        <v>5.0</v>
      </c>
      <c r="Q324" s="547">
        <v>5.0</v>
      </c>
      <c r="R324" s="547">
        <v>4.0</v>
      </c>
      <c r="S324" s="547">
        <v>3.0</v>
      </c>
      <c r="T324" s="547">
        <v>2.0</v>
      </c>
      <c r="U324" s="547">
        <v>1.0</v>
      </c>
      <c r="V324" s="547" t="s">
        <v>178</v>
      </c>
      <c r="W324" s="547" t="s">
        <v>178</v>
      </c>
      <c r="X324" s="547" t="s">
        <v>178</v>
      </c>
      <c r="Y324" s="241"/>
      <c r="Z324" s="312"/>
      <c r="AA324" s="312"/>
      <c r="AB324" s="312"/>
      <c r="AC324" s="312"/>
      <c r="AD324" s="243"/>
      <c r="AE324" s="243"/>
      <c r="AF324" s="243"/>
      <c r="AG324" s="243"/>
      <c r="AH324" s="312"/>
      <c r="AI324" s="312"/>
      <c r="AJ324" s="312"/>
      <c r="AK324" s="241"/>
      <c r="AL324" s="241"/>
      <c r="AM324" s="241"/>
      <c r="AN324" s="241"/>
      <c r="AO324" s="241"/>
      <c r="AP324" s="241"/>
      <c r="AQ324" s="241"/>
      <c r="AR324" s="241"/>
    </row>
    <row r="325">
      <c r="A325" s="558">
        <v>13.0</v>
      </c>
      <c r="B325" s="559" t="s">
        <v>661</v>
      </c>
      <c r="C325" s="547">
        <v>6.0</v>
      </c>
      <c r="D325" s="547">
        <v>6.0</v>
      </c>
      <c r="E325" s="547">
        <v>6.0</v>
      </c>
      <c r="F325" s="547">
        <v>6.0</v>
      </c>
      <c r="G325" s="547">
        <v>6.0</v>
      </c>
      <c r="H325" s="547">
        <v>4.0</v>
      </c>
      <c r="I325" s="547" t="s">
        <v>178</v>
      </c>
      <c r="J325" s="547" t="s">
        <v>178</v>
      </c>
      <c r="K325" s="547" t="s">
        <v>178</v>
      </c>
      <c r="L325" s="241"/>
      <c r="M325" s="241"/>
      <c r="N325" s="558">
        <v>13.0</v>
      </c>
      <c r="O325" s="547">
        <v>9.0</v>
      </c>
      <c r="P325" s="547">
        <v>5.0</v>
      </c>
      <c r="Q325" s="547">
        <v>5.0</v>
      </c>
      <c r="R325" s="547">
        <v>4.0</v>
      </c>
      <c r="S325" s="547">
        <v>4.0</v>
      </c>
      <c r="T325" s="547">
        <v>3.0</v>
      </c>
      <c r="U325" s="547">
        <v>2.0</v>
      </c>
      <c r="V325" s="547" t="s">
        <v>178</v>
      </c>
      <c r="W325" s="547" t="s">
        <v>178</v>
      </c>
      <c r="X325" s="547" t="s">
        <v>178</v>
      </c>
      <c r="Y325" s="241"/>
      <c r="Z325" s="312"/>
      <c r="AA325" s="312"/>
      <c r="AB325" s="312"/>
      <c r="AC325" s="312"/>
      <c r="AD325" s="243"/>
      <c r="AE325" s="243"/>
      <c r="AF325" s="243"/>
      <c r="AG325" s="243"/>
      <c r="AH325" s="312"/>
      <c r="AI325" s="312"/>
      <c r="AJ325" s="312"/>
      <c r="AK325" s="241"/>
      <c r="AL325" s="241"/>
      <c r="AM325" s="241"/>
      <c r="AN325" s="241"/>
      <c r="AO325" s="241"/>
      <c r="AP325" s="241"/>
      <c r="AQ325" s="241"/>
      <c r="AR325" s="241"/>
    </row>
    <row r="326">
      <c r="A326" s="558">
        <v>14.0</v>
      </c>
      <c r="B326" s="559" t="s">
        <v>661</v>
      </c>
      <c r="C326" s="547">
        <v>6.0</v>
      </c>
      <c r="D326" s="547">
        <v>6.0</v>
      </c>
      <c r="E326" s="547">
        <v>6.0</v>
      </c>
      <c r="F326" s="547">
        <v>6.0</v>
      </c>
      <c r="G326" s="547">
        <v>6.0</v>
      </c>
      <c r="H326" s="547">
        <v>5.0</v>
      </c>
      <c r="I326" s="547">
        <v>3.0</v>
      </c>
      <c r="J326" s="547" t="s">
        <v>178</v>
      </c>
      <c r="K326" s="547" t="s">
        <v>178</v>
      </c>
      <c r="L326" s="241"/>
      <c r="M326" s="241"/>
      <c r="N326" s="558">
        <v>14.0</v>
      </c>
      <c r="O326" s="547">
        <v>9.0</v>
      </c>
      <c r="P326" s="547">
        <v>5.0</v>
      </c>
      <c r="Q326" s="547">
        <v>5.0</v>
      </c>
      <c r="R326" s="547">
        <v>4.0</v>
      </c>
      <c r="S326" s="547">
        <v>4.0</v>
      </c>
      <c r="T326" s="547">
        <v>3.0</v>
      </c>
      <c r="U326" s="547">
        <v>2.0</v>
      </c>
      <c r="V326" s="547">
        <v>1.0</v>
      </c>
      <c r="W326" s="547" t="s">
        <v>178</v>
      </c>
      <c r="X326" s="547" t="s">
        <v>178</v>
      </c>
      <c r="Y326" s="241"/>
      <c r="Z326" s="312"/>
      <c r="AA326" s="312"/>
      <c r="AB326" s="312"/>
      <c r="AC326" s="312"/>
      <c r="AD326" s="243"/>
      <c r="AE326" s="243"/>
      <c r="AF326" s="243"/>
      <c r="AG326" s="243"/>
      <c r="AH326" s="312"/>
      <c r="AI326" s="312"/>
      <c r="AJ326" s="312"/>
      <c r="AK326" s="241"/>
      <c r="AL326" s="241"/>
      <c r="AM326" s="241"/>
      <c r="AN326" s="241"/>
      <c r="AO326" s="241"/>
      <c r="AP326" s="241"/>
      <c r="AQ326" s="241"/>
      <c r="AR326" s="241"/>
    </row>
    <row r="327">
      <c r="A327" s="558">
        <v>15.0</v>
      </c>
      <c r="B327" s="559" t="s">
        <v>661</v>
      </c>
      <c r="C327" s="547">
        <v>6.0</v>
      </c>
      <c r="D327" s="547">
        <v>6.0</v>
      </c>
      <c r="E327" s="547">
        <v>6.0</v>
      </c>
      <c r="F327" s="547">
        <v>6.0</v>
      </c>
      <c r="G327" s="547">
        <v>6.0</v>
      </c>
      <c r="H327" s="547">
        <v>6.0</v>
      </c>
      <c r="I327" s="547">
        <v>4.0</v>
      </c>
      <c r="J327" s="547" t="s">
        <v>178</v>
      </c>
      <c r="K327" s="547" t="s">
        <v>178</v>
      </c>
      <c r="L327" s="241"/>
      <c r="M327" s="241"/>
      <c r="N327" s="558">
        <v>15.0</v>
      </c>
      <c r="O327" s="547">
        <v>9.0</v>
      </c>
      <c r="P327" s="547">
        <v>5.0</v>
      </c>
      <c r="Q327" s="547">
        <v>5.0</v>
      </c>
      <c r="R327" s="547">
        <v>4.0</v>
      </c>
      <c r="S327" s="547">
        <v>4.0</v>
      </c>
      <c r="T327" s="547">
        <v>4.0</v>
      </c>
      <c r="U327" s="547">
        <v>3.0</v>
      </c>
      <c r="V327" s="547">
        <v>2.0</v>
      </c>
      <c r="W327" s="547" t="s">
        <v>178</v>
      </c>
      <c r="X327" s="547" t="s">
        <v>178</v>
      </c>
      <c r="Y327" s="241"/>
      <c r="Z327" s="312"/>
      <c r="AA327" s="312"/>
      <c r="AB327" s="312"/>
      <c r="AC327" s="312"/>
      <c r="AD327" s="243"/>
      <c r="AE327" s="243"/>
      <c r="AF327" s="243"/>
      <c r="AG327" s="243"/>
      <c r="AH327" s="312"/>
      <c r="AI327" s="312"/>
      <c r="AJ327" s="312"/>
      <c r="AK327" s="241"/>
      <c r="AL327" s="241"/>
      <c r="AM327" s="241"/>
      <c r="AN327" s="241"/>
      <c r="AO327" s="241"/>
      <c r="AP327" s="241"/>
      <c r="AQ327" s="241"/>
      <c r="AR327" s="241"/>
    </row>
    <row r="328">
      <c r="A328" s="558">
        <v>16.0</v>
      </c>
      <c r="B328" s="559" t="s">
        <v>661</v>
      </c>
      <c r="C328" s="547">
        <v>6.0</v>
      </c>
      <c r="D328" s="547">
        <v>6.0</v>
      </c>
      <c r="E328" s="547">
        <v>6.0</v>
      </c>
      <c r="F328" s="547">
        <v>6.0</v>
      </c>
      <c r="G328" s="547">
        <v>6.0</v>
      </c>
      <c r="H328" s="547">
        <v>6.0</v>
      </c>
      <c r="I328" s="547">
        <v>5.0</v>
      </c>
      <c r="J328" s="547">
        <v>3.0</v>
      </c>
      <c r="K328" s="547" t="s">
        <v>178</v>
      </c>
      <c r="L328" s="241"/>
      <c r="M328" s="241"/>
      <c r="N328" s="558">
        <v>16.0</v>
      </c>
      <c r="O328" s="547">
        <v>9.0</v>
      </c>
      <c r="P328" s="547">
        <v>5.0</v>
      </c>
      <c r="Q328" s="547">
        <v>5.0</v>
      </c>
      <c r="R328" s="547">
        <v>4.0</v>
      </c>
      <c r="S328" s="547">
        <v>4.0</v>
      </c>
      <c r="T328" s="547">
        <v>4.0</v>
      </c>
      <c r="U328" s="547">
        <v>3.0</v>
      </c>
      <c r="V328" s="547">
        <v>2.0</v>
      </c>
      <c r="W328" s="547">
        <v>1.0</v>
      </c>
      <c r="X328" s="547" t="s">
        <v>178</v>
      </c>
      <c r="Y328" s="241"/>
      <c r="Z328" s="312"/>
      <c r="AA328" s="312"/>
      <c r="AB328" s="312"/>
      <c r="AC328" s="312"/>
      <c r="AD328" s="243"/>
      <c r="AE328" s="243"/>
      <c r="AF328" s="243"/>
      <c r="AG328" s="243"/>
      <c r="AH328" s="312"/>
      <c r="AI328" s="312"/>
      <c r="AJ328" s="312"/>
      <c r="AK328" s="241"/>
      <c r="AL328" s="241"/>
      <c r="AM328" s="241"/>
      <c r="AN328" s="241"/>
      <c r="AO328" s="241"/>
      <c r="AP328" s="241"/>
      <c r="AQ328" s="241"/>
      <c r="AR328" s="241"/>
    </row>
    <row r="329">
      <c r="A329" s="558">
        <v>17.0</v>
      </c>
      <c r="B329" s="559" t="s">
        <v>661</v>
      </c>
      <c r="C329" s="547">
        <v>6.0</v>
      </c>
      <c r="D329" s="547">
        <v>6.0</v>
      </c>
      <c r="E329" s="547">
        <v>6.0</v>
      </c>
      <c r="F329" s="547">
        <v>6.0</v>
      </c>
      <c r="G329" s="547">
        <v>6.0</v>
      </c>
      <c r="H329" s="547">
        <v>6.0</v>
      </c>
      <c r="I329" s="547">
        <v>6.0</v>
      </c>
      <c r="J329" s="547">
        <v>4.0</v>
      </c>
      <c r="K329" s="547" t="s">
        <v>178</v>
      </c>
      <c r="L329" s="241"/>
      <c r="M329" s="241"/>
      <c r="N329" s="558">
        <v>17.0</v>
      </c>
      <c r="O329" s="547">
        <v>9.0</v>
      </c>
      <c r="P329" s="547">
        <v>5.0</v>
      </c>
      <c r="Q329" s="547">
        <v>5.0</v>
      </c>
      <c r="R329" s="547">
        <v>4.0</v>
      </c>
      <c r="S329" s="547">
        <v>4.0</v>
      </c>
      <c r="T329" s="547">
        <v>4.0</v>
      </c>
      <c r="U329" s="547">
        <v>3.0</v>
      </c>
      <c r="V329" s="547">
        <v>3.0</v>
      </c>
      <c r="W329" s="547">
        <v>2.0</v>
      </c>
      <c r="X329" s="547" t="s">
        <v>178</v>
      </c>
      <c r="Y329" s="241"/>
      <c r="Z329" s="312"/>
      <c r="AA329" s="312"/>
      <c r="AB329" s="312"/>
      <c r="AC329" s="312"/>
      <c r="AD329" s="243"/>
      <c r="AE329" s="243"/>
      <c r="AF329" s="243"/>
      <c r="AG329" s="243"/>
      <c r="AH329" s="312"/>
      <c r="AI329" s="312"/>
      <c r="AJ329" s="312"/>
      <c r="AK329" s="241"/>
      <c r="AL329" s="241"/>
      <c r="AM329" s="241"/>
      <c r="AN329" s="241"/>
      <c r="AO329" s="241"/>
      <c r="AP329" s="241"/>
      <c r="AQ329" s="241"/>
      <c r="AR329" s="241"/>
    </row>
    <row r="330">
      <c r="A330" s="558">
        <v>18.0</v>
      </c>
      <c r="B330" s="559" t="s">
        <v>661</v>
      </c>
      <c r="C330" s="547">
        <v>6.0</v>
      </c>
      <c r="D330" s="547">
        <v>6.0</v>
      </c>
      <c r="E330" s="547">
        <v>6.0</v>
      </c>
      <c r="F330" s="547">
        <v>6.0</v>
      </c>
      <c r="G330" s="547">
        <v>6.0</v>
      </c>
      <c r="H330" s="547">
        <v>6.0</v>
      </c>
      <c r="I330" s="547">
        <v>6.0</v>
      </c>
      <c r="J330" s="547">
        <v>5.0</v>
      </c>
      <c r="K330" s="547">
        <v>3.0</v>
      </c>
      <c r="L330" s="241"/>
      <c r="M330" s="241"/>
      <c r="N330" s="558">
        <v>18.0</v>
      </c>
      <c r="O330" s="547">
        <v>9.0</v>
      </c>
      <c r="P330" s="547">
        <v>5.0</v>
      </c>
      <c r="Q330" s="547">
        <v>5.0</v>
      </c>
      <c r="R330" s="547">
        <v>4.0</v>
      </c>
      <c r="S330" s="547">
        <v>4.0</v>
      </c>
      <c r="T330" s="547">
        <v>4.0</v>
      </c>
      <c r="U330" s="547">
        <v>3.0</v>
      </c>
      <c r="V330" s="547">
        <v>3.0</v>
      </c>
      <c r="W330" s="547">
        <v>2.0</v>
      </c>
      <c r="X330" s="547">
        <v>1.0</v>
      </c>
      <c r="Y330" s="241"/>
      <c r="Z330" s="312"/>
      <c r="AA330" s="312"/>
      <c r="AB330" s="312"/>
      <c r="AC330" s="312"/>
      <c r="AD330" s="243"/>
      <c r="AE330" s="243"/>
      <c r="AF330" s="243"/>
      <c r="AG330" s="243"/>
      <c r="AH330" s="312"/>
      <c r="AI330" s="312"/>
      <c r="AJ330" s="312"/>
      <c r="AK330" s="241"/>
      <c r="AL330" s="241"/>
      <c r="AM330" s="241"/>
      <c r="AN330" s="241"/>
      <c r="AO330" s="241"/>
      <c r="AP330" s="241"/>
      <c r="AQ330" s="241"/>
      <c r="AR330" s="241"/>
    </row>
    <row r="331">
      <c r="A331" s="558">
        <v>19.0</v>
      </c>
      <c r="B331" s="559" t="s">
        <v>661</v>
      </c>
      <c r="C331" s="547">
        <v>6.0</v>
      </c>
      <c r="D331" s="547">
        <v>6.0</v>
      </c>
      <c r="E331" s="547">
        <v>6.0</v>
      </c>
      <c r="F331" s="547">
        <v>6.0</v>
      </c>
      <c r="G331" s="547">
        <v>6.0</v>
      </c>
      <c r="H331" s="547">
        <v>6.0</v>
      </c>
      <c r="I331" s="547">
        <v>6.0</v>
      </c>
      <c r="J331" s="547">
        <v>6.0</v>
      </c>
      <c r="K331" s="547">
        <v>4.0</v>
      </c>
      <c r="L331" s="241"/>
      <c r="M331" s="241"/>
      <c r="N331" s="558">
        <v>19.0</v>
      </c>
      <c r="O331" s="547">
        <v>9.0</v>
      </c>
      <c r="P331" s="547">
        <v>5.0</v>
      </c>
      <c r="Q331" s="547">
        <v>5.0</v>
      </c>
      <c r="R331" s="547">
        <v>4.0</v>
      </c>
      <c r="S331" s="547">
        <v>4.0</v>
      </c>
      <c r="T331" s="547">
        <v>4.0</v>
      </c>
      <c r="U331" s="547">
        <v>3.0</v>
      </c>
      <c r="V331" s="547">
        <v>3.0</v>
      </c>
      <c r="W331" s="547">
        <v>3.0</v>
      </c>
      <c r="X331" s="547">
        <v>2.0</v>
      </c>
      <c r="Y331" s="241"/>
      <c r="Z331" s="312"/>
      <c r="AA331" s="312"/>
      <c r="AB331" s="312"/>
      <c r="AC331" s="312"/>
      <c r="AD331" s="243"/>
      <c r="AE331" s="243"/>
      <c r="AF331" s="243"/>
      <c r="AG331" s="243"/>
      <c r="AH331" s="312"/>
      <c r="AI331" s="312"/>
      <c r="AJ331" s="312"/>
      <c r="AK331" s="241"/>
      <c r="AL331" s="241"/>
      <c r="AM331" s="241"/>
      <c r="AN331" s="241"/>
      <c r="AO331" s="241"/>
      <c r="AP331" s="241"/>
      <c r="AQ331" s="241"/>
      <c r="AR331" s="241"/>
    </row>
    <row r="332">
      <c r="A332" s="558">
        <v>20.0</v>
      </c>
      <c r="B332" s="559" t="s">
        <v>661</v>
      </c>
      <c r="C332" s="547">
        <v>6.0</v>
      </c>
      <c r="D332" s="547">
        <v>6.0</v>
      </c>
      <c r="E332" s="547">
        <v>6.0</v>
      </c>
      <c r="F332" s="547">
        <v>6.0</v>
      </c>
      <c r="G332" s="547">
        <v>6.0</v>
      </c>
      <c r="H332" s="547">
        <v>6.0</v>
      </c>
      <c r="I332" s="547">
        <v>6.0</v>
      </c>
      <c r="J332" s="547">
        <v>6.0</v>
      </c>
      <c r="K332" s="547">
        <v>6.0</v>
      </c>
      <c r="L332" s="241"/>
      <c r="M332" s="241"/>
      <c r="N332" s="558">
        <v>20.0</v>
      </c>
      <c r="O332" s="547">
        <v>9.0</v>
      </c>
      <c r="P332" s="547">
        <v>5.0</v>
      </c>
      <c r="Q332" s="547">
        <v>5.0</v>
      </c>
      <c r="R332" s="547">
        <v>4.0</v>
      </c>
      <c r="S332" s="547">
        <v>4.0</v>
      </c>
      <c r="T332" s="547">
        <v>4.0</v>
      </c>
      <c r="U332" s="547">
        <v>3.0</v>
      </c>
      <c r="V332" s="547">
        <v>3.0</v>
      </c>
      <c r="W332" s="547">
        <v>3.0</v>
      </c>
      <c r="X332" s="547">
        <v>3.0</v>
      </c>
      <c r="Y332" s="241"/>
      <c r="Z332" s="312"/>
      <c r="AA332" s="312"/>
      <c r="AB332" s="312"/>
      <c r="AC332" s="312"/>
      <c r="AD332" s="243"/>
      <c r="AE332" s="243"/>
      <c r="AF332" s="243"/>
      <c r="AG332" s="243"/>
      <c r="AH332" s="312"/>
      <c r="AI332" s="312"/>
      <c r="AJ332" s="312"/>
      <c r="AK332" s="241"/>
      <c r="AL332" s="241"/>
      <c r="AM332" s="241"/>
      <c r="AN332" s="241"/>
      <c r="AO332" s="241"/>
      <c r="AP332" s="241"/>
      <c r="AQ332" s="241"/>
      <c r="AR332" s="241"/>
    </row>
    <row r="333">
      <c r="A333" s="241"/>
      <c r="B333" s="241"/>
      <c r="C333" s="241"/>
      <c r="D333" s="241"/>
      <c r="E333" s="241"/>
      <c r="F333" s="241"/>
      <c r="G333" s="241"/>
      <c r="H333" s="241"/>
      <c r="I333" s="241"/>
      <c r="J333" s="241"/>
      <c r="K333" s="241"/>
      <c r="L333" s="241"/>
      <c r="M333" s="241"/>
      <c r="N333" s="241"/>
      <c r="O333" s="241"/>
      <c r="P333" s="241"/>
      <c r="Q333" s="241"/>
      <c r="R333" s="241"/>
      <c r="S333" s="241"/>
      <c r="T333" s="241"/>
      <c r="U333" s="241"/>
      <c r="V333" s="241"/>
      <c r="W333" s="312"/>
      <c r="X333" s="312"/>
      <c r="Y333" s="312"/>
      <c r="Z333" s="312"/>
      <c r="AA333" s="243"/>
      <c r="AB333" s="243"/>
      <c r="AC333" s="243"/>
      <c r="AD333" s="243"/>
      <c r="AE333" s="243"/>
      <c r="AF333" s="243"/>
      <c r="AG333" s="243"/>
      <c r="AH333" s="243"/>
      <c r="AI333" s="243"/>
      <c r="AJ333" s="243"/>
      <c r="AK333" s="241"/>
      <c r="AL333" s="241"/>
      <c r="AM333" s="241"/>
      <c r="AN333" s="241"/>
      <c r="AO333" s="241"/>
      <c r="AP333" s="241"/>
      <c r="AQ333" s="241"/>
      <c r="AR333" s="241"/>
    </row>
    <row r="334">
      <c r="A334" s="554"/>
      <c r="B334" s="549" t="s">
        <v>666</v>
      </c>
      <c r="C334" s="312"/>
      <c r="D334" s="312"/>
      <c r="E334" s="312"/>
      <c r="F334" s="312"/>
      <c r="G334" s="312"/>
      <c r="H334" s="312"/>
      <c r="I334" s="312"/>
      <c r="J334" s="312"/>
      <c r="K334" s="312"/>
      <c r="L334" s="312"/>
      <c r="M334" s="312"/>
      <c r="N334" s="549" t="s">
        <v>667</v>
      </c>
      <c r="O334" s="243"/>
      <c r="P334" s="243"/>
      <c r="Q334" s="243"/>
      <c r="R334" s="243"/>
      <c r="S334" s="243"/>
      <c r="T334" s="243"/>
      <c r="U334" s="243"/>
      <c r="V334" s="243"/>
      <c r="W334" s="243"/>
      <c r="X334" s="243"/>
      <c r="Y334" s="241"/>
      <c r="Z334" s="312"/>
      <c r="AA334" s="241"/>
      <c r="AB334" s="243"/>
      <c r="AC334" s="243"/>
      <c r="AD334" s="243"/>
      <c r="AE334" s="243"/>
      <c r="AF334" s="243"/>
      <c r="AG334" s="243"/>
      <c r="AH334" s="243"/>
      <c r="AI334" s="243"/>
      <c r="AJ334" s="243"/>
      <c r="AK334" s="241"/>
      <c r="AL334" s="241"/>
      <c r="AM334" s="241"/>
      <c r="AN334" s="241"/>
      <c r="AO334" s="241"/>
      <c r="AP334" s="241"/>
      <c r="AQ334" s="241"/>
      <c r="AR334" s="241"/>
    </row>
    <row r="335">
      <c r="A335" s="554" t="s">
        <v>660</v>
      </c>
      <c r="B335" s="555">
        <v>0.0</v>
      </c>
      <c r="C335" s="556">
        <v>1.0</v>
      </c>
      <c r="D335" s="310">
        <v>2.0</v>
      </c>
      <c r="E335" s="310">
        <v>3.0</v>
      </c>
      <c r="F335" s="310">
        <v>4.0</v>
      </c>
      <c r="G335" s="310">
        <v>5.0</v>
      </c>
      <c r="H335" s="310">
        <v>6.0</v>
      </c>
      <c r="I335" s="310">
        <v>7.0</v>
      </c>
      <c r="J335" s="310">
        <v>8.0</v>
      </c>
      <c r="K335" s="310">
        <v>9.0</v>
      </c>
      <c r="L335" s="547"/>
      <c r="M335" s="547"/>
      <c r="N335" s="554" t="s">
        <v>660</v>
      </c>
      <c r="O335" s="555">
        <v>0.0</v>
      </c>
      <c r="P335" s="556">
        <v>1.0</v>
      </c>
      <c r="Q335" s="310">
        <v>2.0</v>
      </c>
      <c r="R335" s="310">
        <v>3.0</v>
      </c>
      <c r="S335" s="310">
        <v>4.0</v>
      </c>
      <c r="T335" s="310">
        <v>5.0</v>
      </c>
      <c r="U335" s="310">
        <v>6.0</v>
      </c>
      <c r="V335" s="310">
        <v>7.0</v>
      </c>
      <c r="W335" s="310">
        <v>8.0</v>
      </c>
      <c r="X335" s="310">
        <v>9.0</v>
      </c>
      <c r="Y335" s="241"/>
      <c r="Z335" s="241"/>
      <c r="AA335" s="312"/>
      <c r="AB335" s="312"/>
      <c r="AC335" s="312"/>
      <c r="AD335" s="243"/>
      <c r="AE335" s="243"/>
      <c r="AF335" s="243"/>
      <c r="AG335" s="243"/>
      <c r="AH335" s="243"/>
      <c r="AI335" s="243"/>
      <c r="AJ335" s="243"/>
      <c r="AK335" s="241"/>
      <c r="AL335" s="241"/>
      <c r="AM335" s="241"/>
      <c r="AN335" s="241"/>
      <c r="AO335" s="241"/>
      <c r="AP335" s="241"/>
      <c r="AQ335" s="241"/>
      <c r="AR335" s="241"/>
    </row>
    <row r="336">
      <c r="A336" s="558">
        <v>1.0</v>
      </c>
      <c r="B336" s="547">
        <v>3.0</v>
      </c>
      <c r="C336" s="547">
        <v>1.0</v>
      </c>
      <c r="D336" s="547" t="s">
        <v>178</v>
      </c>
      <c r="E336" s="547" t="s">
        <v>178</v>
      </c>
      <c r="F336" s="547" t="s">
        <v>178</v>
      </c>
      <c r="G336" s="547" t="s">
        <v>178</v>
      </c>
      <c r="H336" s="547" t="s">
        <v>178</v>
      </c>
      <c r="I336" s="547" t="s">
        <v>178</v>
      </c>
      <c r="J336" s="547" t="s">
        <v>178</v>
      </c>
      <c r="K336" s="547" t="s">
        <v>178</v>
      </c>
      <c r="L336" s="547"/>
      <c r="M336" s="555"/>
      <c r="N336" s="558">
        <v>1.0</v>
      </c>
      <c r="O336" s="559" t="s">
        <v>661</v>
      </c>
      <c r="P336" s="310">
        <v>3.0</v>
      </c>
      <c r="Q336" s="547" t="s">
        <v>178</v>
      </c>
      <c r="R336" s="547" t="s">
        <v>178</v>
      </c>
      <c r="S336" s="547" t="s">
        <v>178</v>
      </c>
      <c r="T336" s="547" t="s">
        <v>178</v>
      </c>
      <c r="U336" s="547" t="s">
        <v>178</v>
      </c>
      <c r="V336" s="555" t="s">
        <v>178</v>
      </c>
      <c r="W336" s="555" t="s">
        <v>178</v>
      </c>
      <c r="X336" s="555" t="s">
        <v>178</v>
      </c>
      <c r="Y336" s="241"/>
      <c r="Z336" s="312"/>
      <c r="AA336" s="312"/>
      <c r="AB336" s="312"/>
      <c r="AC336" s="312"/>
      <c r="AD336" s="243"/>
      <c r="AE336" s="243"/>
      <c r="AF336" s="243"/>
      <c r="AG336" s="243"/>
      <c r="AH336" s="243"/>
      <c r="AI336" s="243"/>
      <c r="AJ336" s="243"/>
      <c r="AK336" s="241"/>
      <c r="AL336" s="241"/>
      <c r="AM336" s="241"/>
      <c r="AN336" s="241"/>
      <c r="AO336" s="241"/>
      <c r="AP336" s="241"/>
      <c r="AQ336" s="241"/>
      <c r="AR336" s="241"/>
    </row>
    <row r="337">
      <c r="A337" s="558">
        <v>2.0</v>
      </c>
      <c r="B337" s="547">
        <v>4.0</v>
      </c>
      <c r="C337" s="547">
        <v>2.0</v>
      </c>
      <c r="D337" s="547" t="s">
        <v>178</v>
      </c>
      <c r="E337" s="547" t="s">
        <v>178</v>
      </c>
      <c r="F337" s="547" t="s">
        <v>178</v>
      </c>
      <c r="G337" s="547" t="s">
        <v>178</v>
      </c>
      <c r="H337" s="547" t="s">
        <v>178</v>
      </c>
      <c r="I337" s="547" t="s">
        <v>178</v>
      </c>
      <c r="J337" s="547" t="s">
        <v>178</v>
      </c>
      <c r="K337" s="547" t="s">
        <v>178</v>
      </c>
      <c r="L337" s="547"/>
      <c r="M337" s="547"/>
      <c r="N337" s="558">
        <v>2.0</v>
      </c>
      <c r="O337" s="559" t="s">
        <v>661</v>
      </c>
      <c r="P337" s="547">
        <f t="shared" ref="P337:P338" si="20">P336+2</f>
        <v>5</v>
      </c>
      <c r="Q337" s="547" t="s">
        <v>178</v>
      </c>
      <c r="R337" s="547" t="s">
        <v>178</v>
      </c>
      <c r="S337" s="547" t="s">
        <v>178</v>
      </c>
      <c r="T337" s="547" t="s">
        <v>178</v>
      </c>
      <c r="U337" s="547" t="s">
        <v>178</v>
      </c>
      <c r="V337" s="555" t="s">
        <v>178</v>
      </c>
      <c r="W337" s="555" t="s">
        <v>178</v>
      </c>
      <c r="X337" s="555" t="s">
        <v>178</v>
      </c>
      <c r="Y337" s="241"/>
      <c r="Z337" s="312"/>
      <c r="AA337" s="312"/>
      <c r="AB337" s="312"/>
      <c r="AC337" s="312"/>
      <c r="AD337" s="312"/>
      <c r="AE337" s="243"/>
      <c r="AF337" s="243"/>
      <c r="AG337" s="243"/>
      <c r="AH337" s="243"/>
      <c r="AI337" s="243"/>
      <c r="AJ337" s="243"/>
      <c r="AK337" s="241"/>
      <c r="AL337" s="241"/>
      <c r="AM337" s="241"/>
      <c r="AN337" s="241"/>
      <c r="AO337" s="241"/>
      <c r="AP337" s="241"/>
      <c r="AQ337" s="241"/>
      <c r="AR337" s="241"/>
    </row>
    <row r="338">
      <c r="A338" s="558">
        <v>3.0</v>
      </c>
      <c r="B338" s="547">
        <v>4.0</v>
      </c>
      <c r="C338" s="547">
        <v>2.0</v>
      </c>
      <c r="D338" s="547">
        <v>1.0</v>
      </c>
      <c r="E338" s="547" t="s">
        <v>178</v>
      </c>
      <c r="F338" s="547" t="s">
        <v>178</v>
      </c>
      <c r="G338" s="547" t="s">
        <v>178</v>
      </c>
      <c r="H338" s="547" t="s">
        <v>178</v>
      </c>
      <c r="I338" s="547" t="s">
        <v>178</v>
      </c>
      <c r="J338" s="547" t="s">
        <v>178</v>
      </c>
      <c r="K338" s="547" t="s">
        <v>178</v>
      </c>
      <c r="L338" s="547"/>
      <c r="M338" s="547"/>
      <c r="N338" s="558">
        <v>3.0</v>
      </c>
      <c r="O338" s="559" t="s">
        <v>661</v>
      </c>
      <c r="P338" s="547">
        <f t="shared" si="20"/>
        <v>7</v>
      </c>
      <c r="Q338" s="547" t="s">
        <v>178</v>
      </c>
      <c r="R338" s="547" t="s">
        <v>178</v>
      </c>
      <c r="S338" s="547" t="s">
        <v>178</v>
      </c>
      <c r="T338" s="547" t="s">
        <v>178</v>
      </c>
      <c r="U338" s="547" t="s">
        <v>178</v>
      </c>
      <c r="V338" s="547" t="s">
        <v>178</v>
      </c>
      <c r="W338" s="547" t="s">
        <v>178</v>
      </c>
      <c r="X338" s="547" t="s">
        <v>178</v>
      </c>
      <c r="Y338" s="241"/>
      <c r="Z338" s="312"/>
      <c r="AA338" s="312"/>
      <c r="AB338" s="312"/>
      <c r="AC338" s="312"/>
      <c r="AD338" s="243"/>
      <c r="AE338" s="243"/>
      <c r="AF338" s="243"/>
      <c r="AG338" s="243"/>
      <c r="AH338" s="312"/>
      <c r="AI338" s="312"/>
      <c r="AJ338" s="312"/>
      <c r="AK338" s="241"/>
      <c r="AL338" s="241"/>
      <c r="AM338" s="241"/>
      <c r="AN338" s="241"/>
      <c r="AO338" s="241"/>
      <c r="AP338" s="241"/>
      <c r="AQ338" s="241"/>
      <c r="AR338" s="241"/>
    </row>
    <row r="339">
      <c r="A339" s="558">
        <v>4.0</v>
      </c>
      <c r="B339" s="547">
        <v>4.0</v>
      </c>
      <c r="C339" s="547">
        <v>3.0</v>
      </c>
      <c r="D339" s="547">
        <v>2.0</v>
      </c>
      <c r="E339" s="547" t="s">
        <v>178</v>
      </c>
      <c r="F339" s="547" t="s">
        <v>178</v>
      </c>
      <c r="G339" s="547" t="s">
        <v>178</v>
      </c>
      <c r="H339" s="547" t="s">
        <v>178</v>
      </c>
      <c r="I339" s="547" t="s">
        <v>178</v>
      </c>
      <c r="J339" s="547" t="s">
        <v>178</v>
      </c>
      <c r="K339" s="547" t="s">
        <v>178</v>
      </c>
      <c r="L339" s="547"/>
      <c r="M339" s="547"/>
      <c r="N339" s="558">
        <v>4.0</v>
      </c>
      <c r="O339" s="559" t="s">
        <v>661</v>
      </c>
      <c r="P339" s="547">
        <f t="shared" ref="P339:P355" si="21">P338</f>
        <v>7</v>
      </c>
      <c r="Q339" s="310">
        <v>2.0</v>
      </c>
      <c r="R339" s="547" t="s">
        <v>178</v>
      </c>
      <c r="S339" s="547" t="s">
        <v>178</v>
      </c>
      <c r="T339" s="547" t="s">
        <v>178</v>
      </c>
      <c r="U339" s="547" t="s">
        <v>178</v>
      </c>
      <c r="V339" s="547" t="s">
        <v>178</v>
      </c>
      <c r="W339" s="547" t="s">
        <v>178</v>
      </c>
      <c r="X339" s="547" t="s">
        <v>178</v>
      </c>
      <c r="Y339" s="241"/>
      <c r="Z339" s="312"/>
      <c r="AA339" s="312"/>
      <c r="AB339" s="312"/>
      <c r="AC339" s="312"/>
      <c r="AD339" s="243"/>
      <c r="AE339" s="243"/>
      <c r="AF339" s="243"/>
      <c r="AG339" s="243"/>
      <c r="AH339" s="312"/>
      <c r="AI339" s="312"/>
      <c r="AJ339" s="312"/>
      <c r="AK339" s="241"/>
      <c r="AL339" s="241"/>
      <c r="AM339" s="241"/>
      <c r="AN339" s="241"/>
      <c r="AO339" s="241"/>
      <c r="AP339" s="241"/>
      <c r="AQ339" s="241"/>
      <c r="AR339" s="241"/>
    </row>
    <row r="340">
      <c r="A340" s="558">
        <v>5.0</v>
      </c>
      <c r="B340" s="547">
        <v>4.0</v>
      </c>
      <c r="C340" s="547">
        <v>3.0</v>
      </c>
      <c r="D340" s="547">
        <v>2.0</v>
      </c>
      <c r="E340" s="547">
        <v>1.0</v>
      </c>
      <c r="F340" s="547" t="s">
        <v>178</v>
      </c>
      <c r="G340" s="547" t="s">
        <v>178</v>
      </c>
      <c r="H340" s="547" t="s">
        <v>178</v>
      </c>
      <c r="I340" s="547" t="s">
        <v>178</v>
      </c>
      <c r="J340" s="547" t="s">
        <v>178</v>
      </c>
      <c r="K340" s="547" t="s">
        <v>178</v>
      </c>
      <c r="L340" s="547"/>
      <c r="M340" s="547"/>
      <c r="N340" s="558">
        <v>5.0</v>
      </c>
      <c r="O340" s="559" t="s">
        <v>661</v>
      </c>
      <c r="P340" s="547">
        <f t="shared" si="21"/>
        <v>7</v>
      </c>
      <c r="Q340" s="310">
        <v>4.0</v>
      </c>
      <c r="R340" s="547" t="s">
        <v>178</v>
      </c>
      <c r="S340" s="547" t="s">
        <v>178</v>
      </c>
      <c r="T340" s="547" t="s">
        <v>178</v>
      </c>
      <c r="U340" s="547" t="s">
        <v>178</v>
      </c>
      <c r="V340" s="547" t="s">
        <v>178</v>
      </c>
      <c r="W340" s="547" t="s">
        <v>178</v>
      </c>
      <c r="X340" s="547" t="s">
        <v>178</v>
      </c>
      <c r="Y340" s="241"/>
      <c r="Z340" s="312"/>
      <c r="AA340" s="312"/>
      <c r="AB340" s="312"/>
      <c r="AC340" s="312"/>
      <c r="AD340" s="243"/>
      <c r="AE340" s="243"/>
      <c r="AF340" s="243"/>
      <c r="AG340" s="243"/>
      <c r="AH340" s="312"/>
      <c r="AI340" s="312"/>
      <c r="AJ340" s="312"/>
      <c r="AK340" s="241"/>
      <c r="AL340" s="241"/>
      <c r="AM340" s="241"/>
      <c r="AN340" s="241"/>
      <c r="AO340" s="241"/>
      <c r="AP340" s="241"/>
      <c r="AQ340" s="241"/>
      <c r="AR340" s="241"/>
    </row>
    <row r="341">
      <c r="A341" s="558">
        <v>6.0</v>
      </c>
      <c r="B341" s="547">
        <v>4.0</v>
      </c>
      <c r="C341" s="547">
        <v>3.0</v>
      </c>
      <c r="D341" s="547">
        <v>3.0</v>
      </c>
      <c r="E341" s="547">
        <v>2.0</v>
      </c>
      <c r="F341" s="547" t="s">
        <v>178</v>
      </c>
      <c r="G341" s="547" t="s">
        <v>178</v>
      </c>
      <c r="H341" s="547" t="s">
        <v>178</v>
      </c>
      <c r="I341" s="547" t="s">
        <v>178</v>
      </c>
      <c r="J341" s="547" t="s">
        <v>178</v>
      </c>
      <c r="K341" s="547" t="s">
        <v>178</v>
      </c>
      <c r="L341" s="547"/>
      <c r="M341" s="547"/>
      <c r="N341" s="558">
        <v>6.0</v>
      </c>
      <c r="O341" s="559" t="s">
        <v>661</v>
      </c>
      <c r="P341" s="547">
        <f t="shared" si="21"/>
        <v>7</v>
      </c>
      <c r="Q341" s="310">
        <v>4.0</v>
      </c>
      <c r="R341" s="310">
        <v>2.0</v>
      </c>
      <c r="S341" s="547" t="s">
        <v>178</v>
      </c>
      <c r="T341" s="547" t="s">
        <v>178</v>
      </c>
      <c r="U341" s="547" t="s">
        <v>178</v>
      </c>
      <c r="V341" s="547" t="s">
        <v>178</v>
      </c>
      <c r="W341" s="547" t="s">
        <v>178</v>
      </c>
      <c r="X341" s="547" t="s">
        <v>178</v>
      </c>
      <c r="Y341" s="241"/>
      <c r="Z341" s="312"/>
      <c r="AA341" s="312"/>
      <c r="AB341" s="312"/>
      <c r="AC341" s="312"/>
      <c r="AD341" s="243"/>
      <c r="AE341" s="243"/>
      <c r="AF341" s="243"/>
      <c r="AG341" s="243"/>
      <c r="AH341" s="312"/>
      <c r="AI341" s="312"/>
      <c r="AJ341" s="312"/>
      <c r="AK341" s="241"/>
      <c r="AL341" s="241"/>
      <c r="AM341" s="241"/>
      <c r="AN341" s="241"/>
      <c r="AO341" s="241"/>
      <c r="AP341" s="241"/>
      <c r="AQ341" s="241"/>
      <c r="AR341" s="241"/>
    </row>
    <row r="342">
      <c r="A342" s="558">
        <v>7.0</v>
      </c>
      <c r="B342" s="547">
        <v>4.0</v>
      </c>
      <c r="C342" s="547">
        <v>4.0</v>
      </c>
      <c r="D342" s="547">
        <v>3.0</v>
      </c>
      <c r="E342" s="547">
        <v>2.0</v>
      </c>
      <c r="F342" s="547">
        <v>1.0</v>
      </c>
      <c r="G342" s="547" t="s">
        <v>178</v>
      </c>
      <c r="H342" s="547" t="s">
        <v>178</v>
      </c>
      <c r="I342" s="547" t="s">
        <v>178</v>
      </c>
      <c r="J342" s="547" t="s">
        <v>178</v>
      </c>
      <c r="K342" s="547" t="s">
        <v>178</v>
      </c>
      <c r="L342" s="547"/>
      <c r="M342" s="547"/>
      <c r="N342" s="558">
        <v>7.0</v>
      </c>
      <c r="O342" s="559" t="s">
        <v>661</v>
      </c>
      <c r="P342" s="547">
        <f t="shared" si="21"/>
        <v>7</v>
      </c>
      <c r="Q342" s="310">
        <v>4.0</v>
      </c>
      <c r="R342" s="310">
        <v>4.0</v>
      </c>
      <c r="S342" s="547" t="s">
        <v>178</v>
      </c>
      <c r="T342" s="547" t="s">
        <v>178</v>
      </c>
      <c r="U342" s="547" t="s">
        <v>178</v>
      </c>
      <c r="V342" s="547" t="s">
        <v>178</v>
      </c>
      <c r="W342" s="547" t="s">
        <v>178</v>
      </c>
      <c r="X342" s="547" t="s">
        <v>178</v>
      </c>
      <c r="Y342" s="241"/>
      <c r="Z342" s="312"/>
      <c r="AA342" s="312"/>
      <c r="AB342" s="312"/>
      <c r="AC342" s="312"/>
      <c r="AD342" s="243"/>
      <c r="AE342" s="243"/>
      <c r="AF342" s="243"/>
      <c r="AG342" s="243"/>
      <c r="AH342" s="312"/>
      <c r="AI342" s="312"/>
      <c r="AJ342" s="312"/>
      <c r="AK342" s="241"/>
      <c r="AL342" s="241"/>
      <c r="AM342" s="241"/>
      <c r="AN342" s="241"/>
      <c r="AO342" s="241"/>
      <c r="AP342" s="241"/>
      <c r="AQ342" s="241"/>
      <c r="AR342" s="241"/>
    </row>
    <row r="343">
      <c r="A343" s="558">
        <v>8.0</v>
      </c>
      <c r="B343" s="547">
        <v>4.0</v>
      </c>
      <c r="C343" s="547">
        <v>4.0</v>
      </c>
      <c r="D343" s="547">
        <v>3.0</v>
      </c>
      <c r="E343" s="547">
        <v>3.0</v>
      </c>
      <c r="F343" s="547">
        <v>2.0</v>
      </c>
      <c r="G343" s="547" t="s">
        <v>178</v>
      </c>
      <c r="H343" s="547" t="s">
        <v>178</v>
      </c>
      <c r="I343" s="547" t="s">
        <v>178</v>
      </c>
      <c r="J343" s="547" t="s">
        <v>178</v>
      </c>
      <c r="K343" s="547" t="s">
        <v>178</v>
      </c>
      <c r="L343" s="547"/>
      <c r="M343" s="547"/>
      <c r="N343" s="558">
        <v>8.0</v>
      </c>
      <c r="O343" s="559" t="s">
        <v>661</v>
      </c>
      <c r="P343" s="547">
        <f t="shared" si="21"/>
        <v>7</v>
      </c>
      <c r="Q343" s="310">
        <v>4.0</v>
      </c>
      <c r="R343" s="547">
        <v>4.0</v>
      </c>
      <c r="S343" s="310">
        <v>2.0</v>
      </c>
      <c r="T343" s="547" t="s">
        <v>178</v>
      </c>
      <c r="U343" s="547" t="s">
        <v>178</v>
      </c>
      <c r="V343" s="547" t="s">
        <v>178</v>
      </c>
      <c r="W343" s="547" t="s">
        <v>178</v>
      </c>
      <c r="X343" s="547" t="s">
        <v>178</v>
      </c>
      <c r="Y343" s="241"/>
      <c r="Z343" s="312"/>
      <c r="AA343" s="312"/>
      <c r="AB343" s="312"/>
      <c r="AC343" s="312"/>
      <c r="AD343" s="243"/>
      <c r="AE343" s="243"/>
      <c r="AF343" s="243"/>
      <c r="AG343" s="243"/>
      <c r="AH343" s="312"/>
      <c r="AI343" s="312"/>
      <c r="AJ343" s="312"/>
      <c r="AK343" s="241"/>
      <c r="AL343" s="241"/>
      <c r="AM343" s="241"/>
      <c r="AN343" s="241"/>
      <c r="AO343" s="241"/>
      <c r="AP343" s="241"/>
      <c r="AQ343" s="241"/>
      <c r="AR343" s="241"/>
    </row>
    <row r="344">
      <c r="A344" s="558">
        <v>9.0</v>
      </c>
      <c r="B344" s="547">
        <v>4.0</v>
      </c>
      <c r="C344" s="547">
        <v>4.0</v>
      </c>
      <c r="D344" s="547">
        <v>4.0</v>
      </c>
      <c r="E344" s="547">
        <v>3.0</v>
      </c>
      <c r="F344" s="547">
        <v>2.0</v>
      </c>
      <c r="G344" s="547">
        <v>1.0</v>
      </c>
      <c r="H344" s="547" t="s">
        <v>178</v>
      </c>
      <c r="I344" s="547" t="s">
        <v>178</v>
      </c>
      <c r="J344" s="547" t="s">
        <v>178</v>
      </c>
      <c r="K344" s="547" t="s">
        <v>178</v>
      </c>
      <c r="L344" s="547"/>
      <c r="M344" s="547"/>
      <c r="N344" s="558">
        <v>9.0</v>
      </c>
      <c r="O344" s="559" t="s">
        <v>661</v>
      </c>
      <c r="P344" s="547">
        <f t="shared" si="21"/>
        <v>7</v>
      </c>
      <c r="Q344" s="310">
        <v>4.0</v>
      </c>
      <c r="R344" s="547">
        <v>4.0</v>
      </c>
      <c r="S344" s="547">
        <v>4.0</v>
      </c>
      <c r="T344" s="547" t="s">
        <v>178</v>
      </c>
      <c r="U344" s="547" t="s">
        <v>178</v>
      </c>
      <c r="V344" s="547" t="s">
        <v>178</v>
      </c>
      <c r="W344" s="547" t="s">
        <v>178</v>
      </c>
      <c r="X344" s="547" t="s">
        <v>178</v>
      </c>
      <c r="Y344" s="241"/>
      <c r="Z344" s="312"/>
      <c r="AA344" s="312"/>
      <c r="AB344" s="312"/>
      <c r="AC344" s="312"/>
      <c r="AD344" s="243"/>
      <c r="AE344" s="243"/>
      <c r="AF344" s="243"/>
      <c r="AG344" s="243"/>
      <c r="AH344" s="312"/>
      <c r="AI344" s="312"/>
      <c r="AJ344" s="312"/>
      <c r="AK344" s="241"/>
      <c r="AL344" s="241"/>
      <c r="AM344" s="241"/>
      <c r="AN344" s="241"/>
      <c r="AO344" s="241"/>
      <c r="AP344" s="241"/>
      <c r="AQ344" s="241"/>
      <c r="AR344" s="241"/>
    </row>
    <row r="345">
      <c r="A345" s="558">
        <v>10.0</v>
      </c>
      <c r="B345" s="547">
        <v>4.0</v>
      </c>
      <c r="C345" s="547">
        <v>4.0</v>
      </c>
      <c r="D345" s="547">
        <v>4.0</v>
      </c>
      <c r="E345" s="547">
        <v>3.0</v>
      </c>
      <c r="F345" s="547">
        <v>3.0</v>
      </c>
      <c r="G345" s="547">
        <v>2.0</v>
      </c>
      <c r="H345" s="547" t="s">
        <v>178</v>
      </c>
      <c r="I345" s="547" t="s">
        <v>178</v>
      </c>
      <c r="J345" s="547" t="s">
        <v>178</v>
      </c>
      <c r="K345" s="547" t="s">
        <v>178</v>
      </c>
      <c r="L345" s="547"/>
      <c r="M345" s="547"/>
      <c r="N345" s="558">
        <v>10.0</v>
      </c>
      <c r="O345" s="559" t="s">
        <v>661</v>
      </c>
      <c r="P345" s="547">
        <f t="shared" si="21"/>
        <v>7</v>
      </c>
      <c r="Q345" s="310">
        <v>4.0</v>
      </c>
      <c r="R345" s="547">
        <v>4.0</v>
      </c>
      <c r="S345" s="547">
        <v>4.0</v>
      </c>
      <c r="T345" s="310">
        <v>2.0</v>
      </c>
      <c r="U345" s="547" t="s">
        <v>178</v>
      </c>
      <c r="V345" s="547" t="s">
        <v>178</v>
      </c>
      <c r="W345" s="547" t="s">
        <v>178</v>
      </c>
      <c r="X345" s="547" t="s">
        <v>178</v>
      </c>
      <c r="Y345" s="241"/>
      <c r="Z345" s="312"/>
      <c r="AA345" s="312"/>
      <c r="AB345" s="312"/>
      <c r="AC345" s="312"/>
      <c r="AD345" s="243"/>
      <c r="AE345" s="243"/>
      <c r="AF345" s="243"/>
      <c r="AG345" s="243"/>
      <c r="AH345" s="312"/>
      <c r="AI345" s="312"/>
      <c r="AJ345" s="312"/>
      <c r="AK345" s="241"/>
      <c r="AL345" s="241"/>
      <c r="AM345" s="241"/>
      <c r="AN345" s="241"/>
      <c r="AO345" s="241"/>
      <c r="AP345" s="241"/>
      <c r="AQ345" s="241"/>
      <c r="AR345" s="241"/>
    </row>
    <row r="346">
      <c r="A346" s="558">
        <v>11.0</v>
      </c>
      <c r="B346" s="571">
        <v>4.0</v>
      </c>
      <c r="C346" s="571">
        <v>4.0</v>
      </c>
      <c r="D346" s="547">
        <v>4.0</v>
      </c>
      <c r="E346" s="547">
        <v>4.0</v>
      </c>
      <c r="F346" s="547">
        <v>3.0</v>
      </c>
      <c r="G346" s="547">
        <v>2.0</v>
      </c>
      <c r="H346" s="547">
        <v>1.0</v>
      </c>
      <c r="I346" s="547" t="s">
        <v>178</v>
      </c>
      <c r="J346" s="547" t="s">
        <v>178</v>
      </c>
      <c r="K346" s="547" t="s">
        <v>178</v>
      </c>
      <c r="L346" s="547"/>
      <c r="M346" s="547"/>
      <c r="N346" s="558">
        <v>11.0</v>
      </c>
      <c r="O346" s="559" t="s">
        <v>661</v>
      </c>
      <c r="P346" s="547">
        <f t="shared" si="21"/>
        <v>7</v>
      </c>
      <c r="Q346" s="310">
        <v>4.0</v>
      </c>
      <c r="R346" s="547">
        <v>4.0</v>
      </c>
      <c r="S346" s="547">
        <v>4.0</v>
      </c>
      <c r="T346" s="547">
        <v>4.0</v>
      </c>
      <c r="U346" s="547" t="s">
        <v>178</v>
      </c>
      <c r="V346" s="547" t="s">
        <v>178</v>
      </c>
      <c r="W346" s="547" t="s">
        <v>178</v>
      </c>
      <c r="X346" s="547" t="s">
        <v>178</v>
      </c>
      <c r="Y346" s="241"/>
      <c r="Z346" s="312"/>
      <c r="AA346" s="312"/>
      <c r="AB346" s="312"/>
      <c r="AC346" s="312"/>
      <c r="AD346" s="243"/>
      <c r="AE346" s="243"/>
      <c r="AF346" s="243"/>
      <c r="AG346" s="243"/>
      <c r="AH346" s="312"/>
      <c r="AI346" s="312"/>
      <c r="AJ346" s="312"/>
      <c r="AK346" s="241"/>
      <c r="AL346" s="241"/>
      <c r="AM346" s="241"/>
      <c r="AN346" s="241"/>
      <c r="AO346" s="241"/>
      <c r="AP346" s="241"/>
      <c r="AQ346" s="241"/>
      <c r="AR346" s="241"/>
    </row>
    <row r="347">
      <c r="A347" s="558">
        <v>12.0</v>
      </c>
      <c r="B347" s="571">
        <v>4.0</v>
      </c>
      <c r="C347" s="571">
        <v>4.0</v>
      </c>
      <c r="D347" s="547">
        <v>4.0</v>
      </c>
      <c r="E347" s="547">
        <v>4.0</v>
      </c>
      <c r="F347" s="547">
        <v>3.0</v>
      </c>
      <c r="G347" s="547">
        <v>3.0</v>
      </c>
      <c r="H347" s="547">
        <v>2.0</v>
      </c>
      <c r="I347" s="547" t="s">
        <v>178</v>
      </c>
      <c r="J347" s="547" t="s">
        <v>178</v>
      </c>
      <c r="K347" s="547" t="s">
        <v>178</v>
      </c>
      <c r="L347" s="547"/>
      <c r="M347" s="547"/>
      <c r="N347" s="558">
        <v>12.0</v>
      </c>
      <c r="O347" s="559" t="s">
        <v>661</v>
      </c>
      <c r="P347" s="547">
        <f t="shared" si="21"/>
        <v>7</v>
      </c>
      <c r="Q347" s="310">
        <v>4.0</v>
      </c>
      <c r="R347" s="547">
        <v>4.0</v>
      </c>
      <c r="S347" s="547">
        <v>4.0</v>
      </c>
      <c r="T347" s="547">
        <v>4.0</v>
      </c>
      <c r="U347" s="310">
        <v>2.0</v>
      </c>
      <c r="V347" s="547" t="s">
        <v>178</v>
      </c>
      <c r="W347" s="547" t="s">
        <v>178</v>
      </c>
      <c r="X347" s="547" t="s">
        <v>178</v>
      </c>
      <c r="Y347" s="241"/>
      <c r="Z347" s="312"/>
      <c r="AA347" s="312"/>
      <c r="AB347" s="312"/>
      <c r="AC347" s="312"/>
      <c r="AD347" s="243"/>
      <c r="AE347" s="243"/>
      <c r="AF347" s="243"/>
      <c r="AG347" s="243"/>
      <c r="AH347" s="312"/>
      <c r="AI347" s="312"/>
      <c r="AJ347" s="312"/>
      <c r="AK347" s="241"/>
      <c r="AL347" s="241"/>
      <c r="AM347" s="241"/>
      <c r="AN347" s="241"/>
      <c r="AO347" s="241"/>
      <c r="AP347" s="241"/>
      <c r="AQ347" s="241"/>
      <c r="AR347" s="241"/>
    </row>
    <row r="348">
      <c r="A348" s="558">
        <v>13.0</v>
      </c>
      <c r="B348" s="571">
        <v>4.0</v>
      </c>
      <c r="C348" s="571">
        <v>4.0</v>
      </c>
      <c r="D348" s="547">
        <v>4.0</v>
      </c>
      <c r="E348" s="547">
        <v>4.0</v>
      </c>
      <c r="F348" s="547">
        <v>4.0</v>
      </c>
      <c r="G348" s="547">
        <v>3.0</v>
      </c>
      <c r="H348" s="547">
        <v>2.0</v>
      </c>
      <c r="I348" s="547">
        <v>1.0</v>
      </c>
      <c r="J348" s="547" t="s">
        <v>178</v>
      </c>
      <c r="K348" s="547" t="s">
        <v>178</v>
      </c>
      <c r="L348" s="547"/>
      <c r="M348" s="547"/>
      <c r="N348" s="558">
        <v>13.0</v>
      </c>
      <c r="O348" s="559" t="s">
        <v>661</v>
      </c>
      <c r="P348" s="547">
        <f t="shared" si="21"/>
        <v>7</v>
      </c>
      <c r="Q348" s="310">
        <v>4.0</v>
      </c>
      <c r="R348" s="547">
        <v>4.0</v>
      </c>
      <c r="S348" s="547">
        <v>4.0</v>
      </c>
      <c r="T348" s="547">
        <v>4.0</v>
      </c>
      <c r="U348" s="310">
        <v>4.0</v>
      </c>
      <c r="V348" s="547" t="s">
        <v>178</v>
      </c>
      <c r="W348" s="547" t="s">
        <v>178</v>
      </c>
      <c r="X348" s="547" t="s">
        <v>178</v>
      </c>
      <c r="Y348" s="241"/>
      <c r="Z348" s="312"/>
      <c r="AA348" s="312"/>
      <c r="AB348" s="312"/>
      <c r="AC348" s="312"/>
      <c r="AD348" s="243"/>
      <c r="AE348" s="243"/>
      <c r="AF348" s="243"/>
      <c r="AG348" s="243"/>
      <c r="AH348" s="312"/>
      <c r="AI348" s="312"/>
      <c r="AJ348" s="312"/>
      <c r="AK348" s="241"/>
      <c r="AL348" s="241"/>
      <c r="AM348" s="241"/>
      <c r="AN348" s="241"/>
      <c r="AO348" s="241"/>
      <c r="AP348" s="241"/>
      <c r="AQ348" s="241"/>
      <c r="AR348" s="241"/>
    </row>
    <row r="349">
      <c r="A349" s="558">
        <v>14.0</v>
      </c>
      <c r="B349" s="571">
        <v>4.0</v>
      </c>
      <c r="C349" s="571">
        <v>4.0</v>
      </c>
      <c r="D349" s="547">
        <v>4.0</v>
      </c>
      <c r="E349" s="547">
        <v>4.0</v>
      </c>
      <c r="F349" s="547">
        <v>4.0</v>
      </c>
      <c r="G349" s="547">
        <v>3.0</v>
      </c>
      <c r="H349" s="547">
        <v>3.0</v>
      </c>
      <c r="I349" s="547">
        <v>2.0</v>
      </c>
      <c r="J349" s="547" t="s">
        <v>178</v>
      </c>
      <c r="K349" s="547" t="s">
        <v>178</v>
      </c>
      <c r="L349" s="547"/>
      <c r="M349" s="547"/>
      <c r="N349" s="558">
        <v>14.0</v>
      </c>
      <c r="O349" s="559" t="s">
        <v>661</v>
      </c>
      <c r="P349" s="547">
        <f t="shared" si="21"/>
        <v>7</v>
      </c>
      <c r="Q349" s="310">
        <v>4.0</v>
      </c>
      <c r="R349" s="547">
        <v>4.0</v>
      </c>
      <c r="S349" s="547">
        <v>4.0</v>
      </c>
      <c r="T349" s="547">
        <v>4.0</v>
      </c>
      <c r="U349" s="310">
        <v>4.0</v>
      </c>
      <c r="V349" s="310">
        <v>2.0</v>
      </c>
      <c r="W349" s="547" t="s">
        <v>178</v>
      </c>
      <c r="X349" s="547" t="s">
        <v>178</v>
      </c>
      <c r="Y349" s="241"/>
      <c r="Z349" s="312"/>
      <c r="AA349" s="312"/>
      <c r="AB349" s="312"/>
      <c r="AC349" s="312"/>
      <c r="AD349" s="243"/>
      <c r="AE349" s="243"/>
      <c r="AF349" s="243"/>
      <c r="AG349" s="243"/>
      <c r="AH349" s="312"/>
      <c r="AI349" s="312"/>
      <c r="AJ349" s="312"/>
      <c r="AK349" s="241"/>
      <c r="AL349" s="241"/>
      <c r="AM349" s="241"/>
      <c r="AN349" s="241"/>
      <c r="AO349" s="241"/>
      <c r="AP349" s="241"/>
      <c r="AQ349" s="241"/>
      <c r="AR349" s="241"/>
    </row>
    <row r="350">
      <c r="A350" s="558">
        <v>15.0</v>
      </c>
      <c r="B350" s="571">
        <v>4.0</v>
      </c>
      <c r="C350" s="571">
        <v>4.0</v>
      </c>
      <c r="D350" s="547">
        <v>4.0</v>
      </c>
      <c r="E350" s="547">
        <v>4.0</v>
      </c>
      <c r="F350" s="547">
        <v>4.0</v>
      </c>
      <c r="G350" s="547">
        <v>4.0</v>
      </c>
      <c r="H350" s="547">
        <v>3.0</v>
      </c>
      <c r="I350" s="547">
        <v>2.0</v>
      </c>
      <c r="J350" s="547">
        <v>1.0</v>
      </c>
      <c r="K350" s="547" t="s">
        <v>178</v>
      </c>
      <c r="L350" s="547"/>
      <c r="M350" s="547"/>
      <c r="N350" s="558">
        <v>15.0</v>
      </c>
      <c r="O350" s="559" t="s">
        <v>661</v>
      </c>
      <c r="P350" s="547">
        <f t="shared" si="21"/>
        <v>7</v>
      </c>
      <c r="Q350" s="310">
        <v>4.0</v>
      </c>
      <c r="R350" s="547">
        <v>4.0</v>
      </c>
      <c r="S350" s="547">
        <v>4.0</v>
      </c>
      <c r="T350" s="547">
        <v>4.0</v>
      </c>
      <c r="U350" s="310">
        <v>4.0</v>
      </c>
      <c r="V350" s="310">
        <v>4.0</v>
      </c>
      <c r="W350" s="547" t="s">
        <v>178</v>
      </c>
      <c r="X350" s="547" t="s">
        <v>178</v>
      </c>
      <c r="Y350" s="241"/>
      <c r="Z350" s="312"/>
      <c r="AA350" s="312"/>
      <c r="AB350" s="312"/>
      <c r="AC350" s="312"/>
      <c r="AD350" s="243"/>
      <c r="AE350" s="243"/>
      <c r="AF350" s="243"/>
      <c r="AG350" s="243"/>
      <c r="AH350" s="312"/>
      <c r="AI350" s="312"/>
      <c r="AJ350" s="312"/>
      <c r="AK350" s="241"/>
      <c r="AL350" s="241"/>
      <c r="AM350" s="241"/>
      <c r="AN350" s="241"/>
      <c r="AO350" s="241"/>
      <c r="AP350" s="241"/>
      <c r="AQ350" s="241"/>
      <c r="AR350" s="241"/>
    </row>
    <row r="351">
      <c r="A351" s="558">
        <v>16.0</v>
      </c>
      <c r="B351" s="571">
        <v>4.0</v>
      </c>
      <c r="C351" s="571">
        <v>4.0</v>
      </c>
      <c r="D351" s="547">
        <v>4.0</v>
      </c>
      <c r="E351" s="547">
        <v>4.0</v>
      </c>
      <c r="F351" s="547">
        <v>4.0</v>
      </c>
      <c r="G351" s="547">
        <v>4.0</v>
      </c>
      <c r="H351" s="547">
        <v>3.0</v>
      </c>
      <c r="I351" s="547">
        <v>3.0</v>
      </c>
      <c r="J351" s="547">
        <v>2.0</v>
      </c>
      <c r="K351" s="547" t="s">
        <v>178</v>
      </c>
      <c r="L351" s="547"/>
      <c r="M351" s="547"/>
      <c r="N351" s="558">
        <v>16.0</v>
      </c>
      <c r="O351" s="559" t="s">
        <v>661</v>
      </c>
      <c r="P351" s="547">
        <f t="shared" si="21"/>
        <v>7</v>
      </c>
      <c r="Q351" s="310">
        <v>4.0</v>
      </c>
      <c r="R351" s="547">
        <v>4.0</v>
      </c>
      <c r="S351" s="547">
        <v>4.0</v>
      </c>
      <c r="T351" s="547">
        <v>4.0</v>
      </c>
      <c r="U351" s="310">
        <v>4.0</v>
      </c>
      <c r="V351" s="310">
        <v>4.0</v>
      </c>
      <c r="W351" s="310">
        <v>2.0</v>
      </c>
      <c r="X351" s="547" t="s">
        <v>178</v>
      </c>
      <c r="Y351" s="241"/>
      <c r="Z351" s="312"/>
      <c r="AA351" s="312"/>
      <c r="AB351" s="312"/>
      <c r="AC351" s="312"/>
      <c r="AD351" s="243"/>
      <c r="AE351" s="243"/>
      <c r="AF351" s="243"/>
      <c r="AG351" s="243"/>
      <c r="AH351" s="312"/>
      <c r="AI351" s="312"/>
      <c r="AJ351" s="312"/>
      <c r="AK351" s="241"/>
      <c r="AL351" s="241"/>
      <c r="AM351" s="241"/>
      <c r="AN351" s="241"/>
      <c r="AO351" s="241"/>
      <c r="AP351" s="241"/>
      <c r="AQ351" s="241"/>
      <c r="AR351" s="241"/>
    </row>
    <row r="352">
      <c r="A352" s="558">
        <v>17.0</v>
      </c>
      <c r="B352" s="571">
        <v>4.0</v>
      </c>
      <c r="C352" s="571">
        <v>4.0</v>
      </c>
      <c r="D352" s="547">
        <v>4.0</v>
      </c>
      <c r="E352" s="547">
        <v>4.0</v>
      </c>
      <c r="F352" s="547">
        <v>4.0</v>
      </c>
      <c r="G352" s="547">
        <v>4.0</v>
      </c>
      <c r="H352" s="547">
        <v>4.0</v>
      </c>
      <c r="I352" s="547">
        <v>3.0</v>
      </c>
      <c r="J352" s="547">
        <v>2.0</v>
      </c>
      <c r="K352" s="547">
        <v>1.0</v>
      </c>
      <c r="L352" s="547"/>
      <c r="M352" s="547"/>
      <c r="N352" s="558">
        <v>17.0</v>
      </c>
      <c r="O352" s="559" t="s">
        <v>661</v>
      </c>
      <c r="P352" s="547">
        <f t="shared" si="21"/>
        <v>7</v>
      </c>
      <c r="Q352" s="310">
        <v>4.0</v>
      </c>
      <c r="R352" s="547">
        <v>4.0</v>
      </c>
      <c r="S352" s="547">
        <v>4.0</v>
      </c>
      <c r="T352" s="547">
        <v>4.0</v>
      </c>
      <c r="U352" s="310">
        <v>4.0</v>
      </c>
      <c r="V352" s="310">
        <v>4.0</v>
      </c>
      <c r="W352" s="310">
        <v>4.0</v>
      </c>
      <c r="X352" s="547" t="s">
        <v>178</v>
      </c>
      <c r="Y352" s="241"/>
      <c r="Z352" s="312"/>
      <c r="AA352" s="312"/>
      <c r="AB352" s="312"/>
      <c r="AC352" s="312"/>
      <c r="AD352" s="243"/>
      <c r="AE352" s="243"/>
      <c r="AF352" s="243"/>
      <c r="AG352" s="243"/>
      <c r="AH352" s="312"/>
      <c r="AI352" s="312"/>
      <c r="AJ352" s="312"/>
      <c r="AK352" s="241"/>
      <c r="AL352" s="241"/>
      <c r="AM352" s="241"/>
      <c r="AN352" s="241"/>
      <c r="AO352" s="241"/>
      <c r="AP352" s="241"/>
      <c r="AQ352" s="241"/>
      <c r="AR352" s="241"/>
    </row>
    <row r="353">
      <c r="A353" s="558">
        <v>18.0</v>
      </c>
      <c r="B353" s="571">
        <v>4.0</v>
      </c>
      <c r="C353" s="571">
        <v>4.0</v>
      </c>
      <c r="D353" s="547">
        <v>4.0</v>
      </c>
      <c r="E353" s="547">
        <v>4.0</v>
      </c>
      <c r="F353" s="547">
        <v>4.0</v>
      </c>
      <c r="G353" s="547">
        <v>4.0</v>
      </c>
      <c r="H353" s="547">
        <v>4.0</v>
      </c>
      <c r="I353" s="547">
        <v>3.0</v>
      </c>
      <c r="J353" s="547">
        <v>3.0</v>
      </c>
      <c r="K353" s="547">
        <v>2.0</v>
      </c>
      <c r="L353" s="547"/>
      <c r="M353" s="547"/>
      <c r="N353" s="558">
        <v>18.0</v>
      </c>
      <c r="O353" s="559" t="s">
        <v>661</v>
      </c>
      <c r="P353" s="547">
        <f t="shared" si="21"/>
        <v>7</v>
      </c>
      <c r="Q353" s="310">
        <v>4.0</v>
      </c>
      <c r="R353" s="547">
        <v>4.0</v>
      </c>
      <c r="S353" s="547">
        <v>4.0</v>
      </c>
      <c r="T353" s="547">
        <v>4.0</v>
      </c>
      <c r="U353" s="310">
        <v>4.0</v>
      </c>
      <c r="V353" s="310">
        <v>4.0</v>
      </c>
      <c r="W353" s="310">
        <v>4.0</v>
      </c>
      <c r="X353" s="310">
        <v>2.0</v>
      </c>
      <c r="Y353" s="241"/>
      <c r="Z353" s="312"/>
      <c r="AA353" s="312"/>
      <c r="AB353" s="312"/>
      <c r="AC353" s="312"/>
      <c r="AD353" s="243"/>
      <c r="AE353" s="243"/>
      <c r="AF353" s="243"/>
      <c r="AG353" s="243"/>
      <c r="AH353" s="312"/>
      <c r="AI353" s="312"/>
      <c r="AJ353" s="312"/>
      <c r="AK353" s="241"/>
      <c r="AL353" s="241"/>
      <c r="AM353" s="241"/>
      <c r="AN353" s="241"/>
      <c r="AO353" s="241"/>
      <c r="AP353" s="241"/>
      <c r="AQ353" s="241"/>
      <c r="AR353" s="241"/>
    </row>
    <row r="354">
      <c r="A354" s="558">
        <v>19.0</v>
      </c>
      <c r="B354" s="571">
        <v>4.0</v>
      </c>
      <c r="C354" s="571">
        <v>4.0</v>
      </c>
      <c r="D354" s="547">
        <v>4.0</v>
      </c>
      <c r="E354" s="547">
        <v>4.0</v>
      </c>
      <c r="F354" s="547">
        <v>4.0</v>
      </c>
      <c r="G354" s="547">
        <v>4.0</v>
      </c>
      <c r="H354" s="547">
        <v>4.0</v>
      </c>
      <c r="I354" s="547">
        <v>4.0</v>
      </c>
      <c r="J354" s="547">
        <v>3.0</v>
      </c>
      <c r="K354" s="547">
        <v>3.0</v>
      </c>
      <c r="L354" s="547"/>
      <c r="M354" s="547"/>
      <c r="N354" s="558">
        <v>19.0</v>
      </c>
      <c r="O354" s="559" t="s">
        <v>661</v>
      </c>
      <c r="P354" s="547">
        <f t="shared" si="21"/>
        <v>7</v>
      </c>
      <c r="Q354" s="310">
        <v>4.0</v>
      </c>
      <c r="R354" s="310">
        <v>4.0</v>
      </c>
      <c r="S354" s="310">
        <v>4.0</v>
      </c>
      <c r="T354" s="310">
        <v>4.0</v>
      </c>
      <c r="U354" s="310">
        <v>4.0</v>
      </c>
      <c r="V354" s="310">
        <v>4.0</v>
      </c>
      <c r="W354" s="310">
        <v>4.0</v>
      </c>
      <c r="X354" s="310">
        <v>4.0</v>
      </c>
      <c r="Y354" s="241"/>
      <c r="Z354" s="312"/>
      <c r="AA354" s="312"/>
      <c r="AB354" s="312"/>
      <c r="AC354" s="312"/>
      <c r="AD354" s="243"/>
      <c r="AE354" s="243"/>
      <c r="AF354" s="243"/>
      <c r="AG354" s="243"/>
      <c r="AH354" s="312"/>
      <c r="AI354" s="312"/>
      <c r="AJ354" s="312"/>
      <c r="AK354" s="241"/>
      <c r="AL354" s="241"/>
      <c r="AM354" s="241"/>
      <c r="AN354" s="241"/>
      <c r="AO354" s="241"/>
      <c r="AP354" s="241"/>
      <c r="AQ354" s="241"/>
      <c r="AR354" s="241"/>
    </row>
    <row r="355">
      <c r="A355" s="558">
        <v>20.0</v>
      </c>
      <c r="B355" s="571">
        <v>4.0</v>
      </c>
      <c r="C355" s="571">
        <v>4.0</v>
      </c>
      <c r="D355" s="547">
        <v>4.0</v>
      </c>
      <c r="E355" s="547">
        <v>4.0</v>
      </c>
      <c r="F355" s="547">
        <v>4.0</v>
      </c>
      <c r="G355" s="547">
        <v>4.0</v>
      </c>
      <c r="H355" s="547">
        <v>4.0</v>
      </c>
      <c r="I355" s="547">
        <v>4.0</v>
      </c>
      <c r="J355" s="547">
        <v>4.0</v>
      </c>
      <c r="K355" s="547">
        <v>4.0</v>
      </c>
      <c r="L355" s="547"/>
      <c r="M355" s="547"/>
      <c r="N355" s="558">
        <v>20.0</v>
      </c>
      <c r="O355" s="559" t="s">
        <v>661</v>
      </c>
      <c r="P355" s="547">
        <f t="shared" si="21"/>
        <v>7</v>
      </c>
      <c r="Q355" s="310">
        <v>4.0</v>
      </c>
      <c r="R355" s="310">
        <v>4.0</v>
      </c>
      <c r="S355" s="310">
        <v>4.0</v>
      </c>
      <c r="T355" s="310">
        <v>4.0</v>
      </c>
      <c r="U355" s="310">
        <v>4.0</v>
      </c>
      <c r="V355" s="310">
        <v>4.0</v>
      </c>
      <c r="W355" s="310">
        <v>4.0</v>
      </c>
      <c r="X355" s="310">
        <v>4.0</v>
      </c>
      <c r="Y355" s="241"/>
      <c r="Z355" s="312"/>
      <c r="AA355" s="312"/>
      <c r="AB355" s="312"/>
      <c r="AC355" s="312"/>
      <c r="AD355" s="243"/>
      <c r="AE355" s="243"/>
      <c r="AF355" s="243"/>
      <c r="AG355" s="243"/>
      <c r="AH355" s="312"/>
      <c r="AI355" s="312"/>
      <c r="AJ355" s="312"/>
      <c r="AK355" s="241"/>
      <c r="AL355" s="241"/>
      <c r="AM355" s="241"/>
      <c r="AN355" s="241"/>
      <c r="AO355" s="241"/>
      <c r="AP355" s="241"/>
      <c r="AQ355" s="241"/>
      <c r="AR355" s="241"/>
    </row>
    <row r="356">
      <c r="A356" s="312"/>
      <c r="B356" s="312"/>
      <c r="C356" s="312"/>
      <c r="D356" s="312"/>
      <c r="E356" s="312"/>
      <c r="F356" s="312"/>
      <c r="G356" s="312"/>
      <c r="H356" s="312"/>
      <c r="I356" s="312"/>
      <c r="J356" s="312"/>
      <c r="K356" s="312"/>
      <c r="L356" s="312"/>
      <c r="M356" s="312"/>
      <c r="N356" s="312"/>
      <c r="O356" s="312"/>
      <c r="P356" s="243"/>
      <c r="Q356" s="312"/>
      <c r="R356" s="312"/>
      <c r="S356" s="312"/>
      <c r="T356" s="312"/>
      <c r="U356" s="312"/>
      <c r="V356" s="312"/>
      <c r="W356" s="312"/>
      <c r="X356" s="312"/>
      <c r="Y356" s="312"/>
      <c r="Z356" s="312"/>
      <c r="AA356" s="243"/>
      <c r="AB356" s="243"/>
      <c r="AC356" s="243"/>
      <c r="AD356" s="243"/>
      <c r="AE356" s="243"/>
      <c r="AF356" s="243"/>
      <c r="AG356" s="243"/>
      <c r="AH356" s="243"/>
      <c r="AI356" s="243"/>
      <c r="AJ356" s="243"/>
      <c r="AK356" s="241"/>
      <c r="AL356" s="241"/>
      <c r="AM356" s="241"/>
      <c r="AN356" s="241"/>
      <c r="AO356" s="241"/>
      <c r="AP356" s="241"/>
      <c r="AQ356" s="241"/>
      <c r="AR356" s="241"/>
    </row>
    <row r="357">
      <c r="A357" s="549"/>
      <c r="B357" s="549" t="s">
        <v>669</v>
      </c>
      <c r="C357" s="312"/>
      <c r="D357" s="312"/>
      <c r="E357" s="312"/>
      <c r="F357" s="312"/>
      <c r="G357" s="312"/>
      <c r="H357" s="312"/>
      <c r="I357" s="241"/>
      <c r="J357" s="312"/>
      <c r="K357" s="312"/>
      <c r="L357" s="241"/>
      <c r="M357" s="241"/>
      <c r="N357" s="549" t="s">
        <v>670</v>
      </c>
      <c r="O357" s="241"/>
      <c r="P357" s="243"/>
      <c r="Q357" s="243"/>
      <c r="R357" s="243"/>
      <c r="S357" s="243"/>
      <c r="T357" s="243"/>
      <c r="U357" s="243"/>
      <c r="V357" s="243"/>
      <c r="W357" s="243"/>
      <c r="X357" s="243"/>
      <c r="Y357" s="243"/>
      <c r="Z357" s="243"/>
      <c r="AA357" s="243"/>
      <c r="AB357" s="243"/>
      <c r="AC357" s="243"/>
      <c r="AD357" s="243"/>
      <c r="AE357" s="243"/>
      <c r="AF357" s="243"/>
      <c r="AG357" s="243"/>
      <c r="AH357" s="243"/>
      <c r="AI357" s="243"/>
      <c r="AJ357" s="243"/>
      <c r="AK357" s="241"/>
      <c r="AL357" s="241"/>
      <c r="AM357" s="241"/>
      <c r="AN357" s="241"/>
      <c r="AO357" s="241"/>
      <c r="AP357" s="241"/>
      <c r="AQ357" s="241"/>
      <c r="AR357" s="241"/>
    </row>
    <row r="358">
      <c r="A358" s="554" t="s">
        <v>660</v>
      </c>
      <c r="B358" s="555">
        <v>0.0</v>
      </c>
      <c r="C358" s="556">
        <v>1.0</v>
      </c>
      <c r="D358" s="310">
        <v>2.0</v>
      </c>
      <c r="E358" s="310">
        <v>3.0</v>
      </c>
      <c r="F358" s="310">
        <v>4.0</v>
      </c>
      <c r="G358" s="310">
        <v>5.0</v>
      </c>
      <c r="H358" s="310">
        <v>6.0</v>
      </c>
      <c r="I358" s="310">
        <v>7.0</v>
      </c>
      <c r="J358" s="310">
        <v>8.0</v>
      </c>
      <c r="K358" s="310">
        <v>9.0</v>
      </c>
      <c r="L358" s="241"/>
      <c r="M358" s="241"/>
      <c r="N358" s="554" t="s">
        <v>660</v>
      </c>
      <c r="O358" s="555">
        <v>0.0</v>
      </c>
      <c r="P358" s="556">
        <v>1.0</v>
      </c>
      <c r="Q358" s="310">
        <v>2.0</v>
      </c>
      <c r="R358" s="310">
        <v>3.0</v>
      </c>
      <c r="S358" s="310">
        <v>4.0</v>
      </c>
      <c r="T358" s="310">
        <v>5.0</v>
      </c>
      <c r="U358" s="310">
        <v>6.0</v>
      </c>
      <c r="V358" s="310">
        <v>7.0</v>
      </c>
      <c r="W358" s="310">
        <v>8.0</v>
      </c>
      <c r="X358" s="310">
        <v>9.0</v>
      </c>
      <c r="Y358" s="555"/>
      <c r="Z358" s="555"/>
      <c r="AA358" s="555"/>
      <c r="AB358" s="555"/>
      <c r="AC358" s="555"/>
      <c r="AD358" s="555"/>
      <c r="AE358" s="243"/>
      <c r="AF358" s="243"/>
      <c r="AG358" s="243"/>
      <c r="AH358" s="243"/>
      <c r="AI358" s="243"/>
      <c r="AJ358" s="243"/>
      <c r="AK358" s="241"/>
      <c r="AL358" s="241"/>
      <c r="AM358" s="241"/>
      <c r="AN358" s="241"/>
      <c r="AO358" s="241"/>
      <c r="AP358" s="241"/>
      <c r="AQ358" s="241"/>
      <c r="AR358" s="241"/>
    </row>
    <row r="359">
      <c r="A359" s="558">
        <v>1.0</v>
      </c>
      <c r="B359" s="555" t="s">
        <v>661</v>
      </c>
      <c r="C359" s="547">
        <v>1.0</v>
      </c>
      <c r="D359" s="547" t="s">
        <v>178</v>
      </c>
      <c r="E359" s="547" t="s">
        <v>178</v>
      </c>
      <c r="F359" s="547" t="s">
        <v>178</v>
      </c>
      <c r="G359" s="547" t="s">
        <v>178</v>
      </c>
      <c r="H359" s="555" t="s">
        <v>178</v>
      </c>
      <c r="I359" s="555" t="s">
        <v>178</v>
      </c>
      <c r="J359" s="555" t="s">
        <v>178</v>
      </c>
      <c r="K359" s="555" t="s">
        <v>178</v>
      </c>
      <c r="L359" s="241"/>
      <c r="M359" s="241"/>
      <c r="N359" s="558">
        <v>1.0</v>
      </c>
      <c r="O359" s="547">
        <v>4.0</v>
      </c>
      <c r="P359" s="547">
        <v>2.0</v>
      </c>
      <c r="Q359" s="547" t="s">
        <v>178</v>
      </c>
      <c r="R359" s="555" t="s">
        <v>178</v>
      </c>
      <c r="S359" s="555" t="s">
        <v>178</v>
      </c>
      <c r="T359" s="555" t="s">
        <v>178</v>
      </c>
      <c r="U359" s="555" t="s">
        <v>178</v>
      </c>
      <c r="V359" s="555" t="s">
        <v>178</v>
      </c>
      <c r="W359" s="555" t="s">
        <v>178</v>
      </c>
      <c r="X359" s="555" t="s">
        <v>178</v>
      </c>
      <c r="Y359" s="555"/>
      <c r="Z359" s="555"/>
      <c r="AA359" s="555"/>
      <c r="AB359" s="555"/>
      <c r="AC359" s="555"/>
      <c r="AD359" s="555"/>
      <c r="AE359" s="243"/>
      <c r="AF359" s="243"/>
      <c r="AG359" s="243"/>
      <c r="AH359" s="243"/>
      <c r="AI359" s="243"/>
      <c r="AJ359" s="243"/>
      <c r="AK359" s="241"/>
      <c r="AL359" s="241"/>
      <c r="AM359" s="241"/>
      <c r="AN359" s="241"/>
      <c r="AO359" s="241"/>
      <c r="AP359" s="241"/>
      <c r="AQ359" s="241"/>
      <c r="AR359" s="241"/>
    </row>
    <row r="360">
      <c r="A360" s="558">
        <v>2.0</v>
      </c>
      <c r="B360" s="555" t="s">
        <v>661</v>
      </c>
      <c r="C360" s="547">
        <v>2.0</v>
      </c>
      <c r="D360" s="547" t="s">
        <v>178</v>
      </c>
      <c r="E360" s="547" t="s">
        <v>178</v>
      </c>
      <c r="F360" s="547" t="s">
        <v>178</v>
      </c>
      <c r="G360" s="547" t="s">
        <v>178</v>
      </c>
      <c r="H360" s="555" t="s">
        <v>178</v>
      </c>
      <c r="I360" s="555" t="s">
        <v>178</v>
      </c>
      <c r="J360" s="555" t="s">
        <v>178</v>
      </c>
      <c r="K360" s="555" t="s">
        <v>178</v>
      </c>
      <c r="L360" s="241"/>
      <c r="M360" s="241"/>
      <c r="N360" s="558">
        <v>2.0</v>
      </c>
      <c r="O360" s="547">
        <v>5.0</v>
      </c>
      <c r="P360" s="547">
        <v>3.0</v>
      </c>
      <c r="Q360" s="547" t="s">
        <v>178</v>
      </c>
      <c r="R360" s="547" t="s">
        <v>178</v>
      </c>
      <c r="S360" s="555" t="s">
        <v>178</v>
      </c>
      <c r="T360" s="555" t="s">
        <v>178</v>
      </c>
      <c r="U360" s="555" t="s">
        <v>178</v>
      </c>
      <c r="V360" s="555" t="s">
        <v>178</v>
      </c>
      <c r="W360" s="555" t="s">
        <v>178</v>
      </c>
      <c r="X360" s="555" t="s">
        <v>178</v>
      </c>
      <c r="Y360" s="555"/>
      <c r="Z360" s="555"/>
      <c r="AA360" s="555"/>
      <c r="AB360" s="555"/>
      <c r="AC360" s="555"/>
      <c r="AD360" s="555"/>
      <c r="AE360" s="243"/>
      <c r="AF360" s="243"/>
      <c r="AG360" s="243"/>
      <c r="AH360" s="243"/>
      <c r="AI360" s="243"/>
      <c r="AJ360" s="243"/>
      <c r="AK360" s="241"/>
      <c r="AL360" s="241"/>
      <c r="AM360" s="241"/>
      <c r="AN360" s="241"/>
      <c r="AO360" s="241"/>
      <c r="AP360" s="241"/>
      <c r="AQ360" s="241"/>
      <c r="AR360" s="241"/>
    </row>
    <row r="361">
      <c r="A361" s="558">
        <v>3.0</v>
      </c>
      <c r="B361" s="555" t="s">
        <v>661</v>
      </c>
      <c r="C361" s="547">
        <v>3.0</v>
      </c>
      <c r="D361" s="547" t="s">
        <v>178</v>
      </c>
      <c r="E361" s="547" t="s">
        <v>178</v>
      </c>
      <c r="F361" s="547" t="s">
        <v>178</v>
      </c>
      <c r="G361" s="547" t="s">
        <v>178</v>
      </c>
      <c r="H361" s="547" t="s">
        <v>178</v>
      </c>
      <c r="I361" s="547" t="s">
        <v>178</v>
      </c>
      <c r="J361" s="547" t="s">
        <v>178</v>
      </c>
      <c r="K361" s="547" t="s">
        <v>178</v>
      </c>
      <c r="L361" s="241"/>
      <c r="M361" s="241"/>
      <c r="N361" s="558">
        <v>3.0</v>
      </c>
      <c r="O361" s="547">
        <v>6.0</v>
      </c>
      <c r="P361" s="547">
        <v>4.0</v>
      </c>
      <c r="Q361" s="547" t="s">
        <v>178</v>
      </c>
      <c r="R361" s="555" t="s">
        <v>178</v>
      </c>
      <c r="S361" s="555" t="s">
        <v>178</v>
      </c>
      <c r="T361" s="555" t="s">
        <v>178</v>
      </c>
      <c r="U361" s="555" t="s">
        <v>178</v>
      </c>
      <c r="V361" s="547" t="s">
        <v>178</v>
      </c>
      <c r="W361" s="547" t="s">
        <v>178</v>
      </c>
      <c r="X361" s="547" t="s">
        <v>178</v>
      </c>
      <c r="Y361" s="555"/>
      <c r="Z361" s="555"/>
      <c r="AA361" s="555"/>
      <c r="AB361" s="547"/>
      <c r="AC361" s="547"/>
      <c r="AD361" s="547"/>
      <c r="AE361" s="243"/>
      <c r="AF361" s="243"/>
      <c r="AG361" s="243"/>
      <c r="AH361" s="243"/>
      <c r="AI361" s="243"/>
      <c r="AJ361" s="243"/>
      <c r="AK361" s="241"/>
      <c r="AL361" s="241"/>
      <c r="AM361" s="241"/>
      <c r="AN361" s="241"/>
      <c r="AO361" s="241"/>
      <c r="AP361" s="241"/>
      <c r="AQ361" s="241"/>
      <c r="AR361" s="241"/>
    </row>
    <row r="362">
      <c r="A362" s="558">
        <v>4.0</v>
      </c>
      <c r="B362" s="555" t="s">
        <v>661</v>
      </c>
      <c r="C362" s="547">
        <v>3.0</v>
      </c>
      <c r="D362" s="547">
        <v>1.0</v>
      </c>
      <c r="E362" s="547" t="s">
        <v>178</v>
      </c>
      <c r="F362" s="547" t="s">
        <v>178</v>
      </c>
      <c r="G362" s="547" t="s">
        <v>178</v>
      </c>
      <c r="H362" s="547" t="s">
        <v>178</v>
      </c>
      <c r="I362" s="547" t="s">
        <v>178</v>
      </c>
      <c r="J362" s="547" t="s">
        <v>178</v>
      </c>
      <c r="K362" s="547" t="s">
        <v>178</v>
      </c>
      <c r="L362" s="241"/>
      <c r="M362" s="241"/>
      <c r="N362" s="558">
        <v>4.0</v>
      </c>
      <c r="O362" s="547">
        <v>6.0</v>
      </c>
      <c r="P362" s="547">
        <v>4.0</v>
      </c>
      <c r="Q362" s="547">
        <v>2.0</v>
      </c>
      <c r="R362" s="555" t="s">
        <v>178</v>
      </c>
      <c r="S362" s="555" t="s">
        <v>178</v>
      </c>
      <c r="T362" s="555" t="s">
        <v>178</v>
      </c>
      <c r="U362" s="555" t="s">
        <v>178</v>
      </c>
      <c r="V362" s="547" t="s">
        <v>178</v>
      </c>
      <c r="W362" s="547" t="s">
        <v>178</v>
      </c>
      <c r="X362" s="547" t="s">
        <v>178</v>
      </c>
      <c r="Y362" s="555"/>
      <c r="Z362" s="555"/>
      <c r="AA362" s="555"/>
      <c r="AB362" s="547"/>
      <c r="AC362" s="547"/>
      <c r="AD362" s="547"/>
      <c r="AE362" s="243"/>
      <c r="AF362" s="243"/>
      <c r="AG362" s="243"/>
      <c r="AH362" s="243"/>
      <c r="AI362" s="243"/>
      <c r="AJ362" s="243"/>
      <c r="AK362" s="241"/>
      <c r="AL362" s="241"/>
      <c r="AM362" s="241"/>
      <c r="AN362" s="241"/>
      <c r="AO362" s="241"/>
      <c r="AP362" s="241"/>
      <c r="AQ362" s="241"/>
      <c r="AR362" s="241"/>
    </row>
    <row r="363">
      <c r="A363" s="558">
        <v>5.0</v>
      </c>
      <c r="B363" s="555" t="s">
        <v>661</v>
      </c>
      <c r="C363" s="547">
        <v>4.0</v>
      </c>
      <c r="D363" s="547">
        <v>2.0</v>
      </c>
      <c r="E363" s="547" t="s">
        <v>178</v>
      </c>
      <c r="F363" s="547" t="s">
        <v>178</v>
      </c>
      <c r="G363" s="547" t="s">
        <v>178</v>
      </c>
      <c r="H363" s="547" t="s">
        <v>178</v>
      </c>
      <c r="I363" s="547" t="s">
        <v>178</v>
      </c>
      <c r="J363" s="547" t="s">
        <v>178</v>
      </c>
      <c r="K363" s="547" t="s">
        <v>178</v>
      </c>
      <c r="L363" s="241"/>
      <c r="M363" s="241"/>
      <c r="N363" s="558">
        <v>5.0</v>
      </c>
      <c r="O363" s="547">
        <v>6.0</v>
      </c>
      <c r="P363" s="547">
        <v>4.0</v>
      </c>
      <c r="Q363" s="547">
        <v>3.0</v>
      </c>
      <c r="R363" s="555" t="s">
        <v>178</v>
      </c>
      <c r="S363" s="555" t="s">
        <v>178</v>
      </c>
      <c r="T363" s="555" t="s">
        <v>178</v>
      </c>
      <c r="U363" s="555" t="s">
        <v>178</v>
      </c>
      <c r="V363" s="547" t="s">
        <v>178</v>
      </c>
      <c r="W363" s="547" t="s">
        <v>178</v>
      </c>
      <c r="X363" s="547" t="s">
        <v>178</v>
      </c>
      <c r="Y363" s="555"/>
      <c r="Z363" s="555"/>
      <c r="AA363" s="555"/>
      <c r="AB363" s="547"/>
      <c r="AC363" s="547"/>
      <c r="AD363" s="547"/>
      <c r="AE363" s="243"/>
      <c r="AF363" s="243"/>
      <c r="AG363" s="243"/>
      <c r="AH363" s="243"/>
      <c r="AI363" s="243"/>
      <c r="AJ363" s="243"/>
      <c r="AK363" s="241"/>
      <c r="AL363" s="241"/>
      <c r="AM363" s="241"/>
      <c r="AN363" s="241"/>
      <c r="AO363" s="241"/>
      <c r="AP363" s="241"/>
      <c r="AQ363" s="241"/>
      <c r="AR363" s="241"/>
    </row>
    <row r="364">
      <c r="A364" s="558">
        <v>6.0</v>
      </c>
      <c r="B364" s="555" t="s">
        <v>661</v>
      </c>
      <c r="C364" s="547">
        <v>4.0</v>
      </c>
      <c r="D364" s="547">
        <v>3.0</v>
      </c>
      <c r="E364" s="547" t="s">
        <v>178</v>
      </c>
      <c r="F364" s="547" t="s">
        <v>178</v>
      </c>
      <c r="G364" s="547" t="s">
        <v>178</v>
      </c>
      <c r="H364" s="547" t="s">
        <v>178</v>
      </c>
      <c r="I364" s="547" t="s">
        <v>178</v>
      </c>
      <c r="J364" s="547" t="s">
        <v>178</v>
      </c>
      <c r="K364" s="547" t="s">
        <v>178</v>
      </c>
      <c r="L364" s="241"/>
      <c r="M364" s="241"/>
      <c r="N364" s="558">
        <v>6.0</v>
      </c>
      <c r="O364" s="547">
        <v>6.0</v>
      </c>
      <c r="P364" s="547">
        <v>4.0</v>
      </c>
      <c r="Q364" s="547">
        <v>4.0</v>
      </c>
      <c r="R364" s="555" t="s">
        <v>178</v>
      </c>
      <c r="S364" s="555" t="s">
        <v>178</v>
      </c>
      <c r="T364" s="555" t="s">
        <v>178</v>
      </c>
      <c r="U364" s="555" t="s">
        <v>178</v>
      </c>
      <c r="V364" s="547" t="s">
        <v>178</v>
      </c>
      <c r="W364" s="547" t="s">
        <v>178</v>
      </c>
      <c r="X364" s="547" t="s">
        <v>178</v>
      </c>
      <c r="Y364" s="555"/>
      <c r="Z364" s="555"/>
      <c r="AA364" s="555"/>
      <c r="AB364" s="547"/>
      <c r="AC364" s="547"/>
      <c r="AD364" s="547"/>
      <c r="AE364" s="243"/>
      <c r="AF364" s="243"/>
      <c r="AG364" s="243"/>
      <c r="AH364" s="243"/>
      <c r="AI364" s="243"/>
      <c r="AJ364" s="243"/>
      <c r="AK364" s="241"/>
      <c r="AL364" s="241"/>
      <c r="AM364" s="241"/>
      <c r="AN364" s="241"/>
      <c r="AO364" s="241"/>
      <c r="AP364" s="241"/>
      <c r="AQ364" s="241"/>
      <c r="AR364" s="241"/>
    </row>
    <row r="365">
      <c r="A365" s="558">
        <v>7.0</v>
      </c>
      <c r="B365" s="555" t="s">
        <v>661</v>
      </c>
      <c r="C365" s="547">
        <v>4.0</v>
      </c>
      <c r="D365" s="547">
        <v>3.0</v>
      </c>
      <c r="E365" s="547">
        <v>1.0</v>
      </c>
      <c r="F365" s="547" t="s">
        <v>178</v>
      </c>
      <c r="G365" s="547" t="s">
        <v>178</v>
      </c>
      <c r="H365" s="547" t="s">
        <v>178</v>
      </c>
      <c r="I365" s="547" t="s">
        <v>178</v>
      </c>
      <c r="J365" s="547" t="s">
        <v>178</v>
      </c>
      <c r="K365" s="547" t="s">
        <v>178</v>
      </c>
      <c r="L365" s="241"/>
      <c r="M365" s="241"/>
      <c r="N365" s="558">
        <v>7.0</v>
      </c>
      <c r="O365" s="547">
        <v>6.0</v>
      </c>
      <c r="P365" s="547">
        <v>5.0</v>
      </c>
      <c r="Q365" s="547">
        <v>4.0</v>
      </c>
      <c r="R365" s="555">
        <v>2.0</v>
      </c>
      <c r="S365" s="555" t="s">
        <v>178</v>
      </c>
      <c r="T365" s="555" t="s">
        <v>178</v>
      </c>
      <c r="U365" s="555" t="s">
        <v>178</v>
      </c>
      <c r="V365" s="547" t="s">
        <v>178</v>
      </c>
      <c r="W365" s="547" t="s">
        <v>178</v>
      </c>
      <c r="X365" s="547" t="s">
        <v>178</v>
      </c>
      <c r="Y365" s="555"/>
      <c r="Z365" s="555"/>
      <c r="AA365" s="555"/>
      <c r="AB365" s="547"/>
      <c r="AC365" s="547"/>
      <c r="AD365" s="547"/>
      <c r="AE365" s="243"/>
      <c r="AF365" s="243"/>
      <c r="AG365" s="243"/>
      <c r="AH365" s="243"/>
      <c r="AI365" s="243"/>
      <c r="AJ365" s="243"/>
      <c r="AK365" s="241"/>
      <c r="AL365" s="241"/>
      <c r="AM365" s="241"/>
      <c r="AN365" s="241"/>
      <c r="AO365" s="241"/>
      <c r="AP365" s="241"/>
      <c r="AQ365" s="241"/>
      <c r="AR365" s="241"/>
    </row>
    <row r="366">
      <c r="A366" s="558">
        <v>8.0</v>
      </c>
      <c r="B366" s="555" t="s">
        <v>661</v>
      </c>
      <c r="C366" s="547">
        <v>4.0</v>
      </c>
      <c r="D366" s="547">
        <v>4.0</v>
      </c>
      <c r="E366" s="547">
        <v>2.0</v>
      </c>
      <c r="F366" s="547" t="s">
        <v>178</v>
      </c>
      <c r="G366" s="547" t="s">
        <v>178</v>
      </c>
      <c r="H366" s="547" t="s">
        <v>178</v>
      </c>
      <c r="I366" s="547" t="s">
        <v>178</v>
      </c>
      <c r="J366" s="547" t="s">
        <v>178</v>
      </c>
      <c r="K366" s="547" t="s">
        <v>178</v>
      </c>
      <c r="L366" s="241"/>
      <c r="M366" s="241"/>
      <c r="N366" s="558">
        <v>8.0</v>
      </c>
      <c r="O366" s="547">
        <v>6.0</v>
      </c>
      <c r="P366" s="547">
        <v>5.0</v>
      </c>
      <c r="Q366" s="547">
        <v>4.0</v>
      </c>
      <c r="R366" s="555">
        <v>3.0</v>
      </c>
      <c r="S366" s="555" t="s">
        <v>178</v>
      </c>
      <c r="T366" s="555" t="s">
        <v>178</v>
      </c>
      <c r="U366" s="555" t="s">
        <v>178</v>
      </c>
      <c r="V366" s="547" t="s">
        <v>178</v>
      </c>
      <c r="W366" s="547" t="s">
        <v>178</v>
      </c>
      <c r="X366" s="547" t="s">
        <v>178</v>
      </c>
      <c r="Y366" s="555"/>
      <c r="Z366" s="555"/>
      <c r="AA366" s="555"/>
      <c r="AB366" s="547"/>
      <c r="AC366" s="547"/>
      <c r="AD366" s="547"/>
      <c r="AE366" s="243"/>
      <c r="AF366" s="243"/>
      <c r="AG366" s="243"/>
      <c r="AH366" s="243"/>
      <c r="AI366" s="243"/>
      <c r="AJ366" s="243"/>
      <c r="AK366" s="241"/>
      <c r="AL366" s="241"/>
      <c r="AM366" s="241"/>
      <c r="AN366" s="241"/>
      <c r="AO366" s="241"/>
      <c r="AP366" s="241"/>
      <c r="AQ366" s="241"/>
      <c r="AR366" s="241"/>
    </row>
    <row r="367">
      <c r="A367" s="558">
        <v>9.0</v>
      </c>
      <c r="B367" s="555" t="s">
        <v>661</v>
      </c>
      <c r="C367" s="547">
        <v>5.0</v>
      </c>
      <c r="D367" s="547">
        <v>4.0</v>
      </c>
      <c r="E367" s="547">
        <v>3.0</v>
      </c>
      <c r="F367" s="547" t="s">
        <v>178</v>
      </c>
      <c r="G367" s="547" t="s">
        <v>178</v>
      </c>
      <c r="H367" s="547" t="s">
        <v>178</v>
      </c>
      <c r="I367" s="547" t="s">
        <v>178</v>
      </c>
      <c r="J367" s="547" t="s">
        <v>178</v>
      </c>
      <c r="K367" s="547" t="s">
        <v>178</v>
      </c>
      <c r="L367" s="241"/>
      <c r="M367" s="241"/>
      <c r="N367" s="558">
        <v>9.0</v>
      </c>
      <c r="O367" s="547">
        <v>6.0</v>
      </c>
      <c r="P367" s="547">
        <v>5.0</v>
      </c>
      <c r="Q367" s="547">
        <v>4.0</v>
      </c>
      <c r="R367" s="555">
        <v>4.0</v>
      </c>
      <c r="S367" s="555" t="s">
        <v>178</v>
      </c>
      <c r="T367" s="555" t="s">
        <v>178</v>
      </c>
      <c r="U367" s="555" t="s">
        <v>178</v>
      </c>
      <c r="V367" s="547" t="s">
        <v>178</v>
      </c>
      <c r="W367" s="547" t="s">
        <v>178</v>
      </c>
      <c r="X367" s="547" t="s">
        <v>178</v>
      </c>
      <c r="Y367" s="555"/>
      <c r="Z367" s="555"/>
      <c r="AA367" s="555"/>
      <c r="AB367" s="547"/>
      <c r="AC367" s="547"/>
      <c r="AD367" s="547"/>
      <c r="AE367" s="243"/>
      <c r="AF367" s="243"/>
      <c r="AG367" s="243"/>
      <c r="AH367" s="243"/>
      <c r="AI367" s="243"/>
      <c r="AJ367" s="243"/>
      <c r="AK367" s="241"/>
      <c r="AL367" s="241"/>
      <c r="AM367" s="241"/>
      <c r="AN367" s="241"/>
      <c r="AO367" s="241"/>
      <c r="AP367" s="241"/>
      <c r="AQ367" s="241"/>
      <c r="AR367" s="241"/>
    </row>
    <row r="368">
      <c r="A368" s="558">
        <v>10.0</v>
      </c>
      <c r="B368" s="555" t="s">
        <v>661</v>
      </c>
      <c r="C368" s="547">
        <v>5.0</v>
      </c>
      <c r="D368" s="547">
        <v>4.0</v>
      </c>
      <c r="E368" s="547">
        <v>3.0</v>
      </c>
      <c r="F368" s="547">
        <v>1.0</v>
      </c>
      <c r="G368" s="547" t="s">
        <v>178</v>
      </c>
      <c r="H368" s="547" t="s">
        <v>178</v>
      </c>
      <c r="I368" s="547" t="s">
        <v>178</v>
      </c>
      <c r="J368" s="547" t="s">
        <v>178</v>
      </c>
      <c r="K368" s="547" t="s">
        <v>178</v>
      </c>
      <c r="L368" s="241"/>
      <c r="M368" s="241"/>
      <c r="N368" s="558">
        <v>10.0</v>
      </c>
      <c r="O368" s="547">
        <v>6.0</v>
      </c>
      <c r="P368" s="547">
        <v>5.0</v>
      </c>
      <c r="Q368" s="547">
        <v>5.0</v>
      </c>
      <c r="R368" s="555">
        <v>4.0</v>
      </c>
      <c r="S368" s="555">
        <v>2.0</v>
      </c>
      <c r="T368" s="555" t="s">
        <v>178</v>
      </c>
      <c r="U368" s="555" t="s">
        <v>178</v>
      </c>
      <c r="V368" s="547" t="s">
        <v>178</v>
      </c>
      <c r="W368" s="547" t="s">
        <v>178</v>
      </c>
      <c r="X368" s="547" t="s">
        <v>178</v>
      </c>
      <c r="Y368" s="555"/>
      <c r="Z368" s="555"/>
      <c r="AA368" s="555"/>
      <c r="AB368" s="547"/>
      <c r="AC368" s="547"/>
      <c r="AD368" s="547"/>
      <c r="AE368" s="243"/>
      <c r="AF368" s="243"/>
      <c r="AG368" s="243"/>
      <c r="AH368" s="243"/>
      <c r="AI368" s="243"/>
      <c r="AJ368" s="243"/>
      <c r="AK368" s="241"/>
      <c r="AL368" s="241"/>
      <c r="AM368" s="241"/>
      <c r="AN368" s="241"/>
      <c r="AO368" s="241"/>
      <c r="AP368" s="241"/>
      <c r="AQ368" s="241"/>
      <c r="AR368" s="241"/>
    </row>
    <row r="369">
      <c r="A369" s="558">
        <v>11.0</v>
      </c>
      <c r="B369" s="555" t="s">
        <v>661</v>
      </c>
      <c r="C369" s="547">
        <v>5.0</v>
      </c>
      <c r="D369" s="547">
        <v>4.0</v>
      </c>
      <c r="E369" s="547">
        <v>4.0</v>
      </c>
      <c r="F369" s="547">
        <v>2.0</v>
      </c>
      <c r="G369" s="547" t="s">
        <v>178</v>
      </c>
      <c r="H369" s="547" t="s">
        <v>178</v>
      </c>
      <c r="I369" s="547" t="s">
        <v>178</v>
      </c>
      <c r="J369" s="547" t="s">
        <v>178</v>
      </c>
      <c r="K369" s="547" t="s">
        <v>178</v>
      </c>
      <c r="L369" s="241"/>
      <c r="M369" s="241"/>
      <c r="N369" s="558">
        <v>11.0</v>
      </c>
      <c r="O369" s="547">
        <v>6.0</v>
      </c>
      <c r="P369" s="547">
        <v>6.0</v>
      </c>
      <c r="Q369" s="547">
        <v>5.0</v>
      </c>
      <c r="R369" s="555">
        <v>4.0</v>
      </c>
      <c r="S369" s="555">
        <v>3.0</v>
      </c>
      <c r="T369" s="555" t="s">
        <v>178</v>
      </c>
      <c r="U369" s="555" t="s">
        <v>178</v>
      </c>
      <c r="V369" s="547" t="s">
        <v>178</v>
      </c>
      <c r="W369" s="547" t="s">
        <v>178</v>
      </c>
      <c r="X369" s="547" t="s">
        <v>178</v>
      </c>
      <c r="Y369" s="555"/>
      <c r="Z369" s="555"/>
      <c r="AA369" s="555"/>
      <c r="AB369" s="547"/>
      <c r="AC369" s="547"/>
      <c r="AD369" s="547"/>
      <c r="AE369" s="243"/>
      <c r="AF369" s="243"/>
      <c r="AG369" s="243"/>
      <c r="AH369" s="243"/>
      <c r="AI369" s="243"/>
      <c r="AJ369" s="243"/>
      <c r="AK369" s="241"/>
      <c r="AL369" s="241"/>
      <c r="AM369" s="241"/>
      <c r="AN369" s="241"/>
      <c r="AO369" s="241"/>
      <c r="AP369" s="241"/>
      <c r="AQ369" s="241"/>
      <c r="AR369" s="241"/>
    </row>
    <row r="370">
      <c r="A370" s="558">
        <v>12.0</v>
      </c>
      <c r="B370" s="555" t="s">
        <v>661</v>
      </c>
      <c r="C370" s="547">
        <v>5.0</v>
      </c>
      <c r="D370" s="547">
        <v>5.0</v>
      </c>
      <c r="E370" s="547">
        <v>4.0</v>
      </c>
      <c r="F370" s="547">
        <v>3.0</v>
      </c>
      <c r="G370" s="547" t="s">
        <v>178</v>
      </c>
      <c r="H370" s="547" t="s">
        <v>178</v>
      </c>
      <c r="I370" s="547" t="s">
        <v>178</v>
      </c>
      <c r="J370" s="547" t="s">
        <v>178</v>
      </c>
      <c r="K370" s="547" t="s">
        <v>178</v>
      </c>
      <c r="L370" s="241"/>
      <c r="M370" s="241"/>
      <c r="N370" s="558">
        <v>12.0</v>
      </c>
      <c r="O370" s="547">
        <v>6.0</v>
      </c>
      <c r="P370" s="547">
        <v>6.0</v>
      </c>
      <c r="Q370" s="547">
        <v>5.0</v>
      </c>
      <c r="R370" s="555">
        <v>4.0</v>
      </c>
      <c r="S370" s="555">
        <v>4.0</v>
      </c>
      <c r="T370" s="555" t="s">
        <v>178</v>
      </c>
      <c r="U370" s="555" t="s">
        <v>178</v>
      </c>
      <c r="V370" s="547" t="s">
        <v>178</v>
      </c>
      <c r="W370" s="547" t="s">
        <v>178</v>
      </c>
      <c r="X370" s="547" t="s">
        <v>178</v>
      </c>
      <c r="Y370" s="555"/>
      <c r="Z370" s="555"/>
      <c r="AA370" s="555"/>
      <c r="AB370" s="547"/>
      <c r="AC370" s="547"/>
      <c r="AD370" s="547"/>
      <c r="AE370" s="243"/>
      <c r="AF370" s="243"/>
      <c r="AG370" s="243"/>
      <c r="AH370" s="243"/>
      <c r="AI370" s="243"/>
      <c r="AJ370" s="243"/>
      <c r="AK370" s="241"/>
      <c r="AL370" s="241"/>
      <c r="AM370" s="241"/>
      <c r="AN370" s="241"/>
      <c r="AO370" s="241"/>
      <c r="AP370" s="241"/>
      <c r="AQ370" s="241"/>
      <c r="AR370" s="241"/>
    </row>
    <row r="371">
      <c r="A371" s="558">
        <v>13.0</v>
      </c>
      <c r="B371" s="555" t="s">
        <v>661</v>
      </c>
      <c r="C371" s="547">
        <v>5.0</v>
      </c>
      <c r="D371" s="547">
        <v>5.0</v>
      </c>
      <c r="E371" s="547">
        <v>4.0</v>
      </c>
      <c r="F371" s="547">
        <v>3.0</v>
      </c>
      <c r="G371" s="547">
        <v>1.0</v>
      </c>
      <c r="H371" s="547" t="s">
        <v>178</v>
      </c>
      <c r="I371" s="547" t="s">
        <v>178</v>
      </c>
      <c r="J371" s="547" t="s">
        <v>178</v>
      </c>
      <c r="K371" s="547" t="s">
        <v>178</v>
      </c>
      <c r="L371" s="241"/>
      <c r="M371" s="241"/>
      <c r="N371" s="558">
        <v>13.0</v>
      </c>
      <c r="O371" s="547">
        <v>6.0</v>
      </c>
      <c r="P371" s="547">
        <v>6.0</v>
      </c>
      <c r="Q371" s="547">
        <v>5.0</v>
      </c>
      <c r="R371" s="555">
        <v>5.0</v>
      </c>
      <c r="S371" s="555">
        <v>4.0</v>
      </c>
      <c r="T371" s="555">
        <v>2.0</v>
      </c>
      <c r="U371" s="555" t="s">
        <v>178</v>
      </c>
      <c r="V371" s="547" t="s">
        <v>178</v>
      </c>
      <c r="W371" s="547" t="s">
        <v>178</v>
      </c>
      <c r="X371" s="547" t="s">
        <v>178</v>
      </c>
      <c r="Y371" s="555"/>
      <c r="Z371" s="555"/>
      <c r="AA371" s="555"/>
      <c r="AB371" s="547"/>
      <c r="AC371" s="547"/>
      <c r="AD371" s="547"/>
      <c r="AE371" s="243"/>
      <c r="AF371" s="243"/>
      <c r="AG371" s="243"/>
      <c r="AH371" s="243"/>
      <c r="AI371" s="243"/>
      <c r="AJ371" s="243"/>
      <c r="AK371" s="241"/>
      <c r="AL371" s="241"/>
      <c r="AM371" s="241"/>
      <c r="AN371" s="241"/>
      <c r="AO371" s="241"/>
      <c r="AP371" s="241"/>
      <c r="AQ371" s="241"/>
      <c r="AR371" s="241"/>
    </row>
    <row r="372">
      <c r="A372" s="558">
        <v>14.0</v>
      </c>
      <c r="B372" s="555" t="s">
        <v>661</v>
      </c>
      <c r="C372" s="547">
        <v>5.0</v>
      </c>
      <c r="D372" s="547">
        <v>5.0</v>
      </c>
      <c r="E372" s="547">
        <v>4.0</v>
      </c>
      <c r="F372" s="547">
        <v>4.0</v>
      </c>
      <c r="G372" s="547">
        <v>2.0</v>
      </c>
      <c r="H372" s="547" t="s">
        <v>178</v>
      </c>
      <c r="I372" s="547" t="s">
        <v>178</v>
      </c>
      <c r="J372" s="547" t="s">
        <v>178</v>
      </c>
      <c r="K372" s="547" t="s">
        <v>178</v>
      </c>
      <c r="L372" s="241"/>
      <c r="M372" s="241"/>
      <c r="N372" s="558">
        <v>14.0</v>
      </c>
      <c r="O372" s="547">
        <v>6.0</v>
      </c>
      <c r="P372" s="547">
        <v>6.0</v>
      </c>
      <c r="Q372" s="547">
        <v>6.0</v>
      </c>
      <c r="R372" s="555">
        <v>5.0</v>
      </c>
      <c r="S372" s="555">
        <v>4.0</v>
      </c>
      <c r="T372" s="555">
        <v>3.0</v>
      </c>
      <c r="U372" s="555" t="s">
        <v>178</v>
      </c>
      <c r="V372" s="547" t="s">
        <v>178</v>
      </c>
      <c r="W372" s="547" t="s">
        <v>178</v>
      </c>
      <c r="X372" s="547" t="s">
        <v>178</v>
      </c>
      <c r="Y372" s="555"/>
      <c r="Z372" s="555"/>
      <c r="AA372" s="555"/>
      <c r="AB372" s="547"/>
      <c r="AC372" s="547"/>
      <c r="AD372" s="547"/>
      <c r="AE372" s="243"/>
      <c r="AF372" s="243"/>
      <c r="AG372" s="243"/>
      <c r="AH372" s="243"/>
      <c r="AI372" s="243"/>
      <c r="AJ372" s="243"/>
      <c r="AK372" s="241"/>
      <c r="AL372" s="241"/>
      <c r="AM372" s="241"/>
      <c r="AN372" s="241"/>
      <c r="AO372" s="241"/>
      <c r="AP372" s="241"/>
      <c r="AQ372" s="241"/>
      <c r="AR372" s="241"/>
    </row>
    <row r="373">
      <c r="A373" s="558">
        <v>15.0</v>
      </c>
      <c r="B373" s="555" t="s">
        <v>661</v>
      </c>
      <c r="C373" s="547">
        <v>5.0</v>
      </c>
      <c r="D373" s="547">
        <v>5.0</v>
      </c>
      <c r="E373" s="547">
        <v>5.0</v>
      </c>
      <c r="F373" s="547">
        <v>4.0</v>
      </c>
      <c r="G373" s="547">
        <v>3.0</v>
      </c>
      <c r="H373" s="547" t="s">
        <v>178</v>
      </c>
      <c r="I373" s="547" t="s">
        <v>178</v>
      </c>
      <c r="J373" s="547" t="s">
        <v>178</v>
      </c>
      <c r="K373" s="547" t="s">
        <v>178</v>
      </c>
      <c r="L373" s="241"/>
      <c r="M373" s="241"/>
      <c r="N373" s="558">
        <v>15.0</v>
      </c>
      <c r="O373" s="547">
        <v>6.0</v>
      </c>
      <c r="P373" s="547">
        <v>6.0</v>
      </c>
      <c r="Q373" s="547">
        <v>6.0</v>
      </c>
      <c r="R373" s="555">
        <v>5.0</v>
      </c>
      <c r="S373" s="555">
        <v>4.0</v>
      </c>
      <c r="T373" s="555">
        <v>4.0</v>
      </c>
      <c r="U373" s="555" t="s">
        <v>178</v>
      </c>
      <c r="V373" s="547" t="s">
        <v>178</v>
      </c>
      <c r="W373" s="547" t="s">
        <v>178</v>
      </c>
      <c r="X373" s="547" t="s">
        <v>178</v>
      </c>
      <c r="Y373" s="555"/>
      <c r="Z373" s="555"/>
      <c r="AA373" s="555"/>
      <c r="AB373" s="547"/>
      <c r="AC373" s="547"/>
      <c r="AD373" s="547"/>
      <c r="AE373" s="243"/>
      <c r="AF373" s="243"/>
      <c r="AG373" s="243"/>
      <c r="AH373" s="243"/>
      <c r="AI373" s="243"/>
      <c r="AJ373" s="243"/>
      <c r="AK373" s="241"/>
      <c r="AL373" s="241"/>
      <c r="AM373" s="241"/>
      <c r="AN373" s="241"/>
      <c r="AO373" s="241"/>
      <c r="AP373" s="241"/>
      <c r="AQ373" s="241"/>
      <c r="AR373" s="241"/>
    </row>
    <row r="374">
      <c r="A374" s="558">
        <v>16.0</v>
      </c>
      <c r="B374" s="555" t="s">
        <v>661</v>
      </c>
      <c r="C374" s="547">
        <v>5.0</v>
      </c>
      <c r="D374" s="547">
        <v>5.0</v>
      </c>
      <c r="E374" s="547">
        <v>5.0</v>
      </c>
      <c r="F374" s="547">
        <v>4.0</v>
      </c>
      <c r="G374" s="547">
        <v>3.0</v>
      </c>
      <c r="H374" s="547">
        <v>1.0</v>
      </c>
      <c r="I374" s="547" t="s">
        <v>178</v>
      </c>
      <c r="J374" s="547" t="s">
        <v>178</v>
      </c>
      <c r="K374" s="547" t="s">
        <v>178</v>
      </c>
      <c r="L374" s="241"/>
      <c r="M374" s="241"/>
      <c r="N374" s="558">
        <v>16.0</v>
      </c>
      <c r="O374" s="547">
        <v>6.0</v>
      </c>
      <c r="P374" s="547">
        <v>6.0</v>
      </c>
      <c r="Q374" s="547">
        <v>6.0</v>
      </c>
      <c r="R374" s="555">
        <v>5.0</v>
      </c>
      <c r="S374" s="555">
        <v>5.0</v>
      </c>
      <c r="T374" s="555">
        <v>4.0</v>
      </c>
      <c r="U374" s="555">
        <v>2.0</v>
      </c>
      <c r="V374" s="547" t="s">
        <v>178</v>
      </c>
      <c r="W374" s="547" t="s">
        <v>178</v>
      </c>
      <c r="X374" s="547" t="s">
        <v>178</v>
      </c>
      <c r="Y374" s="555"/>
      <c r="Z374" s="555"/>
      <c r="AA374" s="555"/>
      <c r="AB374" s="547"/>
      <c r="AC374" s="547"/>
      <c r="AD374" s="547"/>
      <c r="AE374" s="243"/>
      <c r="AF374" s="243"/>
      <c r="AG374" s="243"/>
      <c r="AH374" s="243"/>
      <c r="AI374" s="243"/>
      <c r="AJ374" s="243"/>
      <c r="AK374" s="241"/>
      <c r="AL374" s="241"/>
      <c r="AM374" s="241"/>
      <c r="AN374" s="241"/>
      <c r="AO374" s="241"/>
      <c r="AP374" s="241"/>
      <c r="AQ374" s="241"/>
      <c r="AR374" s="241"/>
    </row>
    <row r="375">
      <c r="A375" s="558">
        <v>17.0</v>
      </c>
      <c r="B375" s="555" t="s">
        <v>661</v>
      </c>
      <c r="C375" s="547">
        <v>5.0</v>
      </c>
      <c r="D375" s="547">
        <v>5.0</v>
      </c>
      <c r="E375" s="547">
        <v>5.0</v>
      </c>
      <c r="F375" s="547">
        <v>4.0</v>
      </c>
      <c r="G375" s="547">
        <v>4.0</v>
      </c>
      <c r="H375" s="547">
        <v>2.0</v>
      </c>
      <c r="I375" s="547" t="s">
        <v>178</v>
      </c>
      <c r="J375" s="547" t="s">
        <v>178</v>
      </c>
      <c r="K375" s="547" t="s">
        <v>178</v>
      </c>
      <c r="L375" s="241"/>
      <c r="M375" s="241"/>
      <c r="N375" s="558">
        <v>17.0</v>
      </c>
      <c r="O375" s="547">
        <v>6.0</v>
      </c>
      <c r="P375" s="547">
        <v>6.0</v>
      </c>
      <c r="Q375" s="547">
        <v>6.0</v>
      </c>
      <c r="R375" s="555">
        <v>6.0</v>
      </c>
      <c r="S375" s="555">
        <v>5.0</v>
      </c>
      <c r="T375" s="555">
        <v>4.0</v>
      </c>
      <c r="U375" s="555">
        <v>3.0</v>
      </c>
      <c r="V375" s="547" t="s">
        <v>178</v>
      </c>
      <c r="W375" s="547" t="s">
        <v>178</v>
      </c>
      <c r="X375" s="547" t="s">
        <v>178</v>
      </c>
      <c r="Y375" s="555"/>
      <c r="Z375" s="555"/>
      <c r="AA375" s="555"/>
      <c r="AB375" s="547"/>
      <c r="AC375" s="547"/>
      <c r="AD375" s="547"/>
      <c r="AE375" s="243"/>
      <c r="AF375" s="243"/>
      <c r="AG375" s="243"/>
      <c r="AH375" s="243"/>
      <c r="AI375" s="243"/>
      <c r="AJ375" s="243"/>
      <c r="AK375" s="241"/>
      <c r="AL375" s="241"/>
      <c r="AM375" s="241"/>
      <c r="AN375" s="241"/>
      <c r="AO375" s="241"/>
      <c r="AP375" s="241"/>
      <c r="AQ375" s="241"/>
      <c r="AR375" s="241"/>
    </row>
    <row r="376">
      <c r="A376" s="558">
        <v>18.0</v>
      </c>
      <c r="B376" s="555" t="s">
        <v>661</v>
      </c>
      <c r="C376" s="547">
        <v>5.0</v>
      </c>
      <c r="D376" s="547">
        <v>5.0</v>
      </c>
      <c r="E376" s="547">
        <v>5.0</v>
      </c>
      <c r="F376" s="547">
        <v>5.0</v>
      </c>
      <c r="G376" s="547">
        <v>4.0</v>
      </c>
      <c r="H376" s="547">
        <v>3.0</v>
      </c>
      <c r="I376" s="547" t="s">
        <v>178</v>
      </c>
      <c r="J376" s="547" t="s">
        <v>178</v>
      </c>
      <c r="K376" s="547" t="s">
        <v>178</v>
      </c>
      <c r="L376" s="241"/>
      <c r="M376" s="241"/>
      <c r="N376" s="558">
        <v>18.0</v>
      </c>
      <c r="O376" s="547">
        <v>6.0</v>
      </c>
      <c r="P376" s="547">
        <v>6.0</v>
      </c>
      <c r="Q376" s="547">
        <v>6.0</v>
      </c>
      <c r="R376" s="555">
        <v>6.0</v>
      </c>
      <c r="S376" s="555">
        <v>5.0</v>
      </c>
      <c r="T376" s="555">
        <v>4.0</v>
      </c>
      <c r="U376" s="555">
        <v>4.0</v>
      </c>
      <c r="V376" s="547" t="s">
        <v>178</v>
      </c>
      <c r="W376" s="547" t="s">
        <v>178</v>
      </c>
      <c r="X376" s="547" t="s">
        <v>178</v>
      </c>
      <c r="Y376" s="555"/>
      <c r="Z376" s="555"/>
      <c r="AA376" s="555"/>
      <c r="AB376" s="547"/>
      <c r="AC376" s="547"/>
      <c r="AD376" s="547"/>
      <c r="AE376" s="243"/>
      <c r="AF376" s="243"/>
      <c r="AG376" s="243"/>
      <c r="AH376" s="243"/>
      <c r="AI376" s="243"/>
      <c r="AJ376" s="243"/>
      <c r="AK376" s="241"/>
      <c r="AL376" s="241"/>
      <c r="AM376" s="241"/>
      <c r="AN376" s="241"/>
      <c r="AO376" s="241"/>
      <c r="AP376" s="241"/>
      <c r="AQ376" s="241"/>
      <c r="AR376" s="241"/>
    </row>
    <row r="377">
      <c r="A377" s="558">
        <v>19.0</v>
      </c>
      <c r="B377" s="555" t="s">
        <v>661</v>
      </c>
      <c r="C377" s="547">
        <v>5.0</v>
      </c>
      <c r="D377" s="547">
        <v>5.0</v>
      </c>
      <c r="E377" s="547">
        <v>5.0</v>
      </c>
      <c r="F377" s="547">
        <v>5.0</v>
      </c>
      <c r="G377" s="547">
        <v>5.0</v>
      </c>
      <c r="H377" s="547">
        <v>4.0</v>
      </c>
      <c r="I377" s="547" t="s">
        <v>178</v>
      </c>
      <c r="J377" s="547" t="s">
        <v>178</v>
      </c>
      <c r="K377" s="547" t="s">
        <v>178</v>
      </c>
      <c r="L377" s="241"/>
      <c r="M377" s="241"/>
      <c r="N377" s="558">
        <v>19.0</v>
      </c>
      <c r="O377" s="547">
        <v>6.0</v>
      </c>
      <c r="P377" s="547">
        <v>6.0</v>
      </c>
      <c r="Q377" s="547">
        <v>6.0</v>
      </c>
      <c r="R377" s="555">
        <v>6.0</v>
      </c>
      <c r="S377" s="555">
        <v>5.0</v>
      </c>
      <c r="T377" s="555">
        <v>5.0</v>
      </c>
      <c r="U377" s="555">
        <v>4.0</v>
      </c>
      <c r="V377" s="547" t="s">
        <v>178</v>
      </c>
      <c r="W377" s="547" t="s">
        <v>178</v>
      </c>
      <c r="X377" s="547" t="s">
        <v>178</v>
      </c>
      <c r="Y377" s="555"/>
      <c r="Z377" s="555"/>
      <c r="AA377" s="555"/>
      <c r="AB377" s="547"/>
      <c r="AC377" s="547"/>
      <c r="AD377" s="547"/>
      <c r="AE377" s="243"/>
      <c r="AF377" s="243"/>
      <c r="AG377" s="243"/>
      <c r="AH377" s="243"/>
      <c r="AI377" s="243"/>
      <c r="AJ377" s="243"/>
      <c r="AK377" s="241"/>
      <c r="AL377" s="241"/>
      <c r="AM377" s="241"/>
      <c r="AN377" s="241"/>
      <c r="AO377" s="241"/>
      <c r="AP377" s="241"/>
      <c r="AQ377" s="241"/>
      <c r="AR377" s="241"/>
    </row>
    <row r="378">
      <c r="A378" s="558">
        <v>20.0</v>
      </c>
      <c r="B378" s="555" t="s">
        <v>661</v>
      </c>
      <c r="C378" s="547">
        <v>5.0</v>
      </c>
      <c r="D378" s="547">
        <v>5.0</v>
      </c>
      <c r="E378" s="547">
        <v>5.0</v>
      </c>
      <c r="F378" s="547">
        <v>5.0</v>
      </c>
      <c r="G378" s="547">
        <v>5.0</v>
      </c>
      <c r="H378" s="547">
        <v>5.0</v>
      </c>
      <c r="I378" s="547" t="s">
        <v>178</v>
      </c>
      <c r="J378" s="547" t="s">
        <v>178</v>
      </c>
      <c r="K378" s="547" t="s">
        <v>178</v>
      </c>
      <c r="L378" s="241"/>
      <c r="M378" s="241"/>
      <c r="N378" s="558">
        <v>20.0</v>
      </c>
      <c r="O378" s="547">
        <v>6.0</v>
      </c>
      <c r="P378" s="547">
        <v>6.0</v>
      </c>
      <c r="Q378" s="547">
        <v>6.0</v>
      </c>
      <c r="R378" s="555">
        <v>6.0</v>
      </c>
      <c r="S378" s="555">
        <v>6.0</v>
      </c>
      <c r="T378" s="555">
        <v>5.0</v>
      </c>
      <c r="U378" s="555">
        <v>5.0</v>
      </c>
      <c r="V378" s="547" t="s">
        <v>178</v>
      </c>
      <c r="W378" s="547" t="s">
        <v>178</v>
      </c>
      <c r="X378" s="547" t="s">
        <v>178</v>
      </c>
      <c r="Y378" s="555"/>
      <c r="Z378" s="555"/>
      <c r="AA378" s="555"/>
      <c r="AB378" s="547"/>
      <c r="AC378" s="547"/>
      <c r="AD378" s="547"/>
      <c r="AE378" s="243"/>
      <c r="AF378" s="243"/>
      <c r="AG378" s="243"/>
      <c r="AH378" s="243"/>
      <c r="AI378" s="243"/>
      <c r="AJ378" s="243"/>
      <c r="AK378" s="241"/>
      <c r="AL378" s="241"/>
      <c r="AM378" s="241"/>
      <c r="AN378" s="241"/>
      <c r="AO378" s="241"/>
      <c r="AP378" s="241"/>
      <c r="AQ378" s="241"/>
      <c r="AR378" s="241"/>
    </row>
    <row r="379">
      <c r="A379" s="312"/>
      <c r="B379" s="312"/>
      <c r="C379" s="312"/>
      <c r="D379" s="312"/>
      <c r="E379" s="312"/>
      <c r="F379" s="312"/>
      <c r="G379" s="312"/>
      <c r="H379" s="312"/>
      <c r="I379" s="312"/>
      <c r="J379" s="312"/>
      <c r="K379" s="312"/>
      <c r="L379" s="312"/>
      <c r="M379" s="312"/>
      <c r="N379" s="312"/>
      <c r="O379" s="312"/>
      <c r="P379" s="312"/>
      <c r="Q379" s="312"/>
      <c r="R379" s="312"/>
      <c r="S379" s="312"/>
      <c r="T379" s="312"/>
      <c r="U379" s="312"/>
      <c r="V379" s="312"/>
      <c r="W379" s="312"/>
      <c r="X379" s="312"/>
      <c r="Y379" s="312"/>
      <c r="Z379" s="312"/>
      <c r="AA379" s="243"/>
      <c r="AB379" s="243"/>
      <c r="AC379" s="243"/>
      <c r="AD379" s="243"/>
      <c r="AE379" s="243"/>
      <c r="AF379" s="243"/>
      <c r="AG379" s="243"/>
      <c r="AH379" s="243"/>
      <c r="AI379" s="243"/>
      <c r="AJ379" s="243"/>
      <c r="AK379" s="241"/>
      <c r="AL379" s="241"/>
      <c r="AM379" s="241"/>
      <c r="AN379" s="241"/>
      <c r="AO379" s="241"/>
      <c r="AP379" s="241"/>
      <c r="AQ379" s="241"/>
      <c r="AR379" s="241"/>
    </row>
    <row r="380">
      <c r="A380" s="549"/>
      <c r="B380" s="549" t="s">
        <v>674</v>
      </c>
      <c r="C380" s="312"/>
      <c r="D380" s="312"/>
      <c r="E380" s="312"/>
      <c r="F380" s="312"/>
      <c r="G380" s="312"/>
      <c r="U380" s="312"/>
      <c r="V380" s="312"/>
      <c r="W380" s="312"/>
      <c r="X380" s="312"/>
      <c r="Y380" s="241"/>
      <c r="Z380" s="241"/>
      <c r="AA380" s="241"/>
      <c r="AB380" s="241"/>
      <c r="AC380" s="241"/>
      <c r="AD380" s="241"/>
      <c r="AE380" s="241"/>
      <c r="AF380" s="241"/>
      <c r="AG380" s="241"/>
      <c r="AH380" s="243"/>
      <c r="AI380" s="243"/>
      <c r="AJ380" s="243"/>
      <c r="AK380" s="241"/>
      <c r="AL380" s="241"/>
      <c r="AM380" s="241"/>
      <c r="AN380" s="241"/>
      <c r="AO380" s="241"/>
      <c r="AP380" s="241"/>
      <c r="AQ380" s="241"/>
      <c r="AR380" s="241"/>
    </row>
    <row r="381">
      <c r="A381" s="554" t="s">
        <v>660</v>
      </c>
      <c r="B381" s="555">
        <v>0.0</v>
      </c>
      <c r="C381" s="580">
        <v>1.0</v>
      </c>
      <c r="D381" s="310">
        <v>2.0</v>
      </c>
      <c r="E381" s="310">
        <v>3.0</v>
      </c>
      <c r="F381" s="310">
        <v>4.0</v>
      </c>
      <c r="G381" s="580">
        <v>5.0</v>
      </c>
      <c r="H381" s="310">
        <v>6.0</v>
      </c>
      <c r="I381" s="310">
        <v>7.0</v>
      </c>
      <c r="J381" s="310">
        <v>8.0</v>
      </c>
      <c r="K381" s="580">
        <v>9.0</v>
      </c>
      <c r="U381" s="547"/>
      <c r="V381" s="547"/>
      <c r="W381" s="547"/>
      <c r="X381" s="547"/>
      <c r="Y381" s="241"/>
      <c r="Z381" s="241"/>
      <c r="AA381" s="241"/>
      <c r="AB381" s="241"/>
      <c r="AC381" s="241"/>
      <c r="AD381" s="241"/>
      <c r="AE381" s="241"/>
      <c r="AF381" s="241"/>
      <c r="AG381" s="241"/>
      <c r="AH381" s="555" t="s">
        <v>675</v>
      </c>
      <c r="AI381" s="555" t="s">
        <v>676</v>
      </c>
      <c r="AJ381" s="555" t="s">
        <v>677</v>
      </c>
      <c r="AK381" s="241"/>
      <c r="AL381" s="241"/>
      <c r="AM381" s="241"/>
      <c r="AN381" s="241"/>
      <c r="AO381" s="241"/>
      <c r="AP381" s="241"/>
      <c r="AQ381" s="241"/>
      <c r="AR381" s="241"/>
    </row>
    <row r="382">
      <c r="A382" s="558">
        <v>1.0</v>
      </c>
      <c r="B382" s="547" t="s">
        <v>178</v>
      </c>
      <c r="C382" s="547" t="s">
        <v>178</v>
      </c>
      <c r="D382" s="547" t="s">
        <v>178</v>
      </c>
      <c r="E382" s="547" t="s">
        <v>178</v>
      </c>
      <c r="F382" s="547" t="s">
        <v>178</v>
      </c>
      <c r="G382" s="547" t="s">
        <v>178</v>
      </c>
      <c r="H382" s="547" t="s">
        <v>178</v>
      </c>
      <c r="I382" s="547" t="s">
        <v>178</v>
      </c>
      <c r="J382" s="547" t="s">
        <v>178</v>
      </c>
      <c r="K382" s="547" t="s">
        <v>178</v>
      </c>
      <c r="U382" s="547"/>
      <c r="V382" s="547"/>
      <c r="W382" s="547"/>
      <c r="X382" s="547"/>
      <c r="Y382" s="241"/>
      <c r="Z382" s="241"/>
      <c r="AA382" s="241"/>
      <c r="AB382" s="241"/>
      <c r="AC382" s="241"/>
      <c r="AD382" s="241"/>
      <c r="AE382" s="241"/>
      <c r="AF382" s="241"/>
      <c r="AG382" s="241"/>
      <c r="AH382" s="555" t="s">
        <v>178</v>
      </c>
      <c r="AI382" s="555" t="s">
        <v>178</v>
      </c>
      <c r="AJ382" s="555" t="s">
        <v>178</v>
      </c>
      <c r="AK382" s="241"/>
      <c r="AL382" s="241"/>
      <c r="AM382" s="241"/>
      <c r="AN382" s="241"/>
      <c r="AO382" s="241"/>
      <c r="AP382" s="241"/>
      <c r="AQ382" s="241"/>
      <c r="AR382" s="241"/>
    </row>
    <row r="383">
      <c r="A383" s="558">
        <v>2.0</v>
      </c>
      <c r="B383" s="547" t="s">
        <v>178</v>
      </c>
      <c r="C383" s="547" t="s">
        <v>178</v>
      </c>
      <c r="D383" s="547" t="s">
        <v>178</v>
      </c>
      <c r="E383" s="547" t="s">
        <v>178</v>
      </c>
      <c r="F383" s="547" t="s">
        <v>178</v>
      </c>
      <c r="G383" s="547" t="s">
        <v>178</v>
      </c>
      <c r="H383" s="547" t="s">
        <v>178</v>
      </c>
      <c r="I383" s="547" t="s">
        <v>178</v>
      </c>
      <c r="J383" s="547" t="s">
        <v>178</v>
      </c>
      <c r="K383" s="547" t="s">
        <v>178</v>
      </c>
      <c r="U383" s="547"/>
      <c r="V383" s="547"/>
      <c r="W383" s="547"/>
      <c r="X383" s="547"/>
      <c r="Y383" s="241"/>
      <c r="Z383" s="241"/>
      <c r="AA383" s="241"/>
      <c r="AB383" s="241"/>
      <c r="AC383" s="241"/>
      <c r="AD383" s="241"/>
      <c r="AE383" s="241"/>
      <c r="AF383" s="241"/>
      <c r="AG383" s="241"/>
      <c r="AH383" s="555" t="s">
        <v>178</v>
      </c>
      <c r="AI383" s="555" t="s">
        <v>178</v>
      </c>
      <c r="AJ383" s="555" t="s">
        <v>178</v>
      </c>
      <c r="AK383" s="241"/>
      <c r="AL383" s="241"/>
      <c r="AM383" s="241"/>
      <c r="AN383" s="241"/>
      <c r="AO383" s="241"/>
      <c r="AP383" s="241"/>
      <c r="AQ383" s="241"/>
      <c r="AR383" s="241"/>
    </row>
    <row r="384">
      <c r="A384" s="558">
        <v>3.0</v>
      </c>
      <c r="B384" s="547" t="s">
        <v>178</v>
      </c>
      <c r="C384" s="547" t="s">
        <v>178</v>
      </c>
      <c r="D384" s="547" t="s">
        <v>178</v>
      </c>
      <c r="E384" s="547" t="s">
        <v>178</v>
      </c>
      <c r="F384" s="547" t="s">
        <v>178</v>
      </c>
      <c r="G384" s="547" t="s">
        <v>178</v>
      </c>
      <c r="H384" s="547" t="s">
        <v>178</v>
      </c>
      <c r="I384" s="547" t="s">
        <v>178</v>
      </c>
      <c r="J384" s="547" t="s">
        <v>178</v>
      </c>
      <c r="K384" s="547" t="s">
        <v>178</v>
      </c>
      <c r="U384" s="547"/>
      <c r="V384" s="547"/>
      <c r="W384" s="547"/>
      <c r="X384" s="547"/>
      <c r="Y384" s="241"/>
      <c r="Z384" s="241"/>
      <c r="AA384" s="241"/>
      <c r="AB384" s="241"/>
      <c r="AC384" s="241"/>
      <c r="AD384" s="241"/>
      <c r="AE384" s="241"/>
      <c r="AF384" s="241"/>
      <c r="AG384" s="241"/>
      <c r="AH384" s="547" t="s">
        <v>178</v>
      </c>
      <c r="AI384" s="547" t="s">
        <v>178</v>
      </c>
      <c r="AJ384" s="547" t="s">
        <v>178</v>
      </c>
      <c r="AK384" s="241"/>
      <c r="AL384" s="241"/>
      <c r="AM384" s="241"/>
      <c r="AN384" s="241"/>
      <c r="AO384" s="241"/>
      <c r="AP384" s="241"/>
      <c r="AQ384" s="241"/>
      <c r="AR384" s="241"/>
    </row>
    <row r="385">
      <c r="A385" s="558">
        <v>4.0</v>
      </c>
      <c r="B385" s="547" t="s">
        <v>178</v>
      </c>
      <c r="C385" s="547">
        <v>0.0</v>
      </c>
      <c r="D385" s="547" t="s">
        <v>178</v>
      </c>
      <c r="E385" s="547" t="s">
        <v>178</v>
      </c>
      <c r="F385" s="547" t="s">
        <v>178</v>
      </c>
      <c r="G385" s="547" t="s">
        <v>178</v>
      </c>
      <c r="H385" s="547" t="s">
        <v>178</v>
      </c>
      <c r="I385" s="547" t="s">
        <v>178</v>
      </c>
      <c r="J385" s="547" t="s">
        <v>178</v>
      </c>
      <c r="K385" s="547" t="s">
        <v>178</v>
      </c>
      <c r="U385" s="547"/>
      <c r="V385" s="547"/>
      <c r="W385" s="547"/>
      <c r="X385" s="547"/>
      <c r="Y385" s="241"/>
      <c r="Z385" s="241"/>
      <c r="AA385" s="241"/>
      <c r="AB385" s="241"/>
      <c r="AC385" s="241"/>
      <c r="AD385" s="241"/>
      <c r="AE385" s="241"/>
      <c r="AF385" s="241"/>
      <c r="AG385" s="241"/>
      <c r="AH385" s="547" t="s">
        <v>178</v>
      </c>
      <c r="AI385" s="547" t="s">
        <v>178</v>
      </c>
      <c r="AJ385" s="547" t="s">
        <v>178</v>
      </c>
      <c r="AK385" s="241"/>
      <c r="AL385" s="241"/>
      <c r="AM385" s="241"/>
      <c r="AN385" s="241"/>
      <c r="AO385" s="241"/>
      <c r="AP385" s="241"/>
      <c r="AQ385" s="241"/>
      <c r="AR385" s="241"/>
    </row>
    <row r="386">
      <c r="A386" s="558">
        <v>5.0</v>
      </c>
      <c r="B386" s="547" t="s">
        <v>178</v>
      </c>
      <c r="C386" s="547">
        <v>1.0</v>
      </c>
      <c r="D386" s="547" t="s">
        <v>178</v>
      </c>
      <c r="E386" s="547" t="s">
        <v>178</v>
      </c>
      <c r="F386" s="547" t="s">
        <v>178</v>
      </c>
      <c r="G386" s="547" t="s">
        <v>178</v>
      </c>
      <c r="H386" s="547" t="s">
        <v>178</v>
      </c>
      <c r="I386" s="547" t="s">
        <v>178</v>
      </c>
      <c r="J386" s="547" t="s">
        <v>178</v>
      </c>
      <c r="K386" s="547" t="s">
        <v>178</v>
      </c>
      <c r="U386" s="547"/>
      <c r="V386" s="547"/>
      <c r="W386" s="547"/>
      <c r="X386" s="547"/>
      <c r="Y386" s="241"/>
      <c r="Z386" s="241"/>
      <c r="AA386" s="241"/>
      <c r="AB386" s="241"/>
      <c r="AC386" s="241"/>
      <c r="AD386" s="241"/>
      <c r="AE386" s="241"/>
      <c r="AF386" s="241"/>
      <c r="AG386" s="241"/>
      <c r="AH386" s="547" t="s">
        <v>178</v>
      </c>
      <c r="AI386" s="547" t="s">
        <v>178</v>
      </c>
      <c r="AJ386" s="547" t="s">
        <v>178</v>
      </c>
      <c r="AK386" s="241"/>
      <c r="AL386" s="241"/>
      <c r="AM386" s="241"/>
      <c r="AN386" s="241"/>
      <c r="AO386" s="241"/>
      <c r="AP386" s="241"/>
      <c r="AQ386" s="241"/>
      <c r="AR386" s="241"/>
    </row>
    <row r="387">
      <c r="A387" s="558">
        <v>6.0</v>
      </c>
      <c r="B387" s="547" t="s">
        <v>178</v>
      </c>
      <c r="C387" s="547">
        <v>1.0</v>
      </c>
      <c r="D387" s="547" t="s">
        <v>178</v>
      </c>
      <c r="E387" s="547" t="s">
        <v>178</v>
      </c>
      <c r="F387" s="547" t="s">
        <v>178</v>
      </c>
      <c r="G387" s="547" t="s">
        <v>178</v>
      </c>
      <c r="H387" s="547" t="s">
        <v>178</v>
      </c>
      <c r="I387" s="547" t="s">
        <v>178</v>
      </c>
      <c r="J387" s="547" t="s">
        <v>178</v>
      </c>
      <c r="K387" s="547" t="s">
        <v>178</v>
      </c>
      <c r="U387" s="547"/>
      <c r="V387" s="547"/>
      <c r="W387" s="547"/>
      <c r="X387" s="547"/>
      <c r="Y387" s="241"/>
      <c r="Z387" s="241"/>
      <c r="AA387" s="241"/>
      <c r="AB387" s="241"/>
      <c r="AC387" s="241"/>
      <c r="AD387" s="241"/>
      <c r="AE387" s="241"/>
      <c r="AF387" s="241"/>
      <c r="AG387" s="241"/>
      <c r="AH387" s="547" t="s">
        <v>178</v>
      </c>
      <c r="AI387" s="547" t="s">
        <v>178</v>
      </c>
      <c r="AJ387" s="547" t="s">
        <v>178</v>
      </c>
      <c r="AK387" s="241"/>
      <c r="AL387" s="241"/>
      <c r="AM387" s="241"/>
      <c r="AN387" s="241"/>
      <c r="AO387" s="241"/>
      <c r="AP387" s="241"/>
      <c r="AQ387" s="241"/>
      <c r="AR387" s="241"/>
    </row>
    <row r="388">
      <c r="A388" s="558">
        <v>7.0</v>
      </c>
      <c r="B388" s="547" t="s">
        <v>178</v>
      </c>
      <c r="C388" s="547">
        <v>1.0</v>
      </c>
      <c r="D388" s="547">
        <v>0.0</v>
      </c>
      <c r="E388" s="547" t="s">
        <v>178</v>
      </c>
      <c r="F388" s="547" t="s">
        <v>178</v>
      </c>
      <c r="G388" s="547" t="s">
        <v>178</v>
      </c>
      <c r="H388" s="547" t="s">
        <v>178</v>
      </c>
      <c r="I388" s="547" t="s">
        <v>178</v>
      </c>
      <c r="J388" s="547" t="s">
        <v>178</v>
      </c>
      <c r="K388" s="547" t="s">
        <v>178</v>
      </c>
      <c r="U388" s="547"/>
      <c r="V388" s="547"/>
      <c r="W388" s="547"/>
      <c r="X388" s="547"/>
      <c r="Y388" s="241"/>
      <c r="Z388" s="241"/>
      <c r="AA388" s="241"/>
      <c r="AB388" s="241"/>
      <c r="AC388" s="241"/>
      <c r="AD388" s="241"/>
      <c r="AE388" s="241"/>
      <c r="AF388" s="241"/>
      <c r="AG388" s="241"/>
      <c r="AH388" s="547" t="s">
        <v>178</v>
      </c>
      <c r="AI388" s="547" t="s">
        <v>178</v>
      </c>
      <c r="AJ388" s="547" t="s">
        <v>178</v>
      </c>
      <c r="AK388" s="241"/>
      <c r="AL388" s="241"/>
      <c r="AM388" s="241"/>
      <c r="AN388" s="241"/>
      <c r="AO388" s="241"/>
      <c r="AP388" s="241"/>
      <c r="AQ388" s="241"/>
      <c r="AR388" s="241"/>
    </row>
    <row r="389">
      <c r="A389" s="558">
        <v>8.0</v>
      </c>
      <c r="B389" s="547" t="s">
        <v>178</v>
      </c>
      <c r="C389" s="547">
        <v>1.0</v>
      </c>
      <c r="D389" s="547">
        <v>1.0</v>
      </c>
      <c r="E389" s="547" t="s">
        <v>178</v>
      </c>
      <c r="F389" s="547" t="s">
        <v>178</v>
      </c>
      <c r="G389" s="547" t="s">
        <v>178</v>
      </c>
      <c r="H389" s="547" t="s">
        <v>178</v>
      </c>
      <c r="I389" s="547" t="s">
        <v>178</v>
      </c>
      <c r="J389" s="547" t="s">
        <v>178</v>
      </c>
      <c r="K389" s="547" t="s">
        <v>178</v>
      </c>
      <c r="U389" s="547"/>
      <c r="V389" s="547"/>
      <c r="W389" s="547"/>
      <c r="X389" s="547"/>
      <c r="Y389" s="241"/>
      <c r="Z389" s="241"/>
      <c r="AA389" s="241"/>
      <c r="AB389" s="241"/>
      <c r="AC389" s="241"/>
      <c r="AD389" s="241"/>
      <c r="AE389" s="241"/>
      <c r="AF389" s="241"/>
      <c r="AG389" s="241"/>
      <c r="AH389" s="547" t="s">
        <v>178</v>
      </c>
      <c r="AI389" s="547" t="s">
        <v>178</v>
      </c>
      <c r="AJ389" s="547" t="s">
        <v>178</v>
      </c>
      <c r="AK389" s="241"/>
      <c r="AL389" s="241"/>
      <c r="AM389" s="241"/>
      <c r="AN389" s="241"/>
      <c r="AO389" s="241"/>
      <c r="AP389" s="241"/>
      <c r="AQ389" s="241"/>
      <c r="AR389" s="241"/>
    </row>
    <row r="390">
      <c r="A390" s="558">
        <v>9.0</v>
      </c>
      <c r="B390" s="547" t="s">
        <v>178</v>
      </c>
      <c r="C390" s="547">
        <v>2.0</v>
      </c>
      <c r="D390" s="547">
        <v>1.0</v>
      </c>
      <c r="E390" s="547" t="s">
        <v>178</v>
      </c>
      <c r="F390" s="547" t="s">
        <v>178</v>
      </c>
      <c r="G390" s="547" t="s">
        <v>178</v>
      </c>
      <c r="H390" s="547" t="s">
        <v>178</v>
      </c>
      <c r="I390" s="547" t="s">
        <v>178</v>
      </c>
      <c r="J390" s="547" t="s">
        <v>178</v>
      </c>
      <c r="K390" s="547" t="s">
        <v>178</v>
      </c>
      <c r="U390" s="547"/>
      <c r="V390" s="547"/>
      <c r="W390" s="547"/>
      <c r="X390" s="547"/>
      <c r="Y390" s="241"/>
      <c r="Z390" s="241"/>
      <c r="AA390" s="241"/>
      <c r="AB390" s="241"/>
      <c r="AC390" s="241"/>
      <c r="AD390" s="241"/>
      <c r="AE390" s="241"/>
      <c r="AF390" s="241"/>
      <c r="AG390" s="241"/>
      <c r="AH390" s="547" t="s">
        <v>178</v>
      </c>
      <c r="AI390" s="547" t="s">
        <v>178</v>
      </c>
      <c r="AJ390" s="547" t="s">
        <v>178</v>
      </c>
      <c r="AK390" s="241"/>
      <c r="AL390" s="241"/>
      <c r="AM390" s="241"/>
      <c r="AN390" s="241"/>
      <c r="AO390" s="241"/>
      <c r="AP390" s="241"/>
      <c r="AQ390" s="241"/>
      <c r="AR390" s="241"/>
    </row>
    <row r="391">
      <c r="A391" s="558">
        <v>10.0</v>
      </c>
      <c r="B391" s="547" t="s">
        <v>178</v>
      </c>
      <c r="C391" s="547">
        <v>2.0</v>
      </c>
      <c r="D391" s="547">
        <v>1.0</v>
      </c>
      <c r="E391" s="547">
        <v>0.0</v>
      </c>
      <c r="F391" s="547" t="s">
        <v>178</v>
      </c>
      <c r="G391" s="547" t="s">
        <v>178</v>
      </c>
      <c r="H391" s="547" t="s">
        <v>178</v>
      </c>
      <c r="I391" s="547" t="s">
        <v>178</v>
      </c>
      <c r="J391" s="547" t="s">
        <v>178</v>
      </c>
      <c r="K391" s="547" t="s">
        <v>178</v>
      </c>
      <c r="U391" s="547"/>
      <c r="V391" s="547"/>
      <c r="W391" s="547"/>
      <c r="X391" s="547"/>
      <c r="Y391" s="241"/>
      <c r="Z391" s="241"/>
      <c r="AA391" s="241"/>
      <c r="AB391" s="241"/>
      <c r="AC391" s="241"/>
      <c r="AD391" s="241"/>
      <c r="AE391" s="241"/>
      <c r="AF391" s="241"/>
      <c r="AG391" s="241"/>
      <c r="AH391" s="547" t="s">
        <v>178</v>
      </c>
      <c r="AI391" s="547" t="s">
        <v>178</v>
      </c>
      <c r="AJ391" s="547" t="s">
        <v>178</v>
      </c>
      <c r="AK391" s="241"/>
      <c r="AL391" s="241"/>
      <c r="AM391" s="241"/>
      <c r="AN391" s="241"/>
      <c r="AO391" s="241"/>
      <c r="AP391" s="241"/>
      <c r="AQ391" s="241"/>
      <c r="AR391" s="241"/>
    </row>
    <row r="392">
      <c r="A392" s="558">
        <v>11.0</v>
      </c>
      <c r="B392" s="547" t="s">
        <v>178</v>
      </c>
      <c r="C392" s="547">
        <v>2.0</v>
      </c>
      <c r="D392" s="547">
        <v>1.0</v>
      </c>
      <c r="E392" s="547">
        <v>1.0</v>
      </c>
      <c r="F392" s="547" t="s">
        <v>178</v>
      </c>
      <c r="G392" s="547" t="s">
        <v>178</v>
      </c>
      <c r="H392" s="547" t="s">
        <v>178</v>
      </c>
      <c r="I392" s="547" t="s">
        <v>178</v>
      </c>
      <c r="J392" s="547" t="s">
        <v>178</v>
      </c>
      <c r="K392" s="547" t="s">
        <v>178</v>
      </c>
      <c r="U392" s="547"/>
      <c r="V392" s="547"/>
      <c r="W392" s="547"/>
      <c r="X392" s="547"/>
      <c r="Y392" s="241"/>
      <c r="Z392" s="241"/>
      <c r="AA392" s="241"/>
      <c r="AB392" s="241"/>
      <c r="AC392" s="241"/>
      <c r="AD392" s="241"/>
      <c r="AE392" s="241"/>
      <c r="AF392" s="241"/>
      <c r="AG392" s="241"/>
      <c r="AH392" s="547" t="s">
        <v>178</v>
      </c>
      <c r="AI392" s="547" t="s">
        <v>178</v>
      </c>
      <c r="AJ392" s="547" t="s">
        <v>178</v>
      </c>
      <c r="AK392" s="241"/>
      <c r="AL392" s="241"/>
      <c r="AM392" s="241"/>
      <c r="AN392" s="241"/>
      <c r="AO392" s="241"/>
      <c r="AP392" s="241"/>
      <c r="AQ392" s="241"/>
      <c r="AR392" s="241"/>
    </row>
    <row r="393">
      <c r="A393" s="558">
        <v>12.0</v>
      </c>
      <c r="B393" s="547" t="s">
        <v>178</v>
      </c>
      <c r="C393" s="547">
        <v>2.0</v>
      </c>
      <c r="D393" s="547">
        <v>2.0</v>
      </c>
      <c r="E393" s="547">
        <v>1.0</v>
      </c>
      <c r="F393" s="547" t="s">
        <v>178</v>
      </c>
      <c r="G393" s="547" t="s">
        <v>178</v>
      </c>
      <c r="H393" s="547" t="s">
        <v>178</v>
      </c>
      <c r="I393" s="547" t="s">
        <v>178</v>
      </c>
      <c r="J393" s="547" t="s">
        <v>178</v>
      </c>
      <c r="K393" s="547" t="s">
        <v>178</v>
      </c>
      <c r="U393" s="547"/>
      <c r="V393" s="547"/>
      <c r="W393" s="547"/>
      <c r="X393" s="547"/>
      <c r="Y393" s="241"/>
      <c r="Z393" s="241"/>
      <c r="AA393" s="241"/>
      <c r="AB393" s="241"/>
      <c r="AC393" s="241"/>
      <c r="AD393" s="241"/>
      <c r="AE393" s="241"/>
      <c r="AF393" s="241"/>
      <c r="AG393" s="241"/>
      <c r="AH393" s="547" t="s">
        <v>178</v>
      </c>
      <c r="AI393" s="547" t="s">
        <v>178</v>
      </c>
      <c r="AJ393" s="547" t="s">
        <v>178</v>
      </c>
      <c r="AK393" s="241"/>
      <c r="AL393" s="241"/>
      <c r="AM393" s="241"/>
      <c r="AN393" s="241"/>
      <c r="AO393" s="241"/>
      <c r="AP393" s="241"/>
      <c r="AQ393" s="241"/>
      <c r="AR393" s="241"/>
    </row>
    <row r="394">
      <c r="A394" s="558">
        <v>13.0</v>
      </c>
      <c r="B394" s="547" t="s">
        <v>178</v>
      </c>
      <c r="C394" s="547">
        <v>3.0</v>
      </c>
      <c r="D394" s="547">
        <v>2.0</v>
      </c>
      <c r="E394" s="547">
        <v>1.0</v>
      </c>
      <c r="F394" s="547">
        <v>0.0</v>
      </c>
      <c r="G394" s="547" t="s">
        <v>178</v>
      </c>
      <c r="H394" s="547" t="s">
        <v>178</v>
      </c>
      <c r="I394" s="547" t="s">
        <v>178</v>
      </c>
      <c r="J394" s="547" t="s">
        <v>178</v>
      </c>
      <c r="K394" s="547" t="s">
        <v>178</v>
      </c>
      <c r="U394" s="547"/>
      <c r="V394" s="547"/>
      <c r="W394" s="547"/>
      <c r="X394" s="547"/>
      <c r="Y394" s="241"/>
      <c r="Z394" s="241"/>
      <c r="AA394" s="241"/>
      <c r="AB394" s="241"/>
      <c r="AC394" s="241"/>
      <c r="AD394" s="241"/>
      <c r="AE394" s="241"/>
      <c r="AF394" s="241"/>
      <c r="AG394" s="241"/>
      <c r="AH394" s="547" t="s">
        <v>178</v>
      </c>
      <c r="AI394" s="547" t="s">
        <v>178</v>
      </c>
      <c r="AJ394" s="547" t="s">
        <v>178</v>
      </c>
      <c r="AK394" s="241"/>
      <c r="AL394" s="241"/>
      <c r="AM394" s="241"/>
      <c r="AN394" s="241"/>
      <c r="AO394" s="241"/>
      <c r="AP394" s="241"/>
      <c r="AQ394" s="241"/>
      <c r="AR394" s="241"/>
    </row>
    <row r="395">
      <c r="A395" s="558">
        <v>14.0</v>
      </c>
      <c r="B395" s="547" t="s">
        <v>178</v>
      </c>
      <c r="C395" s="547">
        <v>3.0</v>
      </c>
      <c r="D395" s="547">
        <v>2.0</v>
      </c>
      <c r="E395" s="547">
        <v>1.0</v>
      </c>
      <c r="F395" s="547">
        <v>1.0</v>
      </c>
      <c r="G395" s="547" t="s">
        <v>178</v>
      </c>
      <c r="H395" s="547" t="s">
        <v>178</v>
      </c>
      <c r="I395" s="547" t="s">
        <v>178</v>
      </c>
      <c r="J395" s="547" t="s">
        <v>178</v>
      </c>
      <c r="K395" s="547" t="s">
        <v>178</v>
      </c>
      <c r="U395" s="547"/>
      <c r="V395" s="547"/>
      <c r="W395" s="547"/>
      <c r="X395" s="547"/>
      <c r="Y395" s="241"/>
      <c r="Z395" s="241"/>
      <c r="AA395" s="241"/>
      <c r="AB395" s="241"/>
      <c r="AC395" s="241"/>
      <c r="AD395" s="241"/>
      <c r="AE395" s="241"/>
      <c r="AF395" s="241"/>
      <c r="AG395" s="241"/>
      <c r="AH395" s="547" t="s">
        <v>178</v>
      </c>
      <c r="AI395" s="547" t="s">
        <v>178</v>
      </c>
      <c r="AJ395" s="547" t="s">
        <v>178</v>
      </c>
      <c r="AK395" s="241"/>
      <c r="AL395" s="241"/>
      <c r="AM395" s="241"/>
      <c r="AN395" s="241"/>
      <c r="AO395" s="241"/>
      <c r="AP395" s="241"/>
      <c r="AQ395" s="241"/>
      <c r="AR395" s="241"/>
    </row>
    <row r="396">
      <c r="A396" s="558">
        <v>15.0</v>
      </c>
      <c r="B396" s="547" t="s">
        <v>178</v>
      </c>
      <c r="C396" s="547">
        <v>3.0</v>
      </c>
      <c r="D396" s="547">
        <v>2.0</v>
      </c>
      <c r="E396" s="547">
        <v>2.0</v>
      </c>
      <c r="F396" s="547">
        <v>1.0</v>
      </c>
      <c r="G396" s="547" t="s">
        <v>178</v>
      </c>
      <c r="H396" s="547" t="s">
        <v>178</v>
      </c>
      <c r="I396" s="547" t="s">
        <v>178</v>
      </c>
      <c r="J396" s="547" t="s">
        <v>178</v>
      </c>
      <c r="K396" s="547" t="s">
        <v>178</v>
      </c>
      <c r="U396" s="547"/>
      <c r="V396" s="547"/>
      <c r="W396" s="547"/>
      <c r="X396" s="547"/>
      <c r="Y396" s="241"/>
      <c r="Z396" s="241"/>
      <c r="AA396" s="241"/>
      <c r="AB396" s="241"/>
      <c r="AC396" s="241"/>
      <c r="AD396" s="241"/>
      <c r="AE396" s="241"/>
      <c r="AF396" s="241"/>
      <c r="AG396" s="241"/>
      <c r="AH396" s="547" t="s">
        <v>178</v>
      </c>
      <c r="AI396" s="547" t="s">
        <v>178</v>
      </c>
      <c r="AJ396" s="547" t="s">
        <v>178</v>
      </c>
      <c r="AK396" s="241"/>
      <c r="AL396" s="241"/>
      <c r="AM396" s="241"/>
      <c r="AN396" s="241"/>
      <c r="AO396" s="241"/>
      <c r="AP396" s="241"/>
      <c r="AQ396" s="241"/>
      <c r="AR396" s="241"/>
    </row>
    <row r="397">
      <c r="A397" s="558">
        <v>16.0</v>
      </c>
      <c r="B397" s="547" t="s">
        <v>178</v>
      </c>
      <c r="C397" s="547">
        <v>3.0</v>
      </c>
      <c r="D397" s="547">
        <v>3.0</v>
      </c>
      <c r="E397" s="547">
        <v>2.0</v>
      </c>
      <c r="F397" s="547">
        <v>1.0</v>
      </c>
      <c r="G397" s="547" t="s">
        <v>178</v>
      </c>
      <c r="H397" s="547" t="s">
        <v>178</v>
      </c>
      <c r="I397" s="547" t="s">
        <v>178</v>
      </c>
      <c r="J397" s="547" t="s">
        <v>178</v>
      </c>
      <c r="K397" s="547" t="s">
        <v>178</v>
      </c>
      <c r="U397" s="547"/>
      <c r="V397" s="547"/>
      <c r="W397" s="547"/>
      <c r="X397" s="547"/>
      <c r="Y397" s="241"/>
      <c r="Z397" s="241"/>
      <c r="AA397" s="241"/>
      <c r="AB397" s="241"/>
      <c r="AC397" s="241"/>
      <c r="AD397" s="241"/>
      <c r="AE397" s="241"/>
      <c r="AF397" s="241"/>
      <c r="AG397" s="241"/>
      <c r="AH397" s="547" t="s">
        <v>178</v>
      </c>
      <c r="AI397" s="547" t="s">
        <v>178</v>
      </c>
      <c r="AJ397" s="547" t="s">
        <v>178</v>
      </c>
      <c r="AK397" s="241"/>
      <c r="AL397" s="241"/>
      <c r="AM397" s="241"/>
      <c r="AN397" s="241"/>
      <c r="AO397" s="241"/>
      <c r="AP397" s="241"/>
      <c r="AQ397" s="241"/>
      <c r="AR397" s="241"/>
    </row>
    <row r="398">
      <c r="A398" s="558">
        <v>17.0</v>
      </c>
      <c r="B398" s="547" t="s">
        <v>178</v>
      </c>
      <c r="C398" s="547">
        <v>4.0</v>
      </c>
      <c r="D398" s="547">
        <v>3.0</v>
      </c>
      <c r="E398" s="547">
        <v>2.0</v>
      </c>
      <c r="F398" s="547">
        <v>1.0</v>
      </c>
      <c r="G398" s="547" t="s">
        <v>178</v>
      </c>
      <c r="H398" s="547" t="s">
        <v>178</v>
      </c>
      <c r="I398" s="547" t="s">
        <v>178</v>
      </c>
      <c r="J398" s="547" t="s">
        <v>178</v>
      </c>
      <c r="K398" s="547" t="s">
        <v>178</v>
      </c>
      <c r="U398" s="547"/>
      <c r="V398" s="547"/>
      <c r="W398" s="547"/>
      <c r="X398" s="547"/>
      <c r="Y398" s="241"/>
      <c r="Z398" s="241"/>
      <c r="AA398" s="241"/>
      <c r="AB398" s="241"/>
      <c r="AC398" s="241"/>
      <c r="AD398" s="241"/>
      <c r="AE398" s="241"/>
      <c r="AF398" s="241"/>
      <c r="AG398" s="241"/>
      <c r="AH398" s="547" t="s">
        <v>178</v>
      </c>
      <c r="AI398" s="547" t="s">
        <v>178</v>
      </c>
      <c r="AJ398" s="547" t="s">
        <v>178</v>
      </c>
      <c r="AK398" s="241"/>
      <c r="AL398" s="241"/>
      <c r="AM398" s="241"/>
      <c r="AN398" s="241"/>
      <c r="AO398" s="241"/>
      <c r="AP398" s="241"/>
      <c r="AQ398" s="241"/>
      <c r="AR398" s="241"/>
    </row>
    <row r="399">
      <c r="A399" s="558">
        <v>18.0</v>
      </c>
      <c r="B399" s="547" t="s">
        <v>178</v>
      </c>
      <c r="C399" s="547">
        <v>4.0</v>
      </c>
      <c r="D399" s="547">
        <v>3.0</v>
      </c>
      <c r="E399" s="547">
        <v>2.0</v>
      </c>
      <c r="F399" s="547">
        <v>2.0</v>
      </c>
      <c r="G399" s="547" t="s">
        <v>178</v>
      </c>
      <c r="H399" s="547" t="s">
        <v>178</v>
      </c>
      <c r="I399" s="547" t="s">
        <v>178</v>
      </c>
      <c r="J399" s="547" t="s">
        <v>178</v>
      </c>
      <c r="K399" s="547" t="s">
        <v>178</v>
      </c>
      <c r="U399" s="547"/>
      <c r="V399" s="547"/>
      <c r="W399" s="547"/>
      <c r="X399" s="547"/>
      <c r="Y399" s="241"/>
      <c r="Z399" s="241"/>
      <c r="AA399" s="241"/>
      <c r="AB399" s="241"/>
      <c r="AC399" s="241"/>
      <c r="AD399" s="241"/>
      <c r="AE399" s="241"/>
      <c r="AF399" s="241"/>
      <c r="AG399" s="241"/>
      <c r="AH399" s="547" t="s">
        <v>178</v>
      </c>
      <c r="AI399" s="547" t="s">
        <v>178</v>
      </c>
      <c r="AJ399" s="547" t="s">
        <v>178</v>
      </c>
      <c r="AK399" s="241"/>
      <c r="AL399" s="241"/>
      <c r="AM399" s="241"/>
      <c r="AN399" s="241"/>
      <c r="AO399" s="241"/>
      <c r="AP399" s="241"/>
      <c r="AQ399" s="241"/>
      <c r="AR399" s="241"/>
    </row>
    <row r="400">
      <c r="A400" s="558">
        <v>19.0</v>
      </c>
      <c r="B400" s="547" t="s">
        <v>178</v>
      </c>
      <c r="C400" s="547">
        <v>4.0</v>
      </c>
      <c r="D400" s="547">
        <v>3.0</v>
      </c>
      <c r="E400" s="547">
        <v>3.0</v>
      </c>
      <c r="F400" s="547">
        <v>2.0</v>
      </c>
      <c r="G400" s="547" t="s">
        <v>178</v>
      </c>
      <c r="H400" s="547" t="s">
        <v>178</v>
      </c>
      <c r="I400" s="547" t="s">
        <v>178</v>
      </c>
      <c r="J400" s="547" t="s">
        <v>178</v>
      </c>
      <c r="K400" s="547" t="s">
        <v>178</v>
      </c>
      <c r="U400" s="547"/>
      <c r="V400" s="547"/>
      <c r="W400" s="547"/>
      <c r="X400" s="547"/>
      <c r="Y400" s="241"/>
      <c r="Z400" s="241"/>
      <c r="AA400" s="241"/>
      <c r="AB400" s="241"/>
      <c r="AC400" s="241"/>
      <c r="AD400" s="241"/>
      <c r="AE400" s="241"/>
      <c r="AF400" s="241"/>
      <c r="AG400" s="241"/>
      <c r="AH400" s="547" t="s">
        <v>178</v>
      </c>
      <c r="AI400" s="547" t="s">
        <v>178</v>
      </c>
      <c r="AJ400" s="547" t="s">
        <v>178</v>
      </c>
      <c r="AK400" s="241"/>
      <c r="AL400" s="241"/>
      <c r="AM400" s="241"/>
      <c r="AN400" s="241"/>
      <c r="AO400" s="241"/>
      <c r="AP400" s="241"/>
      <c r="AQ400" s="241"/>
      <c r="AR400" s="241"/>
    </row>
    <row r="401">
      <c r="A401" s="558">
        <v>20.0</v>
      </c>
      <c r="B401" s="547" t="s">
        <v>178</v>
      </c>
      <c r="C401" s="547">
        <v>4.0</v>
      </c>
      <c r="D401" s="547">
        <v>4.0</v>
      </c>
      <c r="E401" s="547">
        <v>3.0</v>
      </c>
      <c r="F401" s="547">
        <v>3.0</v>
      </c>
      <c r="G401" s="547" t="s">
        <v>178</v>
      </c>
      <c r="H401" s="547" t="s">
        <v>178</v>
      </c>
      <c r="I401" s="547" t="s">
        <v>178</v>
      </c>
      <c r="J401" s="547" t="s">
        <v>178</v>
      </c>
      <c r="K401" s="547" t="s">
        <v>178</v>
      </c>
      <c r="U401" s="547"/>
      <c r="V401" s="547"/>
      <c r="W401" s="547"/>
      <c r="X401" s="547"/>
      <c r="Y401" s="241"/>
      <c r="Z401" s="241"/>
      <c r="AA401" s="241"/>
      <c r="AB401" s="241"/>
      <c r="AC401" s="241"/>
      <c r="AD401" s="241"/>
      <c r="AE401" s="241"/>
      <c r="AF401" s="241"/>
      <c r="AG401" s="241"/>
      <c r="AH401" s="547" t="s">
        <v>178</v>
      </c>
      <c r="AI401" s="547" t="s">
        <v>178</v>
      </c>
      <c r="AJ401" s="547" t="s">
        <v>178</v>
      </c>
      <c r="AK401" s="241"/>
      <c r="AL401" s="241"/>
      <c r="AM401" s="241"/>
      <c r="AN401" s="241"/>
      <c r="AO401" s="241"/>
      <c r="AP401" s="241"/>
      <c r="AQ401" s="241"/>
      <c r="AR401" s="241"/>
    </row>
    <row r="402">
      <c r="A402" s="558"/>
      <c r="B402" s="547"/>
      <c r="C402" s="547"/>
      <c r="D402" s="547"/>
      <c r="E402" s="547"/>
      <c r="F402" s="547"/>
      <c r="G402" s="547"/>
      <c r="H402" s="558"/>
      <c r="I402" s="547"/>
      <c r="J402" s="547"/>
      <c r="K402" s="547"/>
      <c r="L402" s="547"/>
      <c r="M402" s="310"/>
      <c r="N402" s="547"/>
      <c r="O402" s="558"/>
      <c r="P402" s="547"/>
      <c r="Q402" s="547"/>
      <c r="R402" s="547"/>
      <c r="S402" s="547"/>
      <c r="T402" s="547"/>
      <c r="U402" s="547"/>
      <c r="V402" s="547"/>
      <c r="W402" s="547"/>
      <c r="X402" s="547"/>
      <c r="Y402" s="241"/>
      <c r="Z402" s="241"/>
      <c r="AA402" s="241"/>
      <c r="AB402" s="241"/>
      <c r="AC402" s="241"/>
      <c r="AD402" s="241"/>
      <c r="AE402" s="241"/>
      <c r="AF402" s="241"/>
      <c r="AG402" s="241"/>
      <c r="AH402" s="547"/>
      <c r="AI402" s="547"/>
      <c r="AJ402" s="547"/>
      <c r="AK402" s="241"/>
      <c r="AL402" s="241"/>
      <c r="AM402" s="241"/>
      <c r="AN402" s="241"/>
      <c r="AO402" s="241"/>
      <c r="AP402" s="241"/>
      <c r="AQ402" s="241"/>
      <c r="AR402" s="241"/>
    </row>
    <row r="403">
      <c r="A403" s="549"/>
      <c r="B403" s="549" t="s">
        <v>679</v>
      </c>
      <c r="C403" s="312"/>
      <c r="D403" s="312"/>
      <c r="E403" s="312"/>
      <c r="F403" s="312"/>
      <c r="G403" s="312"/>
      <c r="N403" s="549"/>
      <c r="O403" s="549" t="s">
        <v>680</v>
      </c>
      <c r="P403" s="312"/>
      <c r="Q403" s="312"/>
      <c r="R403" s="312"/>
      <c r="S403" s="312"/>
      <c r="T403" s="547"/>
      <c r="U403" s="547"/>
      <c r="V403" s="547"/>
      <c r="W403" s="547"/>
      <c r="X403" s="547"/>
      <c r="Y403" s="241"/>
      <c r="Z403" s="241"/>
      <c r="AA403" s="241"/>
      <c r="AB403" s="241"/>
      <c r="AC403" s="241"/>
      <c r="AD403" s="241"/>
      <c r="AE403" s="241"/>
      <c r="AF403" s="241"/>
      <c r="AG403" s="241"/>
      <c r="AH403" s="547"/>
      <c r="AI403" s="547"/>
      <c r="AJ403" s="547"/>
      <c r="AK403" s="241"/>
      <c r="AL403" s="241"/>
      <c r="AM403" s="241"/>
      <c r="AN403" s="241"/>
      <c r="AO403" s="241"/>
      <c r="AP403" s="241"/>
      <c r="AQ403" s="241"/>
      <c r="AR403" s="241"/>
    </row>
    <row r="404">
      <c r="A404" s="554" t="s">
        <v>660</v>
      </c>
      <c r="B404" s="555">
        <v>0.0</v>
      </c>
      <c r="C404" s="556">
        <v>1.0</v>
      </c>
      <c r="D404" s="310">
        <v>2.0</v>
      </c>
      <c r="E404" s="310">
        <v>3.0</v>
      </c>
      <c r="F404" s="310">
        <v>4.0</v>
      </c>
      <c r="G404" s="580">
        <v>5.0</v>
      </c>
      <c r="H404" s="310">
        <v>6.0</v>
      </c>
      <c r="I404" s="310">
        <v>7.0</v>
      </c>
      <c r="J404" s="310">
        <v>8.0</v>
      </c>
      <c r="K404" s="580">
        <v>9.0</v>
      </c>
      <c r="N404" s="554" t="s">
        <v>660</v>
      </c>
      <c r="O404" s="555">
        <v>0.0</v>
      </c>
      <c r="P404" s="556">
        <v>1.0</v>
      </c>
      <c r="Q404" s="310">
        <v>2.0</v>
      </c>
      <c r="R404" s="310">
        <v>3.0</v>
      </c>
      <c r="S404" s="310">
        <v>4.0</v>
      </c>
      <c r="T404" s="580">
        <v>5.0</v>
      </c>
      <c r="U404" s="310">
        <v>6.0</v>
      </c>
      <c r="V404" s="310">
        <v>7.0</v>
      </c>
      <c r="W404" s="310">
        <v>8.0</v>
      </c>
      <c r="X404" s="580">
        <v>9.0</v>
      </c>
      <c r="Y404" s="241"/>
      <c r="Z404" s="241"/>
      <c r="AA404" s="241"/>
      <c r="AB404" s="241"/>
      <c r="AC404" s="241"/>
      <c r="AD404" s="241"/>
      <c r="AE404" s="241"/>
      <c r="AF404" s="241"/>
      <c r="AG404" s="241"/>
      <c r="AH404" s="547"/>
      <c r="AI404" s="547"/>
      <c r="AJ404" s="547"/>
      <c r="AK404" s="241"/>
      <c r="AL404" s="241"/>
      <c r="AM404" s="241"/>
      <c r="AN404" s="241"/>
      <c r="AO404" s="241"/>
      <c r="AP404" s="241"/>
      <c r="AQ404" s="241"/>
      <c r="AR404" s="241"/>
    </row>
    <row r="405">
      <c r="A405" s="558">
        <v>1.0</v>
      </c>
      <c r="B405" s="547" t="s">
        <v>178</v>
      </c>
      <c r="C405" s="547" t="s">
        <v>178</v>
      </c>
      <c r="D405" s="547" t="s">
        <v>178</v>
      </c>
      <c r="E405" s="547" t="s">
        <v>178</v>
      </c>
      <c r="F405" s="547" t="s">
        <v>178</v>
      </c>
      <c r="G405" s="547" t="s">
        <v>178</v>
      </c>
      <c r="H405" s="547" t="s">
        <v>178</v>
      </c>
      <c r="I405" s="547" t="s">
        <v>178</v>
      </c>
      <c r="J405" s="547" t="s">
        <v>178</v>
      </c>
      <c r="K405" s="547" t="s">
        <v>178</v>
      </c>
      <c r="N405" s="558">
        <v>1.0</v>
      </c>
      <c r="O405" s="310">
        <v>2.0</v>
      </c>
      <c r="P405" s="547" t="s">
        <v>178</v>
      </c>
      <c r="Q405" s="547" t="s">
        <v>178</v>
      </c>
      <c r="R405" s="547" t="s">
        <v>178</v>
      </c>
      <c r="S405" s="547" t="s">
        <v>178</v>
      </c>
      <c r="T405" s="547" t="s">
        <v>178</v>
      </c>
      <c r="U405" s="547" t="s">
        <v>178</v>
      </c>
      <c r="V405" s="547" t="s">
        <v>178</v>
      </c>
      <c r="W405" s="547" t="s">
        <v>178</v>
      </c>
      <c r="X405" s="547" t="s">
        <v>178</v>
      </c>
      <c r="Y405" s="241"/>
      <c r="Z405" s="241"/>
      <c r="AA405" s="241"/>
      <c r="AB405" s="241"/>
      <c r="AC405" s="241"/>
      <c r="AD405" s="241"/>
      <c r="AE405" s="241"/>
      <c r="AF405" s="241"/>
      <c r="AG405" s="241"/>
      <c r="AH405" s="547"/>
      <c r="AI405" s="547"/>
      <c r="AJ405" s="547"/>
      <c r="AK405" s="241"/>
      <c r="AL405" s="241"/>
      <c r="AM405" s="241"/>
      <c r="AN405" s="241"/>
      <c r="AO405" s="241"/>
      <c r="AP405" s="241"/>
      <c r="AQ405" s="241"/>
      <c r="AR405" s="241"/>
    </row>
    <row r="406">
      <c r="A406" s="558">
        <v>2.0</v>
      </c>
      <c r="B406" s="547" t="s">
        <v>178</v>
      </c>
      <c r="C406" s="547" t="s">
        <v>178</v>
      </c>
      <c r="D406" s="547" t="s">
        <v>178</v>
      </c>
      <c r="E406" s="547" t="s">
        <v>178</v>
      </c>
      <c r="F406" s="547" t="s">
        <v>178</v>
      </c>
      <c r="G406" s="547" t="s">
        <v>178</v>
      </c>
      <c r="H406" s="547" t="s">
        <v>178</v>
      </c>
      <c r="I406" s="547" t="s">
        <v>178</v>
      </c>
      <c r="J406" s="547" t="s">
        <v>178</v>
      </c>
      <c r="K406" s="547" t="s">
        <v>178</v>
      </c>
      <c r="N406" s="558">
        <v>2.0</v>
      </c>
      <c r="O406" s="310">
        <v>3.0</v>
      </c>
      <c r="P406" s="547" t="s">
        <v>178</v>
      </c>
      <c r="Q406" s="547" t="s">
        <v>178</v>
      </c>
      <c r="R406" s="547" t="s">
        <v>178</v>
      </c>
      <c r="S406" s="547" t="s">
        <v>178</v>
      </c>
      <c r="T406" s="547" t="s">
        <v>178</v>
      </c>
      <c r="U406" s="547" t="s">
        <v>178</v>
      </c>
      <c r="V406" s="547" t="s">
        <v>178</v>
      </c>
      <c r="W406" s="547" t="s">
        <v>178</v>
      </c>
      <c r="X406" s="547" t="s">
        <v>178</v>
      </c>
      <c r="Y406" s="241"/>
      <c r="Z406" s="241"/>
      <c r="AA406" s="241"/>
      <c r="AB406" s="241"/>
      <c r="AC406" s="241"/>
      <c r="AD406" s="241"/>
      <c r="AE406" s="241"/>
      <c r="AF406" s="241"/>
      <c r="AG406" s="241"/>
      <c r="AH406" s="547"/>
      <c r="AI406" s="547"/>
      <c r="AJ406" s="547"/>
      <c r="AK406" s="241"/>
      <c r="AL406" s="241"/>
      <c r="AM406" s="241"/>
      <c r="AN406" s="241"/>
      <c r="AO406" s="241"/>
      <c r="AP406" s="241"/>
      <c r="AQ406" s="241"/>
      <c r="AR406" s="241"/>
    </row>
    <row r="407">
      <c r="A407" s="558">
        <v>3.0</v>
      </c>
      <c r="B407" s="547" t="s">
        <v>178</v>
      </c>
      <c r="C407" s="547" t="s">
        <v>178</v>
      </c>
      <c r="D407" s="547" t="s">
        <v>178</v>
      </c>
      <c r="E407" s="547" t="s">
        <v>178</v>
      </c>
      <c r="F407" s="547" t="s">
        <v>178</v>
      </c>
      <c r="G407" s="547" t="s">
        <v>178</v>
      </c>
      <c r="H407" s="547" t="s">
        <v>178</v>
      </c>
      <c r="I407" s="547" t="s">
        <v>178</v>
      </c>
      <c r="J407" s="547" t="s">
        <v>178</v>
      </c>
      <c r="K407" s="547" t="s">
        <v>178</v>
      </c>
      <c r="N407" s="558">
        <v>3.0</v>
      </c>
      <c r="O407" s="310">
        <v>4.0</v>
      </c>
      <c r="P407" s="547" t="s">
        <v>178</v>
      </c>
      <c r="Q407" s="547" t="s">
        <v>178</v>
      </c>
      <c r="R407" s="547" t="s">
        <v>178</v>
      </c>
      <c r="S407" s="547" t="s">
        <v>178</v>
      </c>
      <c r="T407" s="547" t="s">
        <v>178</v>
      </c>
      <c r="U407" s="547" t="s">
        <v>178</v>
      </c>
      <c r="V407" s="547" t="s">
        <v>178</v>
      </c>
      <c r="W407" s="547" t="s">
        <v>178</v>
      </c>
      <c r="X407" s="547" t="s">
        <v>178</v>
      </c>
      <c r="Y407" s="241"/>
      <c r="Z407" s="241"/>
      <c r="AA407" s="241"/>
      <c r="AB407" s="241"/>
      <c r="AC407" s="241"/>
      <c r="AD407" s="241"/>
      <c r="AE407" s="241"/>
      <c r="AF407" s="241"/>
      <c r="AG407" s="241"/>
      <c r="AH407" s="547"/>
      <c r="AI407" s="547"/>
      <c r="AJ407" s="547"/>
      <c r="AK407" s="241"/>
      <c r="AL407" s="241"/>
      <c r="AM407" s="241"/>
      <c r="AN407" s="241"/>
      <c r="AO407" s="241"/>
      <c r="AP407" s="241"/>
      <c r="AQ407" s="241"/>
      <c r="AR407" s="241"/>
    </row>
    <row r="408">
      <c r="A408" s="558">
        <v>4.0</v>
      </c>
      <c r="B408" s="547" t="s">
        <v>178</v>
      </c>
      <c r="C408" s="310">
        <v>1.0</v>
      </c>
      <c r="D408" s="547" t="s">
        <v>178</v>
      </c>
      <c r="E408" s="547" t="s">
        <v>178</v>
      </c>
      <c r="F408" s="547" t="s">
        <v>178</v>
      </c>
      <c r="G408" s="547" t="s">
        <v>178</v>
      </c>
      <c r="H408" s="547" t="s">
        <v>178</v>
      </c>
      <c r="I408" s="547" t="s">
        <v>178</v>
      </c>
      <c r="J408" s="547" t="s">
        <v>178</v>
      </c>
      <c r="K408" s="547" t="s">
        <v>178</v>
      </c>
      <c r="N408" s="558">
        <v>4.0</v>
      </c>
      <c r="O408" s="310">
        <v>4.0</v>
      </c>
      <c r="P408" s="310">
        <v>2.0</v>
      </c>
      <c r="Q408" s="547" t="s">
        <v>178</v>
      </c>
      <c r="R408" s="547" t="s">
        <v>178</v>
      </c>
      <c r="S408" s="547" t="s">
        <v>178</v>
      </c>
      <c r="T408" s="547" t="s">
        <v>178</v>
      </c>
      <c r="U408" s="547" t="s">
        <v>178</v>
      </c>
      <c r="V408" s="547" t="s">
        <v>178</v>
      </c>
      <c r="W408" s="547" t="s">
        <v>178</v>
      </c>
      <c r="X408" s="547" t="s">
        <v>178</v>
      </c>
      <c r="Y408" s="241"/>
      <c r="Z408" s="241"/>
      <c r="AA408" s="241"/>
      <c r="AB408" s="241"/>
      <c r="AC408" s="241"/>
      <c r="AD408" s="241"/>
      <c r="AE408" s="241"/>
      <c r="AF408" s="241"/>
      <c r="AG408" s="241"/>
      <c r="AH408" s="547"/>
      <c r="AI408" s="547"/>
      <c r="AJ408" s="547"/>
      <c r="AK408" s="241"/>
      <c r="AL408" s="241"/>
      <c r="AM408" s="241"/>
      <c r="AN408" s="241"/>
      <c r="AO408" s="241"/>
      <c r="AP408" s="241"/>
      <c r="AQ408" s="241"/>
      <c r="AR408" s="241"/>
    </row>
    <row r="409">
      <c r="A409" s="558">
        <v>5.0</v>
      </c>
      <c r="B409" s="547" t="s">
        <v>178</v>
      </c>
      <c r="C409" s="547">
        <v>1.0</v>
      </c>
      <c r="D409" s="547" t="s">
        <v>178</v>
      </c>
      <c r="E409" s="547" t="s">
        <v>178</v>
      </c>
      <c r="F409" s="547" t="s">
        <v>178</v>
      </c>
      <c r="G409" s="547" t="s">
        <v>178</v>
      </c>
      <c r="H409" s="547" t="s">
        <v>178</v>
      </c>
      <c r="I409" s="547" t="s">
        <v>178</v>
      </c>
      <c r="J409" s="547" t="s">
        <v>178</v>
      </c>
      <c r="K409" s="547" t="s">
        <v>178</v>
      </c>
      <c r="N409" s="558">
        <v>5.0</v>
      </c>
      <c r="O409" s="310">
        <v>5.0</v>
      </c>
      <c r="P409" s="310">
        <v>3.0</v>
      </c>
      <c r="Q409" s="547" t="s">
        <v>178</v>
      </c>
      <c r="R409" s="547" t="s">
        <v>178</v>
      </c>
      <c r="S409" s="547" t="s">
        <v>178</v>
      </c>
      <c r="T409" s="547" t="s">
        <v>178</v>
      </c>
      <c r="U409" s="547" t="s">
        <v>178</v>
      </c>
      <c r="V409" s="547" t="s">
        <v>178</v>
      </c>
      <c r="W409" s="547" t="s">
        <v>178</v>
      </c>
      <c r="X409" s="547" t="s">
        <v>178</v>
      </c>
      <c r="Y409" s="241"/>
      <c r="Z409" s="241"/>
      <c r="AA409" s="241"/>
      <c r="AB409" s="241"/>
      <c r="AC409" s="241"/>
      <c r="AD409" s="241"/>
      <c r="AE409" s="241"/>
      <c r="AF409" s="241"/>
      <c r="AG409" s="241"/>
      <c r="AH409" s="547"/>
      <c r="AI409" s="547"/>
      <c r="AJ409" s="547"/>
      <c r="AK409" s="241"/>
      <c r="AL409" s="241"/>
      <c r="AM409" s="241"/>
      <c r="AN409" s="241"/>
      <c r="AO409" s="241"/>
      <c r="AP409" s="241"/>
      <c r="AQ409" s="241"/>
      <c r="AR409" s="241"/>
    </row>
    <row r="410">
      <c r="A410" s="558">
        <v>6.0</v>
      </c>
      <c r="B410" s="547" t="s">
        <v>178</v>
      </c>
      <c r="C410" s="547">
        <v>1.0</v>
      </c>
      <c r="D410" s="547" t="s">
        <v>178</v>
      </c>
      <c r="E410" s="547" t="s">
        <v>178</v>
      </c>
      <c r="F410" s="547" t="s">
        <v>178</v>
      </c>
      <c r="G410" s="547" t="s">
        <v>178</v>
      </c>
      <c r="H410" s="547" t="s">
        <v>178</v>
      </c>
      <c r="I410" s="547" t="s">
        <v>178</v>
      </c>
      <c r="J410" s="547" t="s">
        <v>178</v>
      </c>
      <c r="K410" s="547" t="s">
        <v>178</v>
      </c>
      <c r="N410" s="558">
        <v>6.0</v>
      </c>
      <c r="O410" s="310">
        <v>5.0</v>
      </c>
      <c r="P410" s="310">
        <v>4.0</v>
      </c>
      <c r="Q410" s="547" t="s">
        <v>178</v>
      </c>
      <c r="R410" s="547" t="s">
        <v>178</v>
      </c>
      <c r="S410" s="547" t="s">
        <v>178</v>
      </c>
      <c r="T410" s="547" t="s">
        <v>178</v>
      </c>
      <c r="U410" s="547" t="s">
        <v>178</v>
      </c>
      <c r="V410" s="547" t="s">
        <v>178</v>
      </c>
      <c r="W410" s="547" t="s">
        <v>178</v>
      </c>
      <c r="X410" s="547" t="s">
        <v>178</v>
      </c>
      <c r="Y410" s="241"/>
      <c r="Z410" s="241"/>
      <c r="AA410" s="241"/>
      <c r="AB410" s="241"/>
      <c r="AC410" s="241"/>
      <c r="AD410" s="241"/>
      <c r="AE410" s="241"/>
      <c r="AF410" s="241"/>
      <c r="AG410" s="241"/>
      <c r="AH410" s="547"/>
      <c r="AI410" s="547"/>
      <c r="AJ410" s="547"/>
      <c r="AK410" s="241"/>
      <c r="AL410" s="241"/>
      <c r="AM410" s="241"/>
      <c r="AN410" s="241"/>
      <c r="AO410" s="241"/>
      <c r="AP410" s="241"/>
      <c r="AQ410" s="241"/>
      <c r="AR410" s="241"/>
    </row>
    <row r="411">
      <c r="A411" s="558">
        <v>7.0</v>
      </c>
      <c r="B411" s="547" t="s">
        <v>178</v>
      </c>
      <c r="C411" s="547">
        <v>1.0</v>
      </c>
      <c r="D411" s="310">
        <v>1.0</v>
      </c>
      <c r="E411" s="547" t="s">
        <v>178</v>
      </c>
      <c r="F411" s="547" t="s">
        <v>178</v>
      </c>
      <c r="G411" s="547" t="s">
        <v>178</v>
      </c>
      <c r="H411" s="547" t="s">
        <v>178</v>
      </c>
      <c r="I411" s="547" t="s">
        <v>178</v>
      </c>
      <c r="J411" s="547" t="s">
        <v>178</v>
      </c>
      <c r="K411" s="547" t="s">
        <v>178</v>
      </c>
      <c r="N411" s="558">
        <v>7.0</v>
      </c>
      <c r="O411" s="310">
        <v>6.0</v>
      </c>
      <c r="P411" s="310">
        <v>4.0</v>
      </c>
      <c r="Q411" s="310">
        <v>2.0</v>
      </c>
      <c r="R411" s="547" t="s">
        <v>178</v>
      </c>
      <c r="S411" s="547" t="s">
        <v>178</v>
      </c>
      <c r="T411" s="547" t="s">
        <v>178</v>
      </c>
      <c r="U411" s="547" t="s">
        <v>178</v>
      </c>
      <c r="V411" s="547" t="s">
        <v>178</v>
      </c>
      <c r="W411" s="547" t="s">
        <v>178</v>
      </c>
      <c r="X411" s="547" t="s">
        <v>178</v>
      </c>
      <c r="Y411" s="241"/>
      <c r="Z411" s="241"/>
      <c r="AA411" s="241"/>
      <c r="AB411" s="241"/>
      <c r="AC411" s="241"/>
      <c r="AD411" s="241"/>
      <c r="AE411" s="241"/>
      <c r="AF411" s="241"/>
      <c r="AG411" s="241"/>
      <c r="AH411" s="547"/>
      <c r="AI411" s="547"/>
      <c r="AJ411" s="547"/>
      <c r="AK411" s="241"/>
      <c r="AL411" s="241"/>
      <c r="AM411" s="241"/>
      <c r="AN411" s="241"/>
      <c r="AO411" s="241"/>
      <c r="AP411" s="241"/>
      <c r="AQ411" s="241"/>
      <c r="AR411" s="241"/>
    </row>
    <row r="412">
      <c r="A412" s="558">
        <v>8.0</v>
      </c>
      <c r="B412" s="547" t="s">
        <v>178</v>
      </c>
      <c r="C412" s="547">
        <v>1.0</v>
      </c>
      <c r="D412" s="547">
        <v>1.0</v>
      </c>
      <c r="E412" s="547" t="s">
        <v>178</v>
      </c>
      <c r="F412" s="547" t="s">
        <v>178</v>
      </c>
      <c r="G412" s="547" t="s">
        <v>178</v>
      </c>
      <c r="H412" s="547" t="s">
        <v>178</v>
      </c>
      <c r="I412" s="547" t="s">
        <v>178</v>
      </c>
      <c r="J412" s="547" t="s">
        <v>178</v>
      </c>
      <c r="K412" s="547" t="s">
        <v>178</v>
      </c>
      <c r="N412" s="558">
        <v>8.0</v>
      </c>
      <c r="O412" s="310">
        <v>6.0</v>
      </c>
      <c r="P412" s="310">
        <v>4.0</v>
      </c>
      <c r="Q412" s="310">
        <v>3.0</v>
      </c>
      <c r="R412" s="547" t="s">
        <v>178</v>
      </c>
      <c r="S412" s="547" t="s">
        <v>178</v>
      </c>
      <c r="T412" s="547" t="s">
        <v>178</v>
      </c>
      <c r="U412" s="547" t="s">
        <v>178</v>
      </c>
      <c r="V412" s="547" t="s">
        <v>178</v>
      </c>
      <c r="W412" s="547" t="s">
        <v>178</v>
      </c>
      <c r="X412" s="547" t="s">
        <v>178</v>
      </c>
      <c r="Y412" s="241"/>
      <c r="Z412" s="241"/>
      <c r="AA412" s="241"/>
      <c r="AB412" s="241"/>
      <c r="AC412" s="241"/>
      <c r="AD412" s="241"/>
      <c r="AE412" s="241"/>
      <c r="AF412" s="241"/>
      <c r="AG412" s="241"/>
      <c r="AH412" s="547"/>
      <c r="AI412" s="547"/>
      <c r="AJ412" s="547"/>
      <c r="AK412" s="241"/>
      <c r="AL412" s="241"/>
      <c r="AM412" s="241"/>
      <c r="AN412" s="241"/>
      <c r="AO412" s="241"/>
      <c r="AP412" s="241"/>
      <c r="AQ412" s="241"/>
      <c r="AR412" s="241"/>
    </row>
    <row r="413">
      <c r="A413" s="558">
        <v>9.0</v>
      </c>
      <c r="B413" s="547" t="s">
        <v>178</v>
      </c>
      <c r="C413" s="547">
        <v>2.0</v>
      </c>
      <c r="D413" s="547">
        <v>1.0</v>
      </c>
      <c r="E413" s="547" t="s">
        <v>178</v>
      </c>
      <c r="F413" s="547" t="s">
        <v>178</v>
      </c>
      <c r="G413" s="547" t="s">
        <v>178</v>
      </c>
      <c r="H413" s="547" t="s">
        <v>178</v>
      </c>
      <c r="I413" s="547" t="s">
        <v>178</v>
      </c>
      <c r="J413" s="547" t="s">
        <v>178</v>
      </c>
      <c r="K413" s="547" t="s">
        <v>178</v>
      </c>
      <c r="N413" s="558">
        <v>9.0</v>
      </c>
      <c r="O413" s="310">
        <v>6.0</v>
      </c>
      <c r="P413" s="310">
        <v>5.0</v>
      </c>
      <c r="Q413" s="310">
        <v>4.0</v>
      </c>
      <c r="R413" s="547" t="s">
        <v>178</v>
      </c>
      <c r="S413" s="547" t="s">
        <v>178</v>
      </c>
      <c r="T413" s="547" t="s">
        <v>178</v>
      </c>
      <c r="U413" s="547" t="s">
        <v>178</v>
      </c>
      <c r="V413" s="547" t="s">
        <v>178</v>
      </c>
      <c r="W413" s="547" t="s">
        <v>178</v>
      </c>
      <c r="X413" s="547" t="s">
        <v>178</v>
      </c>
      <c r="Y413" s="241"/>
      <c r="Z413" s="241"/>
      <c r="AA413" s="241"/>
      <c r="AB413" s="241"/>
      <c r="AC413" s="241"/>
      <c r="AD413" s="241"/>
      <c r="AE413" s="241"/>
      <c r="AF413" s="241"/>
      <c r="AG413" s="241"/>
      <c r="AH413" s="547"/>
      <c r="AI413" s="547"/>
      <c r="AJ413" s="547"/>
      <c r="AK413" s="241"/>
      <c r="AL413" s="241"/>
      <c r="AM413" s="241"/>
      <c r="AN413" s="241"/>
      <c r="AO413" s="241"/>
      <c r="AP413" s="241"/>
      <c r="AQ413" s="241"/>
      <c r="AR413" s="241"/>
    </row>
    <row r="414">
      <c r="A414" s="558">
        <v>10.0</v>
      </c>
      <c r="B414" s="547" t="s">
        <v>178</v>
      </c>
      <c r="C414" s="547">
        <v>2.0</v>
      </c>
      <c r="D414" s="547">
        <v>1.0</v>
      </c>
      <c r="E414" s="310">
        <v>1.0</v>
      </c>
      <c r="F414" s="547" t="s">
        <v>178</v>
      </c>
      <c r="G414" s="547" t="s">
        <v>178</v>
      </c>
      <c r="H414" s="547" t="s">
        <v>178</v>
      </c>
      <c r="I414" s="547" t="s">
        <v>178</v>
      </c>
      <c r="J414" s="547" t="s">
        <v>178</v>
      </c>
      <c r="K414" s="547" t="s">
        <v>178</v>
      </c>
      <c r="N414" s="558">
        <v>10.0</v>
      </c>
      <c r="O414" s="310">
        <v>6.0</v>
      </c>
      <c r="P414" s="310">
        <v>5.0</v>
      </c>
      <c r="Q414" s="310">
        <v>4.0</v>
      </c>
      <c r="R414" s="310">
        <v>2.0</v>
      </c>
      <c r="S414" s="547" t="s">
        <v>178</v>
      </c>
      <c r="T414" s="547" t="s">
        <v>178</v>
      </c>
      <c r="U414" s="547" t="s">
        <v>178</v>
      </c>
      <c r="V414" s="547" t="s">
        <v>178</v>
      </c>
      <c r="W414" s="547" t="s">
        <v>178</v>
      </c>
      <c r="X414" s="547" t="s">
        <v>178</v>
      </c>
      <c r="Y414" s="241"/>
      <c r="Z414" s="241"/>
      <c r="AA414" s="241"/>
      <c r="AB414" s="241"/>
      <c r="AC414" s="241"/>
      <c r="AD414" s="241"/>
      <c r="AE414" s="241"/>
      <c r="AF414" s="241"/>
      <c r="AG414" s="241"/>
      <c r="AH414" s="547"/>
      <c r="AI414" s="547"/>
      <c r="AJ414" s="547"/>
      <c r="AK414" s="241"/>
      <c r="AL414" s="241"/>
      <c r="AM414" s="241"/>
      <c r="AN414" s="241"/>
      <c r="AO414" s="241"/>
      <c r="AP414" s="241"/>
      <c r="AQ414" s="241"/>
      <c r="AR414" s="241"/>
    </row>
    <row r="415">
      <c r="A415" s="558">
        <v>11.0</v>
      </c>
      <c r="B415" s="547" t="s">
        <v>178</v>
      </c>
      <c r="C415" s="547">
        <v>2.0</v>
      </c>
      <c r="D415" s="547">
        <v>1.0</v>
      </c>
      <c r="E415" s="547">
        <v>1.0</v>
      </c>
      <c r="F415" s="547" t="s">
        <v>178</v>
      </c>
      <c r="G415" s="547" t="s">
        <v>178</v>
      </c>
      <c r="H415" s="547" t="s">
        <v>178</v>
      </c>
      <c r="I415" s="547" t="s">
        <v>178</v>
      </c>
      <c r="J415" s="547" t="s">
        <v>178</v>
      </c>
      <c r="K415" s="547" t="s">
        <v>178</v>
      </c>
      <c r="N415" s="558">
        <v>11.0</v>
      </c>
      <c r="O415" s="310">
        <v>6.0</v>
      </c>
      <c r="P415" s="310">
        <v>5.0</v>
      </c>
      <c r="Q415" s="310">
        <v>4.0</v>
      </c>
      <c r="R415" s="310">
        <v>3.0</v>
      </c>
      <c r="S415" s="547" t="s">
        <v>178</v>
      </c>
      <c r="T415" s="547" t="s">
        <v>178</v>
      </c>
      <c r="U415" s="547" t="s">
        <v>178</v>
      </c>
      <c r="V415" s="547" t="s">
        <v>178</v>
      </c>
      <c r="W415" s="547" t="s">
        <v>178</v>
      </c>
      <c r="X415" s="547" t="s">
        <v>178</v>
      </c>
      <c r="Y415" s="241"/>
      <c r="Z415" s="241"/>
      <c r="AA415" s="241"/>
      <c r="AB415" s="241"/>
      <c r="AC415" s="241"/>
      <c r="AD415" s="241"/>
      <c r="AE415" s="241"/>
      <c r="AF415" s="241"/>
      <c r="AG415" s="241"/>
      <c r="AH415" s="547"/>
      <c r="AI415" s="547"/>
      <c r="AJ415" s="547"/>
      <c r="AK415" s="241"/>
      <c r="AL415" s="241"/>
      <c r="AM415" s="241"/>
      <c r="AN415" s="241"/>
      <c r="AO415" s="241"/>
      <c r="AP415" s="241"/>
      <c r="AQ415" s="241"/>
      <c r="AR415" s="241"/>
    </row>
    <row r="416">
      <c r="A416" s="558">
        <v>12.0</v>
      </c>
      <c r="B416" s="547" t="s">
        <v>178</v>
      </c>
      <c r="C416" s="547">
        <v>2.0</v>
      </c>
      <c r="D416" s="547">
        <v>2.0</v>
      </c>
      <c r="E416" s="547">
        <v>1.0</v>
      </c>
      <c r="F416" s="547" t="s">
        <v>178</v>
      </c>
      <c r="G416" s="547" t="s">
        <v>178</v>
      </c>
      <c r="H416" s="547" t="s">
        <v>178</v>
      </c>
      <c r="I416" s="547" t="s">
        <v>178</v>
      </c>
      <c r="J416" s="547" t="s">
        <v>178</v>
      </c>
      <c r="K416" s="547" t="s">
        <v>178</v>
      </c>
      <c r="N416" s="558">
        <v>12.0</v>
      </c>
      <c r="O416" s="310">
        <v>6.0</v>
      </c>
      <c r="P416" s="310">
        <v>6.0</v>
      </c>
      <c r="Q416" s="310">
        <v>5.0</v>
      </c>
      <c r="R416" s="310">
        <v>4.0</v>
      </c>
      <c r="S416" s="547" t="s">
        <v>178</v>
      </c>
      <c r="T416" s="547" t="s">
        <v>178</v>
      </c>
      <c r="U416" s="547" t="s">
        <v>178</v>
      </c>
      <c r="V416" s="547" t="s">
        <v>178</v>
      </c>
      <c r="W416" s="547" t="s">
        <v>178</v>
      </c>
      <c r="X416" s="547" t="s">
        <v>178</v>
      </c>
      <c r="Y416" s="241"/>
      <c r="Z416" s="241"/>
      <c r="AA416" s="241"/>
      <c r="AB416" s="241"/>
      <c r="AC416" s="241"/>
      <c r="AD416" s="241"/>
      <c r="AE416" s="241"/>
      <c r="AF416" s="241"/>
      <c r="AG416" s="241"/>
      <c r="AH416" s="547"/>
      <c r="AI416" s="547"/>
      <c r="AJ416" s="547"/>
      <c r="AK416" s="241"/>
      <c r="AL416" s="241"/>
      <c r="AM416" s="241"/>
      <c r="AN416" s="241"/>
      <c r="AO416" s="241"/>
      <c r="AP416" s="241"/>
      <c r="AQ416" s="241"/>
      <c r="AR416" s="241"/>
    </row>
    <row r="417">
      <c r="A417" s="558">
        <v>13.0</v>
      </c>
      <c r="B417" s="547" t="s">
        <v>178</v>
      </c>
      <c r="C417" s="547">
        <v>3.0</v>
      </c>
      <c r="D417" s="547">
        <v>2.0</v>
      </c>
      <c r="E417" s="547">
        <v>1.0</v>
      </c>
      <c r="F417" s="310">
        <v>1.0</v>
      </c>
      <c r="G417" s="547" t="s">
        <v>178</v>
      </c>
      <c r="H417" s="547" t="s">
        <v>178</v>
      </c>
      <c r="I417" s="547" t="s">
        <v>178</v>
      </c>
      <c r="J417" s="547" t="s">
        <v>178</v>
      </c>
      <c r="K417" s="547" t="s">
        <v>178</v>
      </c>
      <c r="N417" s="558">
        <v>13.0</v>
      </c>
      <c r="O417" s="310">
        <v>6.0</v>
      </c>
      <c r="P417" s="310">
        <v>6.0</v>
      </c>
      <c r="Q417" s="310">
        <v>5.0</v>
      </c>
      <c r="R417" s="310">
        <v>4.0</v>
      </c>
      <c r="S417" s="310">
        <v>2.0</v>
      </c>
      <c r="T417" s="547" t="s">
        <v>178</v>
      </c>
      <c r="U417" s="547" t="s">
        <v>178</v>
      </c>
      <c r="V417" s="547" t="s">
        <v>178</v>
      </c>
      <c r="W417" s="547" t="s">
        <v>178</v>
      </c>
      <c r="X417" s="547" t="s">
        <v>178</v>
      </c>
      <c r="Y417" s="241"/>
      <c r="Z417" s="241"/>
      <c r="AA417" s="241"/>
      <c r="AB417" s="241"/>
      <c r="AC417" s="241"/>
      <c r="AD417" s="241"/>
      <c r="AE417" s="241"/>
      <c r="AF417" s="241"/>
      <c r="AG417" s="241"/>
      <c r="AH417" s="547"/>
      <c r="AI417" s="547"/>
      <c r="AJ417" s="547"/>
      <c r="AK417" s="241"/>
      <c r="AL417" s="241"/>
      <c r="AM417" s="241"/>
      <c r="AN417" s="241"/>
      <c r="AO417" s="241"/>
      <c r="AP417" s="241"/>
      <c r="AQ417" s="241"/>
      <c r="AR417" s="241"/>
    </row>
    <row r="418">
      <c r="A418" s="558">
        <v>14.0</v>
      </c>
      <c r="B418" s="547" t="s">
        <v>178</v>
      </c>
      <c r="C418" s="547">
        <v>3.0</v>
      </c>
      <c r="D418" s="547">
        <v>2.0</v>
      </c>
      <c r="E418" s="547">
        <v>1.0</v>
      </c>
      <c r="F418" s="547">
        <v>1.0</v>
      </c>
      <c r="G418" s="547" t="s">
        <v>178</v>
      </c>
      <c r="H418" s="547" t="s">
        <v>178</v>
      </c>
      <c r="I418" s="547" t="s">
        <v>178</v>
      </c>
      <c r="J418" s="547" t="s">
        <v>178</v>
      </c>
      <c r="K418" s="547" t="s">
        <v>178</v>
      </c>
      <c r="N418" s="558">
        <v>14.0</v>
      </c>
      <c r="O418" s="310">
        <v>6.0</v>
      </c>
      <c r="P418" s="310">
        <v>6.0</v>
      </c>
      <c r="Q418" s="310">
        <v>5.0</v>
      </c>
      <c r="R418" s="310">
        <v>4.0</v>
      </c>
      <c r="S418" s="310">
        <v>3.0</v>
      </c>
      <c r="T418" s="547" t="s">
        <v>178</v>
      </c>
      <c r="U418" s="547" t="s">
        <v>178</v>
      </c>
      <c r="V418" s="547" t="s">
        <v>178</v>
      </c>
      <c r="W418" s="547" t="s">
        <v>178</v>
      </c>
      <c r="X418" s="547" t="s">
        <v>178</v>
      </c>
      <c r="Y418" s="241"/>
      <c r="Z418" s="241"/>
      <c r="AA418" s="241"/>
      <c r="AB418" s="241"/>
      <c r="AC418" s="241"/>
      <c r="AD418" s="241"/>
      <c r="AE418" s="241"/>
      <c r="AF418" s="241"/>
      <c r="AG418" s="241"/>
      <c r="AH418" s="547"/>
      <c r="AI418" s="547"/>
      <c r="AJ418" s="547"/>
      <c r="AK418" s="241"/>
      <c r="AL418" s="241"/>
      <c r="AM418" s="241"/>
      <c r="AN418" s="241"/>
      <c r="AO418" s="241"/>
      <c r="AP418" s="241"/>
      <c r="AQ418" s="241"/>
      <c r="AR418" s="241"/>
    </row>
    <row r="419">
      <c r="A419" s="558">
        <v>15.0</v>
      </c>
      <c r="B419" s="547" t="s">
        <v>178</v>
      </c>
      <c r="C419" s="547">
        <v>3.0</v>
      </c>
      <c r="D419" s="547">
        <v>2.0</v>
      </c>
      <c r="E419" s="547">
        <v>2.0</v>
      </c>
      <c r="F419" s="547">
        <v>1.0</v>
      </c>
      <c r="G419" s="547" t="s">
        <v>178</v>
      </c>
      <c r="H419" s="547" t="s">
        <v>178</v>
      </c>
      <c r="I419" s="547" t="s">
        <v>178</v>
      </c>
      <c r="J419" s="547" t="s">
        <v>178</v>
      </c>
      <c r="K419" s="547" t="s">
        <v>178</v>
      </c>
      <c r="N419" s="558">
        <v>15.0</v>
      </c>
      <c r="O419" s="310">
        <v>6.0</v>
      </c>
      <c r="P419" s="310">
        <v>6.0</v>
      </c>
      <c r="Q419" s="310">
        <v>6.0</v>
      </c>
      <c r="R419" s="310">
        <v>5.0</v>
      </c>
      <c r="S419" s="310">
        <v>4.0</v>
      </c>
      <c r="T419" s="547" t="s">
        <v>178</v>
      </c>
      <c r="U419" s="547" t="s">
        <v>178</v>
      </c>
      <c r="V419" s="547" t="s">
        <v>178</v>
      </c>
      <c r="W419" s="547" t="s">
        <v>178</v>
      </c>
      <c r="X419" s="547" t="s">
        <v>178</v>
      </c>
      <c r="Y419" s="241"/>
      <c r="Z419" s="241"/>
      <c r="AA419" s="241"/>
      <c r="AB419" s="241"/>
      <c r="AC419" s="241"/>
      <c r="AD419" s="241"/>
      <c r="AE419" s="241"/>
      <c r="AF419" s="241"/>
      <c r="AG419" s="241"/>
      <c r="AH419" s="547"/>
      <c r="AI419" s="547"/>
      <c r="AJ419" s="547"/>
      <c r="AK419" s="241"/>
      <c r="AL419" s="241"/>
      <c r="AM419" s="241"/>
      <c r="AN419" s="241"/>
      <c r="AO419" s="241"/>
      <c r="AP419" s="241"/>
      <c r="AQ419" s="241"/>
      <c r="AR419" s="241"/>
    </row>
    <row r="420">
      <c r="A420" s="558">
        <v>16.0</v>
      </c>
      <c r="B420" s="547" t="s">
        <v>178</v>
      </c>
      <c r="C420" s="547">
        <v>3.0</v>
      </c>
      <c r="D420" s="547">
        <v>3.0</v>
      </c>
      <c r="E420" s="547">
        <v>2.0</v>
      </c>
      <c r="F420" s="547">
        <v>1.0</v>
      </c>
      <c r="G420" s="547" t="s">
        <v>178</v>
      </c>
      <c r="H420" s="547" t="s">
        <v>178</v>
      </c>
      <c r="I420" s="547" t="s">
        <v>178</v>
      </c>
      <c r="J420" s="547" t="s">
        <v>178</v>
      </c>
      <c r="K420" s="547" t="s">
        <v>178</v>
      </c>
      <c r="N420" s="558">
        <v>16.0</v>
      </c>
      <c r="O420" s="310">
        <v>6.0</v>
      </c>
      <c r="P420" s="310">
        <v>6.0</v>
      </c>
      <c r="Q420" s="310">
        <v>6.0</v>
      </c>
      <c r="R420" s="310">
        <v>5.0</v>
      </c>
      <c r="S420" s="310">
        <v>4.0</v>
      </c>
      <c r="T420" s="547" t="s">
        <v>178</v>
      </c>
      <c r="U420" s="547" t="s">
        <v>178</v>
      </c>
      <c r="V420" s="547" t="s">
        <v>178</v>
      </c>
      <c r="W420" s="547" t="s">
        <v>178</v>
      </c>
      <c r="X420" s="547" t="s">
        <v>178</v>
      </c>
      <c r="Y420" s="241"/>
      <c r="Z420" s="241"/>
      <c r="AA420" s="241"/>
      <c r="AB420" s="241"/>
      <c r="AC420" s="241"/>
      <c r="AD420" s="241"/>
      <c r="AE420" s="241"/>
      <c r="AF420" s="241"/>
      <c r="AG420" s="241"/>
      <c r="AH420" s="547"/>
      <c r="AI420" s="547"/>
      <c r="AJ420" s="547"/>
      <c r="AK420" s="241"/>
      <c r="AL420" s="241"/>
      <c r="AM420" s="241"/>
      <c r="AN420" s="241"/>
      <c r="AO420" s="241"/>
      <c r="AP420" s="241"/>
      <c r="AQ420" s="241"/>
      <c r="AR420" s="241"/>
    </row>
    <row r="421">
      <c r="A421" s="558">
        <v>17.0</v>
      </c>
      <c r="B421" s="547" t="s">
        <v>178</v>
      </c>
      <c r="C421" s="547">
        <v>4.0</v>
      </c>
      <c r="D421" s="547">
        <v>3.0</v>
      </c>
      <c r="E421" s="547">
        <v>2.0</v>
      </c>
      <c r="F421" s="547">
        <v>1.0</v>
      </c>
      <c r="G421" s="547" t="s">
        <v>178</v>
      </c>
      <c r="H421" s="547" t="s">
        <v>178</v>
      </c>
      <c r="I421" s="547" t="s">
        <v>178</v>
      </c>
      <c r="J421" s="547" t="s">
        <v>178</v>
      </c>
      <c r="K421" s="547" t="s">
        <v>178</v>
      </c>
      <c r="N421" s="558">
        <v>17.0</v>
      </c>
      <c r="O421" s="310">
        <v>6.0</v>
      </c>
      <c r="P421" s="310">
        <v>6.0</v>
      </c>
      <c r="Q421" s="310">
        <v>6.0</v>
      </c>
      <c r="R421" s="310">
        <v>5.0</v>
      </c>
      <c r="S421" s="310">
        <v>4.0</v>
      </c>
      <c r="T421" s="547" t="s">
        <v>178</v>
      </c>
      <c r="U421" s="547" t="s">
        <v>178</v>
      </c>
      <c r="V421" s="547" t="s">
        <v>178</v>
      </c>
      <c r="W421" s="547" t="s">
        <v>178</v>
      </c>
      <c r="X421" s="547" t="s">
        <v>178</v>
      </c>
      <c r="Y421" s="241"/>
      <c r="Z421" s="241"/>
      <c r="AA421" s="241"/>
      <c r="AB421" s="241"/>
      <c r="AC421" s="241"/>
      <c r="AD421" s="241"/>
      <c r="AE421" s="241"/>
      <c r="AF421" s="241"/>
      <c r="AG421" s="241"/>
      <c r="AH421" s="547"/>
      <c r="AI421" s="547"/>
      <c r="AJ421" s="547"/>
      <c r="AK421" s="241"/>
      <c r="AL421" s="241"/>
      <c r="AM421" s="241"/>
      <c r="AN421" s="241"/>
      <c r="AO421" s="241"/>
      <c r="AP421" s="241"/>
      <c r="AQ421" s="241"/>
      <c r="AR421" s="241"/>
    </row>
    <row r="422">
      <c r="A422" s="558">
        <v>18.0</v>
      </c>
      <c r="B422" s="547" t="s">
        <v>178</v>
      </c>
      <c r="C422" s="547">
        <v>4.0</v>
      </c>
      <c r="D422" s="547">
        <v>3.0</v>
      </c>
      <c r="E422" s="547">
        <v>2.0</v>
      </c>
      <c r="F422" s="547">
        <v>2.0</v>
      </c>
      <c r="G422" s="547" t="s">
        <v>178</v>
      </c>
      <c r="H422" s="547" t="s">
        <v>178</v>
      </c>
      <c r="I422" s="547" t="s">
        <v>178</v>
      </c>
      <c r="J422" s="547" t="s">
        <v>178</v>
      </c>
      <c r="K422" s="547" t="s">
        <v>178</v>
      </c>
      <c r="N422" s="558">
        <v>18.0</v>
      </c>
      <c r="O422" s="310">
        <v>6.0</v>
      </c>
      <c r="P422" s="310">
        <v>6.0</v>
      </c>
      <c r="Q422" s="310">
        <v>6.0</v>
      </c>
      <c r="R422" s="310">
        <v>6.0</v>
      </c>
      <c r="S422" s="310">
        <v>5.0</v>
      </c>
      <c r="T422" s="547" t="s">
        <v>178</v>
      </c>
      <c r="U422" s="547" t="s">
        <v>178</v>
      </c>
      <c r="V422" s="547" t="s">
        <v>178</v>
      </c>
      <c r="W422" s="547" t="s">
        <v>178</v>
      </c>
      <c r="X422" s="547" t="s">
        <v>178</v>
      </c>
      <c r="Y422" s="241"/>
      <c r="Z422" s="241"/>
      <c r="AA422" s="241"/>
      <c r="AB422" s="241"/>
      <c r="AC422" s="241"/>
      <c r="AD422" s="241"/>
      <c r="AE422" s="241"/>
      <c r="AF422" s="241"/>
      <c r="AG422" s="241"/>
      <c r="AH422" s="547"/>
      <c r="AI422" s="547"/>
      <c r="AJ422" s="547"/>
      <c r="AK422" s="241"/>
      <c r="AL422" s="241"/>
      <c r="AM422" s="241"/>
      <c r="AN422" s="241"/>
      <c r="AO422" s="241"/>
      <c r="AP422" s="241"/>
      <c r="AQ422" s="241"/>
      <c r="AR422" s="241"/>
    </row>
    <row r="423">
      <c r="A423" s="558">
        <v>19.0</v>
      </c>
      <c r="B423" s="547" t="s">
        <v>178</v>
      </c>
      <c r="C423" s="547">
        <v>4.0</v>
      </c>
      <c r="D423" s="547">
        <v>3.0</v>
      </c>
      <c r="E423" s="547">
        <v>3.0</v>
      </c>
      <c r="F423" s="547">
        <v>2.0</v>
      </c>
      <c r="G423" s="547" t="s">
        <v>178</v>
      </c>
      <c r="H423" s="547" t="s">
        <v>178</v>
      </c>
      <c r="I423" s="547" t="s">
        <v>178</v>
      </c>
      <c r="J423" s="547" t="s">
        <v>178</v>
      </c>
      <c r="K423" s="547" t="s">
        <v>178</v>
      </c>
      <c r="N423" s="558">
        <v>19.0</v>
      </c>
      <c r="O423" s="310">
        <v>6.0</v>
      </c>
      <c r="P423" s="310">
        <v>6.0</v>
      </c>
      <c r="Q423" s="310">
        <v>6.0</v>
      </c>
      <c r="R423" s="310">
        <v>6.0</v>
      </c>
      <c r="S423" s="310">
        <v>5.0</v>
      </c>
      <c r="T423" s="547" t="s">
        <v>178</v>
      </c>
      <c r="U423" s="547" t="s">
        <v>178</v>
      </c>
      <c r="V423" s="547" t="s">
        <v>178</v>
      </c>
      <c r="W423" s="547" t="s">
        <v>178</v>
      </c>
      <c r="X423" s="547" t="s">
        <v>178</v>
      </c>
      <c r="Y423" s="241"/>
      <c r="Z423" s="241"/>
      <c r="AA423" s="241"/>
      <c r="AB423" s="241"/>
      <c r="AC423" s="241"/>
      <c r="AD423" s="241"/>
      <c r="AE423" s="241"/>
      <c r="AF423" s="241"/>
      <c r="AG423" s="241"/>
      <c r="AH423" s="547"/>
      <c r="AI423" s="547"/>
      <c r="AJ423" s="547"/>
      <c r="AK423" s="241"/>
      <c r="AL423" s="241"/>
      <c r="AM423" s="241"/>
      <c r="AN423" s="241"/>
      <c r="AO423" s="241"/>
      <c r="AP423" s="241"/>
      <c r="AQ423" s="241"/>
      <c r="AR423" s="241"/>
    </row>
    <row r="424">
      <c r="A424" s="558">
        <v>20.0</v>
      </c>
      <c r="B424" s="547" t="s">
        <v>178</v>
      </c>
      <c r="C424" s="547">
        <v>4.0</v>
      </c>
      <c r="D424" s="547">
        <v>4.0</v>
      </c>
      <c r="E424" s="547">
        <v>3.0</v>
      </c>
      <c r="F424" s="310">
        <v>2.0</v>
      </c>
      <c r="G424" s="547" t="s">
        <v>178</v>
      </c>
      <c r="H424" s="547" t="s">
        <v>178</v>
      </c>
      <c r="I424" s="547" t="s">
        <v>178</v>
      </c>
      <c r="J424" s="547" t="s">
        <v>178</v>
      </c>
      <c r="K424" s="547" t="s">
        <v>178</v>
      </c>
      <c r="N424" s="558">
        <v>20.0</v>
      </c>
      <c r="O424" s="310">
        <v>6.0</v>
      </c>
      <c r="P424" s="310">
        <v>6.0</v>
      </c>
      <c r="Q424" s="310">
        <v>6.0</v>
      </c>
      <c r="R424" s="310">
        <v>6.0</v>
      </c>
      <c r="S424" s="310">
        <v>5.0</v>
      </c>
      <c r="T424" s="547" t="s">
        <v>178</v>
      </c>
      <c r="U424" s="547" t="s">
        <v>178</v>
      </c>
      <c r="V424" s="547" t="s">
        <v>178</v>
      </c>
      <c r="W424" s="547" t="s">
        <v>178</v>
      </c>
      <c r="X424" s="547" t="s">
        <v>178</v>
      </c>
      <c r="Y424" s="241"/>
      <c r="Z424" s="241"/>
      <c r="AA424" s="241"/>
      <c r="AB424" s="241"/>
      <c r="AC424" s="241"/>
      <c r="AD424" s="241"/>
      <c r="AE424" s="241"/>
      <c r="AF424" s="241"/>
      <c r="AG424" s="241"/>
      <c r="AH424" s="547"/>
      <c r="AI424" s="547"/>
      <c r="AJ424" s="547"/>
      <c r="AK424" s="241"/>
      <c r="AL424" s="241"/>
      <c r="AM424" s="241"/>
      <c r="AN424" s="241"/>
      <c r="AO424" s="241"/>
      <c r="AP424" s="241"/>
      <c r="AQ424" s="241"/>
      <c r="AR424" s="241"/>
    </row>
    <row r="425">
      <c r="A425" s="312"/>
      <c r="B425" s="312"/>
      <c r="C425" s="312"/>
      <c r="D425" s="312"/>
      <c r="E425" s="312"/>
      <c r="F425" s="312"/>
      <c r="G425" s="312"/>
      <c r="H425" s="312"/>
      <c r="I425" s="312"/>
      <c r="J425" s="310"/>
      <c r="K425" s="312"/>
      <c r="L425" s="312"/>
      <c r="M425" s="310"/>
      <c r="N425" s="312"/>
      <c r="O425" s="312"/>
      <c r="P425" s="243"/>
      <c r="Q425" s="312"/>
      <c r="R425" s="312"/>
      <c r="S425" s="312"/>
      <c r="T425" s="312"/>
      <c r="U425" s="312"/>
      <c r="V425" s="312"/>
      <c r="W425" s="312"/>
      <c r="X425" s="312"/>
      <c r="Y425" s="312"/>
      <c r="Z425" s="312"/>
      <c r="AA425" s="243"/>
      <c r="AB425" s="243"/>
      <c r="AC425" s="243"/>
      <c r="AD425" s="243"/>
      <c r="AE425" s="243"/>
      <c r="AF425" s="243"/>
      <c r="AG425" s="243"/>
      <c r="AH425" s="243"/>
      <c r="AI425" s="243"/>
      <c r="AJ425" s="243"/>
      <c r="AK425" s="241"/>
      <c r="AL425" s="241"/>
      <c r="AM425" s="241"/>
      <c r="AN425" s="241"/>
      <c r="AO425" s="241"/>
      <c r="AP425" s="241"/>
      <c r="AQ425" s="241"/>
      <c r="AR425" s="241"/>
    </row>
    <row r="426">
      <c r="A426" s="549"/>
      <c r="B426" s="549" t="s">
        <v>682</v>
      </c>
      <c r="C426" s="312"/>
      <c r="D426" s="312"/>
      <c r="E426" s="312"/>
      <c r="F426" s="312"/>
      <c r="G426" s="312"/>
      <c r="H426" s="312"/>
      <c r="I426" s="312"/>
      <c r="J426" s="312"/>
      <c r="K426" s="312"/>
      <c r="L426" s="312"/>
      <c r="M426" s="310"/>
      <c r="N426" s="312"/>
      <c r="O426" s="312"/>
      <c r="P426" s="243"/>
      <c r="Q426" s="312"/>
      <c r="R426" s="312"/>
      <c r="S426" s="312"/>
      <c r="T426" s="312"/>
      <c r="U426" s="312"/>
      <c r="V426" s="312"/>
      <c r="W426" s="312"/>
      <c r="X426" s="312"/>
      <c r="Y426" s="312"/>
      <c r="Z426" s="312"/>
      <c r="AA426" s="243"/>
      <c r="AB426" s="243"/>
      <c r="AC426" s="243"/>
      <c r="AD426" s="243"/>
      <c r="AE426" s="243"/>
      <c r="AF426" s="243"/>
      <c r="AG426" s="243"/>
      <c r="AH426" s="243"/>
      <c r="AI426" s="243"/>
      <c r="AJ426" s="243"/>
      <c r="AK426" s="241"/>
      <c r="AL426" s="241"/>
      <c r="AM426" s="241"/>
      <c r="AN426" s="241"/>
      <c r="AO426" s="241"/>
      <c r="AP426" s="241"/>
      <c r="AQ426" s="241"/>
      <c r="AR426" s="241"/>
    </row>
    <row r="427">
      <c r="A427" s="554" t="s">
        <v>660</v>
      </c>
      <c r="B427" s="555">
        <v>0.0</v>
      </c>
      <c r="C427" s="556">
        <v>1.0</v>
      </c>
      <c r="D427" s="310">
        <v>2.0</v>
      </c>
      <c r="E427" s="310">
        <v>3.0</v>
      </c>
      <c r="F427" s="310">
        <v>4.0</v>
      </c>
      <c r="G427" s="310">
        <v>5.0</v>
      </c>
      <c r="H427" s="310">
        <v>6.0</v>
      </c>
      <c r="I427" s="310">
        <v>7.0</v>
      </c>
      <c r="J427" s="310">
        <v>8.0</v>
      </c>
      <c r="K427" s="310">
        <v>9.0</v>
      </c>
      <c r="L427" s="547"/>
      <c r="M427" s="310"/>
      <c r="N427" s="547"/>
      <c r="O427" s="571"/>
      <c r="P427" s="312"/>
      <c r="Q427" s="312"/>
      <c r="R427" s="312"/>
      <c r="S427" s="312"/>
      <c r="T427" s="312"/>
      <c r="U427" s="312"/>
      <c r="V427" s="312"/>
      <c r="W427" s="312"/>
      <c r="X427" s="312"/>
      <c r="Y427" s="312"/>
      <c r="Z427" s="312"/>
      <c r="AA427" s="243"/>
      <c r="AB427" s="243"/>
      <c r="AC427" s="243"/>
      <c r="AD427" s="243"/>
      <c r="AE427" s="243"/>
      <c r="AF427" s="243"/>
      <c r="AG427" s="243"/>
      <c r="AH427" s="243"/>
      <c r="AI427" s="243"/>
      <c r="AJ427" s="243"/>
      <c r="AK427" s="241"/>
      <c r="AL427" s="241"/>
      <c r="AM427" s="241"/>
      <c r="AN427" s="241"/>
      <c r="AO427" s="241"/>
      <c r="AP427" s="241"/>
      <c r="AQ427" s="241"/>
      <c r="AR427" s="241"/>
    </row>
    <row r="428">
      <c r="A428" s="558">
        <v>1.0</v>
      </c>
      <c r="B428" s="555" t="s">
        <v>661</v>
      </c>
      <c r="C428" s="310">
        <v>2.0</v>
      </c>
      <c r="D428" s="310" t="s">
        <v>683</v>
      </c>
      <c r="E428" s="310" t="s">
        <v>683</v>
      </c>
      <c r="F428" s="310" t="s">
        <v>683</v>
      </c>
      <c r="G428" s="310" t="s">
        <v>683</v>
      </c>
      <c r="H428" s="310" t="s">
        <v>683</v>
      </c>
      <c r="I428" s="310" t="s">
        <v>683</v>
      </c>
      <c r="J428" s="310" t="s">
        <v>683</v>
      </c>
      <c r="K428" s="310" t="s">
        <v>683</v>
      </c>
      <c r="L428" s="547"/>
      <c r="M428" s="310"/>
      <c r="N428" s="547"/>
      <c r="O428" s="571"/>
      <c r="P428" s="312"/>
      <c r="Q428" s="312"/>
      <c r="R428" s="312"/>
      <c r="S428" s="312"/>
      <c r="T428" s="312"/>
      <c r="U428" s="312"/>
      <c r="V428" s="312"/>
      <c r="W428" s="312"/>
      <c r="X428" s="312"/>
      <c r="Y428" s="312"/>
      <c r="Z428" s="312"/>
      <c r="AA428" s="243"/>
      <c r="AB428" s="243"/>
      <c r="AC428" s="243"/>
      <c r="AD428" s="243"/>
      <c r="AE428" s="243"/>
      <c r="AF428" s="243"/>
      <c r="AG428" s="243"/>
      <c r="AH428" s="243"/>
      <c r="AI428" s="243"/>
      <c r="AJ428" s="243"/>
      <c r="AK428" s="241"/>
      <c r="AL428" s="241"/>
      <c r="AM428" s="241"/>
      <c r="AN428" s="241"/>
      <c r="AO428" s="241"/>
      <c r="AP428" s="241"/>
      <c r="AQ428" s="241"/>
      <c r="AR428" s="241"/>
    </row>
    <row r="429">
      <c r="A429" s="558">
        <v>2.0</v>
      </c>
      <c r="B429" s="555" t="s">
        <v>661</v>
      </c>
      <c r="C429" s="310">
        <v>3.0</v>
      </c>
      <c r="D429" s="310" t="s">
        <v>683</v>
      </c>
      <c r="E429" s="310" t="s">
        <v>683</v>
      </c>
      <c r="F429" s="310" t="s">
        <v>683</v>
      </c>
      <c r="G429" s="310" t="s">
        <v>683</v>
      </c>
      <c r="H429" s="310" t="s">
        <v>683</v>
      </c>
      <c r="I429" s="310" t="s">
        <v>683</v>
      </c>
      <c r="J429" s="310" t="s">
        <v>683</v>
      </c>
      <c r="K429" s="310" t="s">
        <v>683</v>
      </c>
      <c r="L429" s="547"/>
      <c r="M429" s="310"/>
      <c r="N429" s="547"/>
      <c r="O429" s="571"/>
      <c r="P429" s="312"/>
      <c r="Q429" s="312"/>
      <c r="R429" s="312"/>
      <c r="S429" s="312"/>
      <c r="T429" s="312"/>
      <c r="U429" s="312"/>
      <c r="V429" s="312"/>
      <c r="W429" s="312"/>
      <c r="X429" s="312"/>
      <c r="Y429" s="312"/>
      <c r="Z429" s="312"/>
      <c r="AA429" s="243"/>
      <c r="AB429" s="243"/>
      <c r="AC429" s="243"/>
      <c r="AD429" s="243"/>
      <c r="AE429" s="243"/>
      <c r="AF429" s="243"/>
      <c r="AG429" s="243"/>
      <c r="AH429" s="243"/>
      <c r="AI429" s="243"/>
      <c r="AJ429" s="243"/>
      <c r="AK429" s="241"/>
      <c r="AL429" s="241"/>
      <c r="AM429" s="241"/>
      <c r="AN429" s="241"/>
      <c r="AO429" s="241"/>
      <c r="AP429" s="241"/>
      <c r="AQ429" s="241"/>
      <c r="AR429" s="241"/>
    </row>
    <row r="430">
      <c r="A430" s="558">
        <v>3.0</v>
      </c>
      <c r="B430" s="555" t="s">
        <v>661</v>
      </c>
      <c r="C430" s="310">
        <v>4.0</v>
      </c>
      <c r="D430" s="310" t="s">
        <v>683</v>
      </c>
      <c r="E430" s="310" t="s">
        <v>683</v>
      </c>
      <c r="F430" s="310" t="s">
        <v>683</v>
      </c>
      <c r="G430" s="310" t="s">
        <v>683</v>
      </c>
      <c r="H430" s="310" t="s">
        <v>683</v>
      </c>
      <c r="I430" s="310" t="s">
        <v>683</v>
      </c>
      <c r="J430" s="310" t="s">
        <v>683</v>
      </c>
      <c r="K430" s="310" t="s">
        <v>683</v>
      </c>
      <c r="L430" s="547"/>
      <c r="M430" s="310"/>
      <c r="N430" s="547"/>
      <c r="O430" s="571"/>
      <c r="P430" s="312"/>
      <c r="Q430" s="312"/>
      <c r="R430" s="312"/>
      <c r="S430" s="312"/>
      <c r="T430" s="312"/>
      <c r="U430" s="312"/>
      <c r="V430" s="312"/>
      <c r="W430" s="312"/>
      <c r="X430" s="312"/>
      <c r="Y430" s="312"/>
      <c r="Z430" s="312"/>
      <c r="AA430" s="243"/>
      <c r="AB430" s="243"/>
      <c r="AC430" s="243"/>
      <c r="AD430" s="243"/>
      <c r="AE430" s="243"/>
      <c r="AF430" s="243"/>
      <c r="AG430" s="243"/>
      <c r="AH430" s="243"/>
      <c r="AI430" s="243"/>
      <c r="AJ430" s="243"/>
      <c r="AK430" s="241"/>
      <c r="AL430" s="241"/>
      <c r="AM430" s="241"/>
      <c r="AN430" s="241"/>
      <c r="AO430" s="241"/>
      <c r="AP430" s="241"/>
      <c r="AQ430" s="241"/>
      <c r="AR430" s="241"/>
    </row>
    <row r="431">
      <c r="A431" s="558">
        <v>4.0</v>
      </c>
      <c r="B431" s="555" t="s">
        <v>661</v>
      </c>
      <c r="C431" s="310">
        <v>4.0</v>
      </c>
      <c r="D431" s="310">
        <v>2.0</v>
      </c>
      <c r="E431" s="310" t="s">
        <v>683</v>
      </c>
      <c r="F431" s="310" t="s">
        <v>683</v>
      </c>
      <c r="G431" s="310" t="s">
        <v>683</v>
      </c>
      <c r="H431" s="310" t="s">
        <v>683</v>
      </c>
      <c r="I431" s="310" t="s">
        <v>683</v>
      </c>
      <c r="J431" s="310" t="s">
        <v>683</v>
      </c>
      <c r="K431" s="310" t="s">
        <v>683</v>
      </c>
      <c r="L431" s="547"/>
      <c r="M431" s="310"/>
      <c r="N431" s="547"/>
      <c r="O431" s="571"/>
      <c r="P431" s="312"/>
      <c r="Q431" s="312"/>
      <c r="R431" s="312"/>
      <c r="S431" s="312"/>
      <c r="T431" s="312"/>
      <c r="U431" s="312"/>
      <c r="V431" s="312"/>
      <c r="W431" s="312"/>
      <c r="X431" s="312"/>
      <c r="Y431" s="312"/>
      <c r="Z431" s="312"/>
      <c r="AA431" s="243"/>
      <c r="AB431" s="243"/>
      <c r="AC431" s="243"/>
      <c r="AD431" s="243"/>
      <c r="AE431" s="243"/>
      <c r="AF431" s="243"/>
      <c r="AG431" s="243"/>
      <c r="AH431" s="243"/>
      <c r="AI431" s="243"/>
      <c r="AJ431" s="243"/>
      <c r="AK431" s="241"/>
      <c r="AL431" s="241"/>
      <c r="AM431" s="241"/>
      <c r="AN431" s="241"/>
      <c r="AO431" s="241"/>
      <c r="AP431" s="241"/>
      <c r="AQ431" s="241"/>
      <c r="AR431" s="241"/>
    </row>
    <row r="432">
      <c r="A432" s="558">
        <v>5.0</v>
      </c>
      <c r="B432" s="555" t="s">
        <v>661</v>
      </c>
      <c r="C432" s="310">
        <v>4.0</v>
      </c>
      <c r="D432" s="310">
        <v>3.0</v>
      </c>
      <c r="E432" s="310" t="s">
        <v>683</v>
      </c>
      <c r="F432" s="310" t="s">
        <v>683</v>
      </c>
      <c r="G432" s="310" t="s">
        <v>683</v>
      </c>
      <c r="H432" s="310" t="s">
        <v>683</v>
      </c>
      <c r="I432" s="310" t="s">
        <v>683</v>
      </c>
      <c r="J432" s="310" t="s">
        <v>683</v>
      </c>
      <c r="K432" s="310" t="s">
        <v>683</v>
      </c>
      <c r="L432" s="547"/>
      <c r="M432" s="310"/>
      <c r="N432" s="547"/>
      <c r="O432" s="571"/>
      <c r="P432" s="312"/>
      <c r="Q432" s="312"/>
      <c r="R432" s="312"/>
      <c r="S432" s="312"/>
      <c r="T432" s="312"/>
      <c r="U432" s="312"/>
      <c r="V432" s="312"/>
      <c r="W432" s="312"/>
      <c r="X432" s="312"/>
      <c r="Y432" s="312"/>
      <c r="Z432" s="312"/>
      <c r="AA432" s="243"/>
      <c r="AB432" s="243"/>
      <c r="AC432" s="243"/>
      <c r="AD432" s="243"/>
      <c r="AE432" s="243"/>
      <c r="AF432" s="243"/>
      <c r="AG432" s="243"/>
      <c r="AH432" s="243"/>
      <c r="AI432" s="243"/>
      <c r="AJ432" s="243"/>
      <c r="AK432" s="241"/>
      <c r="AL432" s="241"/>
      <c r="AM432" s="241"/>
      <c r="AN432" s="241"/>
      <c r="AO432" s="241"/>
      <c r="AP432" s="241"/>
      <c r="AQ432" s="241"/>
      <c r="AR432" s="241"/>
    </row>
    <row r="433">
      <c r="A433" s="558">
        <v>6.0</v>
      </c>
      <c r="B433" s="555" t="s">
        <v>661</v>
      </c>
      <c r="C433" s="310">
        <v>4.0</v>
      </c>
      <c r="D433" s="310">
        <v>4.0</v>
      </c>
      <c r="E433" s="310">
        <v>2.0</v>
      </c>
      <c r="F433" s="310" t="s">
        <v>683</v>
      </c>
      <c r="G433" s="310" t="s">
        <v>683</v>
      </c>
      <c r="H433" s="310" t="s">
        <v>683</v>
      </c>
      <c r="I433" s="310" t="s">
        <v>683</v>
      </c>
      <c r="J433" s="310" t="s">
        <v>683</v>
      </c>
      <c r="K433" s="310" t="s">
        <v>683</v>
      </c>
      <c r="L433" s="547"/>
      <c r="M433" s="310"/>
      <c r="N433" s="547"/>
      <c r="O433" s="571"/>
      <c r="P433" s="312"/>
      <c r="Q433" s="312"/>
      <c r="R433" s="312"/>
      <c r="S433" s="312"/>
      <c r="T433" s="312"/>
      <c r="U433" s="312"/>
      <c r="V433" s="312"/>
      <c r="W433" s="312"/>
      <c r="X433" s="312"/>
      <c r="Y433" s="312"/>
      <c r="Z433" s="312"/>
      <c r="AA433" s="243"/>
      <c r="AB433" s="243"/>
      <c r="AC433" s="243"/>
      <c r="AD433" s="243"/>
      <c r="AE433" s="243"/>
      <c r="AF433" s="243"/>
      <c r="AG433" s="243"/>
      <c r="AH433" s="243"/>
      <c r="AI433" s="243"/>
      <c r="AJ433" s="243"/>
      <c r="AK433" s="241"/>
      <c r="AL433" s="241"/>
      <c r="AM433" s="241"/>
      <c r="AN433" s="241"/>
      <c r="AO433" s="241"/>
      <c r="AP433" s="241"/>
      <c r="AQ433" s="241"/>
      <c r="AR433" s="241"/>
    </row>
    <row r="434">
      <c r="A434" s="558">
        <v>7.0</v>
      </c>
      <c r="B434" s="555" t="s">
        <v>661</v>
      </c>
      <c r="C434" s="310">
        <v>4.0</v>
      </c>
      <c r="D434" s="310">
        <v>4.0</v>
      </c>
      <c r="E434" s="310">
        <v>3.0</v>
      </c>
      <c r="F434" s="310" t="s">
        <v>683</v>
      </c>
      <c r="G434" s="310" t="s">
        <v>683</v>
      </c>
      <c r="H434" s="310" t="s">
        <v>683</v>
      </c>
      <c r="I434" s="310" t="s">
        <v>683</v>
      </c>
      <c r="J434" s="310" t="s">
        <v>683</v>
      </c>
      <c r="K434" s="310" t="s">
        <v>683</v>
      </c>
      <c r="L434" s="547"/>
      <c r="M434" s="310"/>
      <c r="N434" s="547"/>
      <c r="O434" s="571"/>
      <c r="P434" s="312"/>
      <c r="Q434" s="312"/>
      <c r="R434" s="312"/>
      <c r="S434" s="312"/>
      <c r="T434" s="312"/>
      <c r="U434" s="312"/>
      <c r="V434" s="312"/>
      <c r="W434" s="312"/>
      <c r="X434" s="312"/>
      <c r="Y434" s="312"/>
      <c r="Z434" s="312"/>
      <c r="AA434" s="243"/>
      <c r="AB434" s="243"/>
      <c r="AC434" s="243"/>
      <c r="AD434" s="243"/>
      <c r="AE434" s="243"/>
      <c r="AF434" s="243"/>
      <c r="AG434" s="243"/>
      <c r="AH434" s="243"/>
      <c r="AI434" s="243"/>
      <c r="AJ434" s="243"/>
      <c r="AK434" s="241"/>
      <c r="AL434" s="241"/>
      <c r="AM434" s="241"/>
      <c r="AN434" s="241"/>
      <c r="AO434" s="241"/>
      <c r="AP434" s="241"/>
      <c r="AQ434" s="241"/>
      <c r="AR434" s="241"/>
    </row>
    <row r="435">
      <c r="A435" s="558">
        <v>8.0</v>
      </c>
      <c r="B435" s="555" t="s">
        <v>661</v>
      </c>
      <c r="C435" s="310">
        <v>4.0</v>
      </c>
      <c r="D435" s="310">
        <v>4.0</v>
      </c>
      <c r="E435" s="310">
        <v>4.0</v>
      </c>
      <c r="F435" s="310">
        <v>2.0</v>
      </c>
      <c r="G435" s="310" t="s">
        <v>683</v>
      </c>
      <c r="H435" s="310" t="s">
        <v>683</v>
      </c>
      <c r="I435" s="310" t="s">
        <v>683</v>
      </c>
      <c r="J435" s="310" t="s">
        <v>683</v>
      </c>
      <c r="K435" s="310" t="s">
        <v>683</v>
      </c>
      <c r="L435" s="547"/>
      <c r="M435" s="310"/>
      <c r="N435" s="547"/>
      <c r="O435" s="571"/>
      <c r="P435" s="312"/>
      <c r="Q435" s="312"/>
      <c r="R435" s="312"/>
      <c r="S435" s="312"/>
      <c r="T435" s="312"/>
      <c r="U435" s="312"/>
      <c r="V435" s="312"/>
      <c r="W435" s="312"/>
      <c r="X435" s="312"/>
      <c r="Y435" s="312"/>
      <c r="Z435" s="312"/>
      <c r="AA435" s="243"/>
      <c r="AB435" s="243"/>
      <c r="AC435" s="243"/>
      <c r="AD435" s="243"/>
      <c r="AE435" s="243"/>
      <c r="AF435" s="243"/>
      <c r="AG435" s="243"/>
      <c r="AH435" s="243"/>
      <c r="AI435" s="243"/>
      <c r="AJ435" s="243"/>
      <c r="AK435" s="241"/>
      <c r="AL435" s="241"/>
      <c r="AM435" s="241"/>
      <c r="AN435" s="241"/>
      <c r="AO435" s="241"/>
      <c r="AP435" s="241"/>
      <c r="AQ435" s="241"/>
      <c r="AR435" s="241"/>
    </row>
    <row r="436">
      <c r="A436" s="558">
        <v>9.0</v>
      </c>
      <c r="B436" s="555" t="s">
        <v>661</v>
      </c>
      <c r="C436" s="310">
        <v>4.0</v>
      </c>
      <c r="D436" s="310">
        <v>4.0</v>
      </c>
      <c r="E436" s="310">
        <v>4.0</v>
      </c>
      <c r="F436" s="310">
        <v>3.0</v>
      </c>
      <c r="G436" s="310" t="s">
        <v>683</v>
      </c>
      <c r="H436" s="310" t="s">
        <v>683</v>
      </c>
      <c r="I436" s="310" t="s">
        <v>683</v>
      </c>
      <c r="J436" s="310" t="s">
        <v>683</v>
      </c>
      <c r="K436" s="310" t="s">
        <v>683</v>
      </c>
      <c r="L436" s="547"/>
      <c r="M436" s="310"/>
      <c r="N436" s="547"/>
      <c r="O436" s="571"/>
      <c r="P436" s="312"/>
      <c r="Q436" s="312"/>
      <c r="R436" s="312"/>
      <c r="S436" s="312"/>
      <c r="T436" s="312"/>
      <c r="U436" s="312"/>
      <c r="V436" s="312"/>
      <c r="W436" s="312"/>
      <c r="X436" s="312"/>
      <c r="Y436" s="312"/>
      <c r="Z436" s="312"/>
      <c r="AA436" s="243"/>
      <c r="AB436" s="243"/>
      <c r="AC436" s="243"/>
      <c r="AD436" s="243"/>
      <c r="AE436" s="243"/>
      <c r="AF436" s="243"/>
      <c r="AG436" s="243"/>
      <c r="AH436" s="243"/>
      <c r="AI436" s="243"/>
      <c r="AJ436" s="243"/>
      <c r="AK436" s="241"/>
      <c r="AL436" s="241"/>
      <c r="AM436" s="241"/>
      <c r="AN436" s="241"/>
      <c r="AO436" s="241"/>
      <c r="AP436" s="241"/>
      <c r="AQ436" s="241"/>
      <c r="AR436" s="241"/>
    </row>
    <row r="437">
      <c r="A437" s="558">
        <v>10.0</v>
      </c>
      <c r="B437" s="555" t="s">
        <v>661</v>
      </c>
      <c r="C437" s="310">
        <v>4.0</v>
      </c>
      <c r="D437" s="310">
        <v>4.0</v>
      </c>
      <c r="E437" s="310">
        <v>4.0</v>
      </c>
      <c r="F437" s="310">
        <v>4.0</v>
      </c>
      <c r="G437" s="310">
        <v>2.0</v>
      </c>
      <c r="H437" s="310" t="s">
        <v>683</v>
      </c>
      <c r="I437" s="310" t="s">
        <v>683</v>
      </c>
      <c r="J437" s="310" t="s">
        <v>683</v>
      </c>
      <c r="K437" s="310" t="s">
        <v>683</v>
      </c>
      <c r="L437" s="547"/>
      <c r="M437" s="310"/>
      <c r="N437" s="547"/>
      <c r="O437" s="571"/>
      <c r="P437" s="312"/>
      <c r="Q437" s="312"/>
      <c r="R437" s="312"/>
      <c r="S437" s="312"/>
      <c r="T437" s="312"/>
      <c r="U437" s="312"/>
      <c r="V437" s="312"/>
      <c r="W437" s="312"/>
      <c r="X437" s="312"/>
      <c r="Y437" s="312"/>
      <c r="Z437" s="312"/>
      <c r="AA437" s="243"/>
      <c r="AB437" s="243"/>
      <c r="AC437" s="243"/>
      <c r="AD437" s="243"/>
      <c r="AE437" s="243"/>
      <c r="AF437" s="243"/>
      <c r="AG437" s="243"/>
      <c r="AH437" s="243"/>
      <c r="AI437" s="243"/>
      <c r="AJ437" s="243"/>
      <c r="AK437" s="241"/>
      <c r="AL437" s="241"/>
      <c r="AM437" s="241"/>
      <c r="AN437" s="241"/>
      <c r="AO437" s="241"/>
      <c r="AP437" s="241"/>
      <c r="AQ437" s="241"/>
      <c r="AR437" s="241"/>
    </row>
    <row r="438">
      <c r="A438" s="558">
        <v>11.0</v>
      </c>
      <c r="B438" s="555" t="s">
        <v>661</v>
      </c>
      <c r="C438" s="310">
        <v>4.0</v>
      </c>
      <c r="D438" s="310">
        <v>4.0</v>
      </c>
      <c r="E438" s="310">
        <v>4.0</v>
      </c>
      <c r="F438" s="310">
        <v>4.0</v>
      </c>
      <c r="G438" s="310">
        <v>3.0</v>
      </c>
      <c r="H438" s="310" t="s">
        <v>683</v>
      </c>
      <c r="I438" s="310" t="s">
        <v>683</v>
      </c>
      <c r="J438" s="310" t="s">
        <v>683</v>
      </c>
      <c r="K438" s="310" t="s">
        <v>683</v>
      </c>
      <c r="L438" s="547"/>
      <c r="M438" s="310"/>
      <c r="N438" s="547"/>
      <c r="O438" s="571"/>
      <c r="P438" s="312"/>
      <c r="Q438" s="312"/>
      <c r="R438" s="312"/>
      <c r="S438" s="312"/>
      <c r="T438" s="312"/>
      <c r="U438" s="312"/>
      <c r="V438" s="312"/>
      <c r="W438" s="312"/>
      <c r="X438" s="312"/>
      <c r="Y438" s="312"/>
      <c r="Z438" s="312"/>
      <c r="AA438" s="243"/>
      <c r="AB438" s="243"/>
      <c r="AC438" s="243"/>
      <c r="AD438" s="243"/>
      <c r="AE438" s="243"/>
      <c r="AF438" s="243"/>
      <c r="AG438" s="243"/>
      <c r="AH438" s="243"/>
      <c r="AI438" s="243"/>
      <c r="AJ438" s="243"/>
      <c r="AK438" s="241"/>
      <c r="AL438" s="241"/>
      <c r="AM438" s="241"/>
      <c r="AN438" s="241"/>
      <c r="AO438" s="241"/>
      <c r="AP438" s="241"/>
      <c r="AQ438" s="241"/>
      <c r="AR438" s="241"/>
    </row>
    <row r="439">
      <c r="A439" s="558">
        <v>12.0</v>
      </c>
      <c r="B439" s="555" t="s">
        <v>661</v>
      </c>
      <c r="C439" s="310">
        <v>4.0</v>
      </c>
      <c r="D439" s="310">
        <v>4.0</v>
      </c>
      <c r="E439" s="310">
        <v>4.0</v>
      </c>
      <c r="F439" s="310">
        <v>4.0</v>
      </c>
      <c r="G439" s="310">
        <v>4.0</v>
      </c>
      <c r="H439" s="310">
        <v>2.0</v>
      </c>
      <c r="I439" s="310" t="s">
        <v>683</v>
      </c>
      <c r="J439" s="310" t="s">
        <v>683</v>
      </c>
      <c r="K439" s="310" t="s">
        <v>683</v>
      </c>
      <c r="L439" s="547"/>
      <c r="M439" s="310"/>
      <c r="N439" s="547"/>
      <c r="O439" s="571"/>
      <c r="P439" s="312"/>
      <c r="Q439" s="312"/>
      <c r="R439" s="312"/>
      <c r="S439" s="312"/>
      <c r="T439" s="312"/>
      <c r="U439" s="312"/>
      <c r="V439" s="312"/>
      <c r="W439" s="312"/>
      <c r="X439" s="312"/>
      <c r="Y439" s="312"/>
      <c r="Z439" s="312"/>
      <c r="AA439" s="243"/>
      <c r="AB439" s="243"/>
      <c r="AC439" s="243"/>
      <c r="AD439" s="243"/>
      <c r="AE439" s="243"/>
      <c r="AF439" s="243"/>
      <c r="AG439" s="243"/>
      <c r="AH439" s="243"/>
      <c r="AI439" s="243"/>
      <c r="AJ439" s="243"/>
      <c r="AK439" s="241"/>
      <c r="AL439" s="241"/>
      <c r="AM439" s="241"/>
      <c r="AN439" s="241"/>
      <c r="AO439" s="241"/>
      <c r="AP439" s="241"/>
      <c r="AQ439" s="241"/>
      <c r="AR439" s="241"/>
    </row>
    <row r="440">
      <c r="A440" s="558">
        <v>13.0</v>
      </c>
      <c r="B440" s="555" t="s">
        <v>661</v>
      </c>
      <c r="C440" s="310">
        <v>4.0</v>
      </c>
      <c r="D440" s="310">
        <v>4.0</v>
      </c>
      <c r="E440" s="310">
        <v>4.0</v>
      </c>
      <c r="F440" s="310">
        <v>4.0</v>
      </c>
      <c r="G440" s="310">
        <v>4.0</v>
      </c>
      <c r="H440" s="310">
        <v>3.0</v>
      </c>
      <c r="I440" s="310" t="s">
        <v>683</v>
      </c>
      <c r="J440" s="310" t="s">
        <v>683</v>
      </c>
      <c r="K440" s="310" t="s">
        <v>683</v>
      </c>
      <c r="L440" s="547"/>
      <c r="M440" s="310"/>
      <c r="N440" s="547"/>
      <c r="O440" s="571"/>
      <c r="P440" s="312"/>
      <c r="Q440" s="312"/>
      <c r="R440" s="312"/>
      <c r="S440" s="312"/>
      <c r="T440" s="312"/>
      <c r="U440" s="312"/>
      <c r="V440" s="312"/>
      <c r="W440" s="312"/>
      <c r="X440" s="312"/>
      <c r="Y440" s="312"/>
      <c r="Z440" s="312"/>
      <c r="AA440" s="243"/>
      <c r="AB440" s="243"/>
      <c r="AC440" s="243"/>
      <c r="AD440" s="243"/>
      <c r="AE440" s="243"/>
      <c r="AF440" s="243"/>
      <c r="AG440" s="243"/>
      <c r="AH440" s="243"/>
      <c r="AI440" s="243"/>
      <c r="AJ440" s="243"/>
      <c r="AK440" s="241"/>
      <c r="AL440" s="241"/>
      <c r="AM440" s="241"/>
      <c r="AN440" s="241"/>
      <c r="AO440" s="241"/>
      <c r="AP440" s="241"/>
      <c r="AQ440" s="241"/>
      <c r="AR440" s="241"/>
    </row>
    <row r="441">
      <c r="A441" s="558">
        <v>14.0</v>
      </c>
      <c r="B441" s="555" t="s">
        <v>661</v>
      </c>
      <c r="C441" s="310">
        <v>4.0</v>
      </c>
      <c r="D441" s="310">
        <v>4.0</v>
      </c>
      <c r="E441" s="310">
        <v>4.0</v>
      </c>
      <c r="F441" s="310">
        <v>4.0</v>
      </c>
      <c r="G441" s="310">
        <v>4.0</v>
      </c>
      <c r="H441" s="310">
        <v>4.0</v>
      </c>
      <c r="I441" s="310">
        <v>2.0</v>
      </c>
      <c r="J441" s="310" t="s">
        <v>683</v>
      </c>
      <c r="K441" s="310" t="s">
        <v>683</v>
      </c>
      <c r="L441" s="547"/>
      <c r="M441" s="310"/>
      <c r="N441" s="547"/>
      <c r="O441" s="571"/>
      <c r="P441" s="312"/>
      <c r="Q441" s="312"/>
      <c r="R441" s="312"/>
      <c r="S441" s="312"/>
      <c r="T441" s="312"/>
      <c r="U441" s="312"/>
      <c r="V441" s="312"/>
      <c r="W441" s="312"/>
      <c r="X441" s="312"/>
      <c r="Y441" s="312"/>
      <c r="Z441" s="312"/>
      <c r="AA441" s="243"/>
      <c r="AB441" s="243"/>
      <c r="AC441" s="243"/>
      <c r="AD441" s="243"/>
      <c r="AE441" s="243"/>
      <c r="AF441" s="243"/>
      <c r="AG441" s="243"/>
      <c r="AH441" s="243"/>
      <c r="AI441" s="243"/>
      <c r="AJ441" s="243"/>
      <c r="AK441" s="241"/>
      <c r="AL441" s="241"/>
      <c r="AM441" s="241"/>
      <c r="AN441" s="241"/>
      <c r="AO441" s="241"/>
      <c r="AP441" s="241"/>
      <c r="AQ441" s="241"/>
      <c r="AR441" s="241"/>
    </row>
    <row r="442">
      <c r="A442" s="558">
        <v>15.0</v>
      </c>
      <c r="B442" s="555" t="s">
        <v>661</v>
      </c>
      <c r="C442" s="310">
        <v>4.0</v>
      </c>
      <c r="D442" s="310">
        <v>4.0</v>
      </c>
      <c r="E442" s="310">
        <v>4.0</v>
      </c>
      <c r="F442" s="310">
        <v>4.0</v>
      </c>
      <c r="G442" s="310">
        <v>4.0</v>
      </c>
      <c r="H442" s="310">
        <v>4.0</v>
      </c>
      <c r="I442" s="310">
        <v>3.0</v>
      </c>
      <c r="J442" s="310" t="s">
        <v>683</v>
      </c>
      <c r="K442" s="310" t="s">
        <v>683</v>
      </c>
      <c r="L442" s="547"/>
      <c r="M442" s="310"/>
      <c r="N442" s="547"/>
      <c r="O442" s="571"/>
      <c r="P442" s="312"/>
      <c r="Q442" s="312"/>
      <c r="R442" s="312"/>
      <c r="S442" s="312"/>
      <c r="T442" s="312"/>
      <c r="U442" s="312"/>
      <c r="V442" s="312"/>
      <c r="W442" s="312"/>
      <c r="X442" s="312"/>
      <c r="Y442" s="312"/>
      <c r="Z442" s="312"/>
      <c r="AA442" s="243"/>
      <c r="AB442" s="243"/>
      <c r="AC442" s="243"/>
      <c r="AD442" s="243"/>
      <c r="AE442" s="243"/>
      <c r="AF442" s="243"/>
      <c r="AG442" s="243"/>
      <c r="AH442" s="243"/>
      <c r="AI442" s="243"/>
      <c r="AJ442" s="243"/>
      <c r="AK442" s="241"/>
      <c r="AL442" s="241"/>
      <c r="AM442" s="241"/>
      <c r="AN442" s="241"/>
      <c r="AO442" s="241"/>
      <c r="AP442" s="241"/>
      <c r="AQ442" s="241"/>
      <c r="AR442" s="241"/>
    </row>
    <row r="443">
      <c r="A443" s="558">
        <v>16.0</v>
      </c>
      <c r="B443" s="555" t="s">
        <v>661</v>
      </c>
      <c r="C443" s="310">
        <v>4.0</v>
      </c>
      <c r="D443" s="310">
        <v>4.0</v>
      </c>
      <c r="E443" s="310">
        <v>4.0</v>
      </c>
      <c r="F443" s="310">
        <v>4.0</v>
      </c>
      <c r="G443" s="310">
        <v>4.0</v>
      </c>
      <c r="H443" s="310">
        <v>4.0</v>
      </c>
      <c r="I443" s="310">
        <v>4.0</v>
      </c>
      <c r="J443" s="310">
        <v>2.0</v>
      </c>
      <c r="K443" s="310" t="s">
        <v>683</v>
      </c>
      <c r="L443" s="547"/>
      <c r="M443" s="310"/>
      <c r="N443" s="547"/>
      <c r="O443" s="571"/>
      <c r="P443" s="312"/>
      <c r="Q443" s="312"/>
      <c r="R443" s="312"/>
      <c r="S443" s="312"/>
      <c r="T443" s="312"/>
      <c r="U443" s="312"/>
      <c r="V443" s="312"/>
      <c r="W443" s="312"/>
      <c r="X443" s="312"/>
      <c r="Y443" s="312"/>
      <c r="Z443" s="312"/>
      <c r="AA443" s="243"/>
      <c r="AB443" s="243"/>
      <c r="AC443" s="243"/>
      <c r="AD443" s="243"/>
      <c r="AE443" s="243"/>
      <c r="AF443" s="243"/>
      <c r="AG443" s="243"/>
      <c r="AH443" s="243"/>
      <c r="AI443" s="243"/>
      <c r="AJ443" s="243"/>
      <c r="AK443" s="241"/>
      <c r="AL443" s="241"/>
      <c r="AM443" s="241"/>
      <c r="AN443" s="241"/>
      <c r="AO443" s="241"/>
      <c r="AP443" s="241"/>
      <c r="AQ443" s="241"/>
      <c r="AR443" s="241"/>
    </row>
    <row r="444">
      <c r="A444" s="558">
        <v>17.0</v>
      </c>
      <c r="B444" s="555" t="s">
        <v>661</v>
      </c>
      <c r="C444" s="310">
        <v>4.0</v>
      </c>
      <c r="D444" s="310">
        <v>4.0</v>
      </c>
      <c r="E444" s="310">
        <v>4.0</v>
      </c>
      <c r="F444" s="310">
        <v>4.0</v>
      </c>
      <c r="G444" s="310">
        <v>4.0</v>
      </c>
      <c r="H444" s="310">
        <v>4.0</v>
      </c>
      <c r="I444" s="310">
        <v>4.0</v>
      </c>
      <c r="J444" s="310">
        <v>3.0</v>
      </c>
      <c r="K444" s="310" t="s">
        <v>683</v>
      </c>
      <c r="L444" s="547"/>
      <c r="M444" s="310"/>
      <c r="N444" s="547"/>
      <c r="O444" s="571"/>
      <c r="P444" s="312"/>
      <c r="Q444" s="312"/>
      <c r="R444" s="312"/>
      <c r="S444" s="312"/>
      <c r="T444" s="312"/>
      <c r="U444" s="312"/>
      <c r="V444" s="312"/>
      <c r="W444" s="312"/>
      <c r="X444" s="312"/>
      <c r="Y444" s="312"/>
      <c r="Z444" s="312"/>
      <c r="AA444" s="243"/>
      <c r="AB444" s="243"/>
      <c r="AC444" s="243"/>
      <c r="AD444" s="243"/>
      <c r="AE444" s="243"/>
      <c r="AF444" s="243"/>
      <c r="AG444" s="243"/>
      <c r="AH444" s="243"/>
      <c r="AI444" s="243"/>
      <c r="AJ444" s="243"/>
      <c r="AK444" s="241"/>
      <c r="AL444" s="241"/>
      <c r="AM444" s="241"/>
      <c r="AN444" s="241"/>
      <c r="AO444" s="241"/>
      <c r="AP444" s="241"/>
      <c r="AQ444" s="241"/>
      <c r="AR444" s="241"/>
    </row>
    <row r="445">
      <c r="A445" s="558">
        <v>18.0</v>
      </c>
      <c r="B445" s="555" t="s">
        <v>661</v>
      </c>
      <c r="C445" s="310">
        <v>4.0</v>
      </c>
      <c r="D445" s="310">
        <v>4.0</v>
      </c>
      <c r="E445" s="310">
        <v>4.0</v>
      </c>
      <c r="F445" s="310">
        <v>4.0</v>
      </c>
      <c r="G445" s="310">
        <v>4.0</v>
      </c>
      <c r="H445" s="310">
        <v>4.0</v>
      </c>
      <c r="I445" s="310">
        <v>4.0</v>
      </c>
      <c r="J445" s="310">
        <v>4.0</v>
      </c>
      <c r="K445" s="310">
        <v>2.0</v>
      </c>
      <c r="L445" s="547"/>
      <c r="M445" s="310"/>
      <c r="N445" s="547"/>
      <c r="O445" s="571"/>
      <c r="P445" s="312"/>
      <c r="Q445" s="312"/>
      <c r="R445" s="312"/>
      <c r="S445" s="312"/>
      <c r="T445" s="312"/>
      <c r="U445" s="312"/>
      <c r="V445" s="312"/>
      <c r="W445" s="312"/>
      <c r="X445" s="312"/>
      <c r="Y445" s="312"/>
      <c r="Z445" s="312"/>
      <c r="AA445" s="243"/>
      <c r="AB445" s="243"/>
      <c r="AC445" s="243"/>
      <c r="AD445" s="243"/>
      <c r="AE445" s="243"/>
      <c r="AF445" s="243"/>
      <c r="AG445" s="243"/>
      <c r="AH445" s="243"/>
      <c r="AI445" s="243"/>
      <c r="AJ445" s="243"/>
      <c r="AK445" s="241"/>
      <c r="AL445" s="241"/>
      <c r="AM445" s="241"/>
      <c r="AN445" s="241"/>
      <c r="AO445" s="241"/>
      <c r="AP445" s="241"/>
      <c r="AQ445" s="241"/>
      <c r="AR445" s="241"/>
    </row>
    <row r="446">
      <c r="A446" s="558">
        <v>19.0</v>
      </c>
      <c r="B446" s="555" t="s">
        <v>661</v>
      </c>
      <c r="C446" s="310">
        <v>4.0</v>
      </c>
      <c r="D446" s="310">
        <v>4.0</v>
      </c>
      <c r="E446" s="310">
        <v>4.0</v>
      </c>
      <c r="F446" s="310">
        <v>4.0</v>
      </c>
      <c r="G446" s="310">
        <v>4.0</v>
      </c>
      <c r="H446" s="310">
        <v>4.0</v>
      </c>
      <c r="I446" s="310">
        <v>4.0</v>
      </c>
      <c r="J446" s="310">
        <v>4.0</v>
      </c>
      <c r="K446" s="310">
        <v>3.0</v>
      </c>
      <c r="L446" s="547"/>
      <c r="M446" s="547"/>
      <c r="N446" s="547"/>
      <c r="O446" s="571"/>
      <c r="P446" s="312"/>
      <c r="Q446" s="312"/>
      <c r="R446" s="312"/>
      <c r="S446" s="312"/>
      <c r="T446" s="312"/>
      <c r="U446" s="312"/>
      <c r="V446" s="312"/>
      <c r="W446" s="312"/>
      <c r="X446" s="312"/>
      <c r="Y446" s="312"/>
      <c r="Z446" s="312"/>
      <c r="AA446" s="243"/>
      <c r="AB446" s="243"/>
      <c r="AC446" s="243"/>
      <c r="AD446" s="243"/>
      <c r="AE446" s="243"/>
      <c r="AF446" s="243"/>
      <c r="AG446" s="243"/>
      <c r="AH446" s="243"/>
      <c r="AI446" s="243"/>
      <c r="AJ446" s="243"/>
      <c r="AK446" s="241"/>
      <c r="AL446" s="241"/>
      <c r="AM446" s="241"/>
      <c r="AN446" s="241"/>
      <c r="AO446" s="241"/>
      <c r="AP446" s="241"/>
      <c r="AQ446" s="241"/>
      <c r="AR446" s="241"/>
    </row>
    <row r="447">
      <c r="A447" s="558">
        <v>20.0</v>
      </c>
      <c r="B447" s="555" t="s">
        <v>661</v>
      </c>
      <c r="C447" s="310">
        <v>4.0</v>
      </c>
      <c r="D447" s="310">
        <v>4.0</v>
      </c>
      <c r="E447" s="310">
        <v>4.0</v>
      </c>
      <c r="F447" s="310">
        <v>4.0</v>
      </c>
      <c r="G447" s="310">
        <v>4.0</v>
      </c>
      <c r="H447" s="310">
        <v>4.0</v>
      </c>
      <c r="I447" s="310">
        <v>4.0</v>
      </c>
      <c r="J447" s="310">
        <v>4.0</v>
      </c>
      <c r="K447" s="310">
        <v>4.0</v>
      </c>
      <c r="L447" s="547"/>
      <c r="M447" s="547"/>
      <c r="N447" s="547"/>
      <c r="O447" s="571"/>
      <c r="P447" s="312"/>
      <c r="Q447" s="312"/>
      <c r="R447" s="312"/>
      <c r="S447" s="312"/>
      <c r="T447" s="312"/>
      <c r="U447" s="312"/>
      <c r="V447" s="312"/>
      <c r="W447" s="312"/>
      <c r="X447" s="312"/>
      <c r="Y447" s="312"/>
      <c r="Z447" s="312"/>
      <c r="AA447" s="243"/>
      <c r="AB447" s="243"/>
      <c r="AC447" s="243"/>
      <c r="AD447" s="243"/>
      <c r="AE447" s="243"/>
      <c r="AF447" s="243"/>
      <c r="AG447" s="243"/>
      <c r="AH447" s="243"/>
      <c r="AI447" s="243"/>
      <c r="AJ447" s="243"/>
      <c r="AK447" s="241"/>
      <c r="AL447" s="241"/>
      <c r="AM447" s="241"/>
      <c r="AN447" s="241"/>
      <c r="AO447" s="241"/>
      <c r="AP447" s="241"/>
      <c r="AQ447" s="241"/>
      <c r="AR447" s="241"/>
    </row>
    <row r="448">
      <c r="A448" s="555"/>
      <c r="B448" s="555"/>
      <c r="C448" s="310"/>
      <c r="D448" s="310"/>
      <c r="E448" s="310"/>
      <c r="F448" s="310"/>
      <c r="G448" s="310"/>
      <c r="H448" s="310"/>
      <c r="I448" s="310"/>
      <c r="J448" s="310"/>
      <c r="K448" s="241"/>
      <c r="L448" s="547"/>
      <c r="M448" s="547"/>
      <c r="N448" s="547"/>
      <c r="O448" s="571"/>
      <c r="P448" s="312"/>
      <c r="Q448" s="312"/>
      <c r="R448" s="312"/>
      <c r="S448" s="312"/>
      <c r="T448" s="312"/>
      <c r="U448" s="312"/>
      <c r="V448" s="312"/>
      <c r="W448" s="312"/>
      <c r="X448" s="312"/>
      <c r="Y448" s="312"/>
      <c r="Z448" s="312"/>
      <c r="AA448" s="243"/>
      <c r="AB448" s="243"/>
      <c r="AC448" s="243"/>
      <c r="AD448" s="243"/>
      <c r="AE448" s="243"/>
      <c r="AF448" s="243"/>
      <c r="AG448" s="243"/>
      <c r="AH448" s="243"/>
      <c r="AI448" s="243"/>
      <c r="AJ448" s="243"/>
      <c r="AK448" s="241"/>
      <c r="AL448" s="241"/>
      <c r="AM448" s="241"/>
      <c r="AN448" s="241"/>
      <c r="AO448" s="241"/>
      <c r="AP448" s="241"/>
      <c r="AQ448" s="241"/>
      <c r="AR448" s="241"/>
    </row>
    <row r="449">
      <c r="A449" s="554"/>
      <c r="B449" s="554" t="s">
        <v>684</v>
      </c>
      <c r="C449" s="310"/>
      <c r="D449" s="310"/>
      <c r="E449" s="310"/>
      <c r="F449" s="310"/>
      <c r="G449" s="310"/>
      <c r="H449" s="310"/>
      <c r="I449" s="310"/>
      <c r="J449" s="241"/>
      <c r="K449" s="241"/>
      <c r="L449" s="547"/>
      <c r="M449" s="547"/>
      <c r="N449" s="549" t="s">
        <v>685</v>
      </c>
      <c r="O449" s="571"/>
      <c r="P449" s="312"/>
      <c r="Q449" s="312"/>
      <c r="R449" s="312"/>
      <c r="S449" s="312"/>
      <c r="T449" s="312"/>
      <c r="U449" s="312"/>
      <c r="V449" s="312"/>
      <c r="W449" s="312"/>
      <c r="X449" s="312"/>
      <c r="Y449" s="312"/>
      <c r="Z449" s="312"/>
      <c r="AA449" s="243"/>
      <c r="AB449" s="243"/>
      <c r="AC449" s="243"/>
      <c r="AD449" s="243"/>
      <c r="AE449" s="243"/>
      <c r="AF449" s="243"/>
      <c r="AG449" s="243"/>
      <c r="AH449" s="243"/>
      <c r="AI449" s="243"/>
      <c r="AJ449" s="243"/>
      <c r="AK449" s="241"/>
      <c r="AL449" s="241"/>
      <c r="AM449" s="241"/>
      <c r="AN449" s="241"/>
      <c r="AO449" s="241"/>
      <c r="AP449" s="241"/>
      <c r="AQ449" s="241"/>
      <c r="AR449" s="241"/>
    </row>
    <row r="450">
      <c r="A450" s="554" t="s">
        <v>660</v>
      </c>
      <c r="B450" s="555">
        <v>0.0</v>
      </c>
      <c r="C450" s="556">
        <v>1.0</v>
      </c>
      <c r="D450" s="310">
        <v>2.0</v>
      </c>
      <c r="E450" s="310">
        <v>3.0</v>
      </c>
      <c r="F450" s="310">
        <v>4.0</v>
      </c>
      <c r="G450" s="310">
        <v>5.0</v>
      </c>
      <c r="H450" s="310">
        <v>6.0</v>
      </c>
      <c r="I450" s="310">
        <v>7.0</v>
      </c>
      <c r="J450" s="310">
        <v>8.0</v>
      </c>
      <c r="K450" s="310">
        <v>9.0</v>
      </c>
      <c r="L450" s="310"/>
      <c r="M450" s="554" t="s">
        <v>660</v>
      </c>
      <c r="N450" s="555">
        <v>0.0</v>
      </c>
      <c r="O450" s="556">
        <v>1.0</v>
      </c>
      <c r="P450" s="310">
        <v>2.0</v>
      </c>
      <c r="Q450" s="310">
        <v>3.0</v>
      </c>
      <c r="R450" s="310">
        <v>4.0</v>
      </c>
      <c r="S450" s="310">
        <v>5.0</v>
      </c>
      <c r="T450" s="310">
        <v>6.0</v>
      </c>
      <c r="U450" s="310">
        <v>7.0</v>
      </c>
      <c r="V450" s="310">
        <v>8.0</v>
      </c>
      <c r="W450" s="310">
        <v>9.0</v>
      </c>
      <c r="X450" s="312"/>
      <c r="Y450" s="312"/>
      <c r="Z450" s="312"/>
      <c r="AA450" s="243"/>
      <c r="AB450" s="243"/>
      <c r="AC450" s="243"/>
      <c r="AD450" s="243"/>
      <c r="AE450" s="243"/>
      <c r="AF450" s="243"/>
      <c r="AG450" s="243"/>
      <c r="AH450" s="243"/>
      <c r="AI450" s="243"/>
      <c r="AJ450" s="243"/>
      <c r="AK450" s="241"/>
      <c r="AL450" s="241"/>
      <c r="AM450" s="241"/>
      <c r="AN450" s="241"/>
      <c r="AO450" s="241"/>
      <c r="AP450" s="241"/>
      <c r="AQ450" s="241"/>
      <c r="AR450" s="241"/>
    </row>
    <row r="451">
      <c r="A451" s="558">
        <v>1.0</v>
      </c>
      <c r="B451" s="547" t="s">
        <v>178</v>
      </c>
      <c r="C451" s="547" t="s">
        <v>178</v>
      </c>
      <c r="D451" s="547" t="s">
        <v>178</v>
      </c>
      <c r="E451" s="547" t="s">
        <v>178</v>
      </c>
      <c r="F451" s="547" t="s">
        <v>178</v>
      </c>
      <c r="G451" s="547" t="s">
        <v>178</v>
      </c>
      <c r="H451" s="547" t="s">
        <v>178</v>
      </c>
      <c r="I451" s="547" t="s">
        <v>178</v>
      </c>
      <c r="J451" s="547" t="s">
        <v>178</v>
      </c>
      <c r="K451" s="547" t="s">
        <v>178</v>
      </c>
      <c r="L451" s="310"/>
      <c r="M451" s="558">
        <v>1.0</v>
      </c>
      <c r="N451" s="547" t="s">
        <v>178</v>
      </c>
      <c r="O451" s="547" t="s">
        <v>178</v>
      </c>
      <c r="P451" s="547" t="s">
        <v>178</v>
      </c>
      <c r="Q451" s="547" t="s">
        <v>178</v>
      </c>
      <c r="R451" s="547" t="s">
        <v>178</v>
      </c>
      <c r="S451" s="547" t="s">
        <v>178</v>
      </c>
      <c r="T451" s="547" t="s">
        <v>178</v>
      </c>
      <c r="U451" s="547" t="s">
        <v>178</v>
      </c>
      <c r="V451" s="547" t="s">
        <v>178</v>
      </c>
      <c r="W451" s="547" t="s">
        <v>178</v>
      </c>
      <c r="X451" s="312"/>
      <c r="Y451" s="312"/>
      <c r="Z451" s="312"/>
      <c r="AA451" s="243"/>
      <c r="AB451" s="243"/>
      <c r="AC451" s="243"/>
      <c r="AD451" s="243"/>
      <c r="AE451" s="243"/>
      <c r="AF451" s="243"/>
      <c r="AG451" s="243"/>
      <c r="AH451" s="243"/>
      <c r="AI451" s="243"/>
      <c r="AJ451" s="243"/>
      <c r="AK451" s="241"/>
      <c r="AL451" s="241"/>
      <c r="AM451" s="241"/>
      <c r="AN451" s="241"/>
      <c r="AO451" s="241"/>
      <c r="AP451" s="241"/>
      <c r="AQ451" s="241"/>
      <c r="AR451" s="241"/>
    </row>
    <row r="452">
      <c r="A452" s="558">
        <v>2.0</v>
      </c>
      <c r="B452" s="547" t="s">
        <v>178</v>
      </c>
      <c r="C452" s="547" t="s">
        <v>178</v>
      </c>
      <c r="D452" s="547" t="s">
        <v>178</v>
      </c>
      <c r="E452" s="547" t="s">
        <v>178</v>
      </c>
      <c r="F452" s="547" t="s">
        <v>178</v>
      </c>
      <c r="G452" s="547" t="s">
        <v>178</v>
      </c>
      <c r="H452" s="547" t="s">
        <v>178</v>
      </c>
      <c r="I452" s="547" t="s">
        <v>178</v>
      </c>
      <c r="J452" s="547" t="s">
        <v>178</v>
      </c>
      <c r="K452" s="547" t="s">
        <v>178</v>
      </c>
      <c r="L452" s="310"/>
      <c r="M452" s="558">
        <v>2.0</v>
      </c>
      <c r="N452" s="547" t="s">
        <v>178</v>
      </c>
      <c r="O452" s="547" t="s">
        <v>178</v>
      </c>
      <c r="P452" s="547" t="s">
        <v>178</v>
      </c>
      <c r="Q452" s="547" t="s">
        <v>178</v>
      </c>
      <c r="R452" s="547" t="s">
        <v>178</v>
      </c>
      <c r="S452" s="547" t="s">
        <v>178</v>
      </c>
      <c r="T452" s="547" t="s">
        <v>178</v>
      </c>
      <c r="U452" s="547" t="s">
        <v>178</v>
      </c>
      <c r="V452" s="547" t="s">
        <v>178</v>
      </c>
      <c r="W452" s="547" t="s">
        <v>178</v>
      </c>
      <c r="X452" s="312"/>
      <c r="Y452" s="312"/>
      <c r="Z452" s="312"/>
      <c r="AA452" s="243"/>
      <c r="AB452" s="243"/>
      <c r="AC452" s="243"/>
      <c r="AD452" s="243"/>
      <c r="AE452" s="243"/>
      <c r="AF452" s="243"/>
      <c r="AG452" s="243"/>
      <c r="AH452" s="243"/>
      <c r="AI452" s="243"/>
      <c r="AJ452" s="243"/>
      <c r="AK452" s="241"/>
      <c r="AL452" s="241"/>
      <c r="AM452" s="241"/>
      <c r="AN452" s="241"/>
      <c r="AO452" s="241"/>
      <c r="AP452" s="241"/>
      <c r="AQ452" s="241"/>
      <c r="AR452" s="241"/>
    </row>
    <row r="453">
      <c r="A453" s="558">
        <v>3.0</v>
      </c>
      <c r="B453" s="547" t="s">
        <v>178</v>
      </c>
      <c r="C453" s="547" t="s">
        <v>178</v>
      </c>
      <c r="D453" s="547" t="s">
        <v>178</v>
      </c>
      <c r="E453" s="547" t="s">
        <v>178</v>
      </c>
      <c r="F453" s="547" t="s">
        <v>178</v>
      </c>
      <c r="G453" s="547" t="s">
        <v>178</v>
      </c>
      <c r="H453" s="547" t="s">
        <v>178</v>
      </c>
      <c r="I453" s="547" t="s">
        <v>178</v>
      </c>
      <c r="J453" s="547" t="s">
        <v>178</v>
      </c>
      <c r="K453" s="547" t="s">
        <v>178</v>
      </c>
      <c r="L453" s="310"/>
      <c r="M453" s="558">
        <v>3.0</v>
      </c>
      <c r="N453" s="547" t="s">
        <v>178</v>
      </c>
      <c r="O453" s="547" t="s">
        <v>178</v>
      </c>
      <c r="P453" s="547" t="s">
        <v>178</v>
      </c>
      <c r="Q453" s="547" t="s">
        <v>178</v>
      </c>
      <c r="R453" s="547" t="s">
        <v>178</v>
      </c>
      <c r="S453" s="547" t="s">
        <v>178</v>
      </c>
      <c r="T453" s="547" t="s">
        <v>178</v>
      </c>
      <c r="U453" s="547" t="s">
        <v>178</v>
      </c>
      <c r="V453" s="547" t="s">
        <v>178</v>
      </c>
      <c r="W453" s="547" t="s">
        <v>178</v>
      </c>
      <c r="X453" s="312"/>
      <c r="Y453" s="312"/>
      <c r="Z453" s="312"/>
      <c r="AA453" s="243"/>
      <c r="AB453" s="243"/>
      <c r="AC453" s="243"/>
      <c r="AD453" s="243"/>
      <c r="AE453" s="243"/>
      <c r="AF453" s="243"/>
      <c r="AG453" s="243"/>
      <c r="AH453" s="243"/>
      <c r="AI453" s="243"/>
      <c r="AJ453" s="243"/>
      <c r="AK453" s="241"/>
      <c r="AL453" s="241"/>
      <c r="AM453" s="241"/>
      <c r="AN453" s="241"/>
      <c r="AO453" s="241"/>
      <c r="AP453" s="241"/>
      <c r="AQ453" s="241"/>
      <c r="AR453" s="241"/>
    </row>
    <row r="454">
      <c r="A454" s="558">
        <v>4.0</v>
      </c>
      <c r="B454" s="547" t="s">
        <v>178</v>
      </c>
      <c r="C454" s="310">
        <v>1.0</v>
      </c>
      <c r="D454" s="547" t="s">
        <v>178</v>
      </c>
      <c r="E454" s="547" t="s">
        <v>178</v>
      </c>
      <c r="F454" s="547" t="s">
        <v>178</v>
      </c>
      <c r="G454" s="547" t="s">
        <v>178</v>
      </c>
      <c r="H454" s="547" t="s">
        <v>178</v>
      </c>
      <c r="I454" s="547" t="s">
        <v>178</v>
      </c>
      <c r="J454" s="547" t="s">
        <v>178</v>
      </c>
      <c r="K454" s="547" t="s">
        <v>178</v>
      </c>
      <c r="L454" s="310"/>
      <c r="M454" s="558">
        <v>4.0</v>
      </c>
      <c r="N454" s="547" t="s">
        <v>178</v>
      </c>
      <c r="O454" s="590">
        <v>2.0</v>
      </c>
      <c r="P454" s="547" t="s">
        <v>178</v>
      </c>
      <c r="Q454" s="547" t="s">
        <v>178</v>
      </c>
      <c r="R454" s="547" t="s">
        <v>178</v>
      </c>
      <c r="S454" s="547" t="s">
        <v>178</v>
      </c>
      <c r="T454" s="547" t="s">
        <v>178</v>
      </c>
      <c r="U454" s="547" t="s">
        <v>178</v>
      </c>
      <c r="V454" s="547" t="s">
        <v>178</v>
      </c>
      <c r="W454" s="547" t="s">
        <v>178</v>
      </c>
      <c r="X454" s="312"/>
      <c r="Y454" s="312"/>
      <c r="Z454" s="312"/>
      <c r="AA454" s="243"/>
      <c r="AB454" s="243"/>
      <c r="AC454" s="243"/>
      <c r="AD454" s="243"/>
      <c r="AE454" s="243"/>
      <c r="AF454" s="243"/>
      <c r="AG454" s="243"/>
      <c r="AH454" s="243"/>
      <c r="AI454" s="243"/>
      <c r="AJ454" s="243"/>
      <c r="AK454" s="241"/>
      <c r="AL454" s="241"/>
      <c r="AM454" s="241"/>
      <c r="AN454" s="241"/>
      <c r="AO454" s="241"/>
      <c r="AP454" s="241"/>
      <c r="AQ454" s="241"/>
      <c r="AR454" s="241"/>
    </row>
    <row r="455">
      <c r="A455" s="558">
        <v>5.0</v>
      </c>
      <c r="B455" s="547" t="s">
        <v>178</v>
      </c>
      <c r="C455" s="310">
        <v>1.0</v>
      </c>
      <c r="D455" s="547" t="s">
        <v>178</v>
      </c>
      <c r="E455" s="547" t="s">
        <v>178</v>
      </c>
      <c r="F455" s="547" t="s">
        <v>178</v>
      </c>
      <c r="G455" s="547" t="s">
        <v>178</v>
      </c>
      <c r="H455" s="547" t="s">
        <v>178</v>
      </c>
      <c r="I455" s="547" t="s">
        <v>178</v>
      </c>
      <c r="J455" s="547" t="s">
        <v>178</v>
      </c>
      <c r="K455" s="547" t="s">
        <v>178</v>
      </c>
      <c r="L455" s="310"/>
      <c r="M455" s="558">
        <v>5.0</v>
      </c>
      <c r="N455" s="547" t="s">
        <v>178</v>
      </c>
      <c r="O455" s="590">
        <v>3.0</v>
      </c>
      <c r="P455" s="547" t="s">
        <v>178</v>
      </c>
      <c r="Q455" s="547" t="s">
        <v>178</v>
      </c>
      <c r="R455" s="547" t="s">
        <v>178</v>
      </c>
      <c r="S455" s="547" t="s">
        <v>178</v>
      </c>
      <c r="T455" s="547" t="s">
        <v>178</v>
      </c>
      <c r="U455" s="547" t="s">
        <v>178</v>
      </c>
      <c r="V455" s="547" t="s">
        <v>178</v>
      </c>
      <c r="W455" s="547" t="s">
        <v>178</v>
      </c>
      <c r="X455" s="312"/>
      <c r="Y455" s="312"/>
      <c r="Z455" s="312"/>
      <c r="AA455" s="243"/>
      <c r="AB455" s="243"/>
      <c r="AC455" s="243"/>
      <c r="AD455" s="243"/>
      <c r="AE455" s="243"/>
      <c r="AF455" s="243"/>
      <c r="AG455" s="243"/>
      <c r="AH455" s="243"/>
      <c r="AI455" s="243"/>
      <c r="AJ455" s="243"/>
      <c r="AK455" s="241"/>
      <c r="AL455" s="241"/>
      <c r="AM455" s="241"/>
      <c r="AN455" s="241"/>
      <c r="AO455" s="241"/>
      <c r="AP455" s="241"/>
      <c r="AQ455" s="241"/>
      <c r="AR455" s="241"/>
    </row>
    <row r="456">
      <c r="A456" s="558">
        <v>6.0</v>
      </c>
      <c r="B456" s="547" t="s">
        <v>178</v>
      </c>
      <c r="C456" s="310">
        <v>1.0</v>
      </c>
      <c r="D456" s="547" t="s">
        <v>178</v>
      </c>
      <c r="E456" s="547" t="s">
        <v>178</v>
      </c>
      <c r="F456" s="547" t="s">
        <v>178</v>
      </c>
      <c r="G456" s="547" t="s">
        <v>178</v>
      </c>
      <c r="H456" s="547" t="s">
        <v>178</v>
      </c>
      <c r="I456" s="547" t="s">
        <v>178</v>
      </c>
      <c r="J456" s="547" t="s">
        <v>178</v>
      </c>
      <c r="K456" s="547" t="s">
        <v>178</v>
      </c>
      <c r="L456" s="310"/>
      <c r="M456" s="558">
        <v>6.0</v>
      </c>
      <c r="N456" s="547" t="s">
        <v>178</v>
      </c>
      <c r="O456" s="590">
        <v>4.0</v>
      </c>
      <c r="P456" s="547" t="s">
        <v>178</v>
      </c>
      <c r="Q456" s="547" t="s">
        <v>178</v>
      </c>
      <c r="R456" s="547" t="s">
        <v>178</v>
      </c>
      <c r="S456" s="547" t="s">
        <v>178</v>
      </c>
      <c r="T456" s="547" t="s">
        <v>178</v>
      </c>
      <c r="U456" s="547" t="s">
        <v>178</v>
      </c>
      <c r="V456" s="547" t="s">
        <v>178</v>
      </c>
      <c r="W456" s="547" t="s">
        <v>178</v>
      </c>
      <c r="X456" s="312"/>
      <c r="Y456" s="312"/>
      <c r="Z456" s="312"/>
      <c r="AA456" s="243"/>
      <c r="AB456" s="243"/>
      <c r="AC456" s="243"/>
      <c r="AD456" s="243"/>
      <c r="AE456" s="243"/>
      <c r="AF456" s="243"/>
      <c r="AG456" s="243"/>
      <c r="AH456" s="243"/>
      <c r="AI456" s="243"/>
      <c r="AJ456" s="243"/>
      <c r="AK456" s="241"/>
      <c r="AL456" s="241"/>
      <c r="AM456" s="241"/>
      <c r="AN456" s="241"/>
      <c r="AO456" s="241"/>
      <c r="AP456" s="241"/>
      <c r="AQ456" s="241"/>
      <c r="AR456" s="241"/>
    </row>
    <row r="457">
      <c r="A457" s="558">
        <v>7.0</v>
      </c>
      <c r="B457" s="547" t="s">
        <v>178</v>
      </c>
      <c r="C457" s="310">
        <v>1.0</v>
      </c>
      <c r="D457" s="310">
        <v>1.0</v>
      </c>
      <c r="E457" s="547" t="s">
        <v>178</v>
      </c>
      <c r="F457" s="547" t="s">
        <v>178</v>
      </c>
      <c r="G457" s="547" t="s">
        <v>178</v>
      </c>
      <c r="H457" s="547" t="s">
        <v>178</v>
      </c>
      <c r="I457" s="547" t="s">
        <v>178</v>
      </c>
      <c r="J457" s="547" t="s">
        <v>178</v>
      </c>
      <c r="K457" s="547" t="s">
        <v>178</v>
      </c>
      <c r="L457" s="310"/>
      <c r="M457" s="558">
        <v>7.0</v>
      </c>
      <c r="N457" s="547" t="s">
        <v>178</v>
      </c>
      <c r="O457" s="590">
        <v>4.0</v>
      </c>
      <c r="P457" s="590">
        <v>2.0</v>
      </c>
      <c r="Q457" s="547" t="s">
        <v>178</v>
      </c>
      <c r="R457" s="547" t="s">
        <v>178</v>
      </c>
      <c r="S457" s="547" t="s">
        <v>178</v>
      </c>
      <c r="T457" s="547" t="s">
        <v>178</v>
      </c>
      <c r="U457" s="547" t="s">
        <v>178</v>
      </c>
      <c r="V457" s="547" t="s">
        <v>178</v>
      </c>
      <c r="W457" s="547" t="s">
        <v>178</v>
      </c>
      <c r="X457" s="312"/>
      <c r="Y457" s="312"/>
      <c r="Z457" s="312"/>
      <c r="AA457" s="243"/>
      <c r="AB457" s="243"/>
      <c r="AC457" s="243"/>
      <c r="AD457" s="243"/>
      <c r="AE457" s="243"/>
      <c r="AF457" s="243"/>
      <c r="AG457" s="243"/>
      <c r="AH457" s="243"/>
      <c r="AI457" s="243"/>
      <c r="AJ457" s="243"/>
      <c r="AK457" s="241"/>
      <c r="AL457" s="241"/>
      <c r="AM457" s="241"/>
      <c r="AN457" s="241"/>
      <c r="AO457" s="241"/>
      <c r="AP457" s="241"/>
      <c r="AQ457" s="241"/>
      <c r="AR457" s="241"/>
    </row>
    <row r="458">
      <c r="A458" s="558">
        <v>8.0</v>
      </c>
      <c r="B458" s="547" t="s">
        <v>178</v>
      </c>
      <c r="C458" s="310">
        <v>1.0</v>
      </c>
      <c r="D458" s="310">
        <v>1.0</v>
      </c>
      <c r="E458" s="547" t="s">
        <v>178</v>
      </c>
      <c r="F458" s="547" t="s">
        <v>178</v>
      </c>
      <c r="G458" s="547" t="s">
        <v>178</v>
      </c>
      <c r="H458" s="547" t="s">
        <v>178</v>
      </c>
      <c r="I458" s="547" t="s">
        <v>178</v>
      </c>
      <c r="J458" s="547" t="s">
        <v>178</v>
      </c>
      <c r="K458" s="547" t="s">
        <v>178</v>
      </c>
      <c r="L458" s="310"/>
      <c r="M458" s="558">
        <v>8.0</v>
      </c>
      <c r="N458" s="547" t="s">
        <v>178</v>
      </c>
      <c r="O458" s="590">
        <v>4.0</v>
      </c>
      <c r="P458" s="590">
        <v>3.0</v>
      </c>
      <c r="Q458" s="547" t="s">
        <v>178</v>
      </c>
      <c r="R458" s="547" t="s">
        <v>178</v>
      </c>
      <c r="S458" s="547" t="s">
        <v>178</v>
      </c>
      <c r="T458" s="547" t="s">
        <v>178</v>
      </c>
      <c r="U458" s="547" t="s">
        <v>178</v>
      </c>
      <c r="V458" s="547" t="s">
        <v>178</v>
      </c>
      <c r="W458" s="547" t="s">
        <v>178</v>
      </c>
      <c r="X458" s="312"/>
      <c r="Y458" s="312"/>
      <c r="Z458" s="312"/>
      <c r="AA458" s="243"/>
      <c r="AB458" s="243"/>
      <c r="AC458" s="243"/>
      <c r="AD458" s="243"/>
      <c r="AE458" s="243"/>
      <c r="AF458" s="243"/>
      <c r="AG458" s="243"/>
      <c r="AH458" s="243"/>
      <c r="AI458" s="243"/>
      <c r="AJ458" s="243"/>
      <c r="AK458" s="241"/>
      <c r="AL458" s="241"/>
      <c r="AM458" s="241"/>
      <c r="AN458" s="241"/>
      <c r="AO458" s="241"/>
      <c r="AP458" s="241"/>
      <c r="AQ458" s="241"/>
      <c r="AR458" s="241"/>
    </row>
    <row r="459">
      <c r="A459" s="558">
        <v>9.0</v>
      </c>
      <c r="B459" s="547" t="s">
        <v>178</v>
      </c>
      <c r="C459" s="310">
        <v>2.0</v>
      </c>
      <c r="D459" s="310">
        <v>1.0</v>
      </c>
      <c r="E459" s="547" t="s">
        <v>178</v>
      </c>
      <c r="F459" s="547" t="s">
        <v>178</v>
      </c>
      <c r="G459" s="547" t="s">
        <v>178</v>
      </c>
      <c r="H459" s="547" t="s">
        <v>178</v>
      </c>
      <c r="I459" s="547" t="s">
        <v>178</v>
      </c>
      <c r="J459" s="547" t="s">
        <v>178</v>
      </c>
      <c r="K459" s="547" t="s">
        <v>178</v>
      </c>
      <c r="L459" s="310"/>
      <c r="M459" s="558">
        <v>9.0</v>
      </c>
      <c r="N459" s="547" t="s">
        <v>178</v>
      </c>
      <c r="O459" s="590">
        <v>5.0</v>
      </c>
      <c r="P459" s="590">
        <v>4.0</v>
      </c>
      <c r="Q459" s="547" t="s">
        <v>178</v>
      </c>
      <c r="R459" s="547" t="s">
        <v>178</v>
      </c>
      <c r="S459" s="547" t="s">
        <v>178</v>
      </c>
      <c r="T459" s="547" t="s">
        <v>178</v>
      </c>
      <c r="U459" s="547" t="s">
        <v>178</v>
      </c>
      <c r="V459" s="547" t="s">
        <v>178</v>
      </c>
      <c r="W459" s="547" t="s">
        <v>178</v>
      </c>
      <c r="X459" s="312"/>
      <c r="Y459" s="312"/>
      <c r="Z459" s="312"/>
      <c r="AA459" s="243"/>
      <c r="AB459" s="243"/>
      <c r="AC459" s="243"/>
      <c r="AD459" s="243"/>
      <c r="AE459" s="243"/>
      <c r="AF459" s="243"/>
      <c r="AG459" s="243"/>
      <c r="AH459" s="243"/>
      <c r="AI459" s="243"/>
      <c r="AJ459" s="243"/>
      <c r="AK459" s="241"/>
      <c r="AL459" s="241"/>
      <c r="AM459" s="241"/>
      <c r="AN459" s="241"/>
      <c r="AO459" s="241"/>
      <c r="AP459" s="241"/>
      <c r="AQ459" s="241"/>
      <c r="AR459" s="241"/>
    </row>
    <row r="460">
      <c r="A460" s="558">
        <v>10.0</v>
      </c>
      <c r="B460" s="547" t="s">
        <v>178</v>
      </c>
      <c r="C460" s="310">
        <v>2.0</v>
      </c>
      <c r="D460" s="310">
        <v>1.0</v>
      </c>
      <c r="E460" s="310">
        <v>1.0</v>
      </c>
      <c r="F460" s="547" t="s">
        <v>178</v>
      </c>
      <c r="G460" s="547" t="s">
        <v>178</v>
      </c>
      <c r="H460" s="547" t="s">
        <v>178</v>
      </c>
      <c r="I460" s="547" t="s">
        <v>178</v>
      </c>
      <c r="J460" s="547" t="s">
        <v>178</v>
      </c>
      <c r="K460" s="547" t="s">
        <v>178</v>
      </c>
      <c r="L460" s="310"/>
      <c r="M460" s="558">
        <v>10.0</v>
      </c>
      <c r="N460" s="547" t="s">
        <v>178</v>
      </c>
      <c r="O460" s="590">
        <v>5.0</v>
      </c>
      <c r="P460" s="590">
        <v>4.0</v>
      </c>
      <c r="Q460" s="590">
        <v>2.0</v>
      </c>
      <c r="R460" s="547" t="s">
        <v>178</v>
      </c>
      <c r="S460" s="547" t="s">
        <v>178</v>
      </c>
      <c r="T460" s="547" t="s">
        <v>178</v>
      </c>
      <c r="U460" s="547" t="s">
        <v>178</v>
      </c>
      <c r="V460" s="547" t="s">
        <v>178</v>
      </c>
      <c r="W460" s="547" t="s">
        <v>178</v>
      </c>
      <c r="X460" s="312"/>
      <c r="Y460" s="312"/>
      <c r="Z460" s="312"/>
      <c r="AA460" s="243"/>
      <c r="AB460" s="243"/>
      <c r="AC460" s="243"/>
      <c r="AD460" s="243"/>
      <c r="AE460" s="243"/>
      <c r="AF460" s="243"/>
      <c r="AG460" s="243"/>
      <c r="AH460" s="243"/>
      <c r="AI460" s="243"/>
      <c r="AJ460" s="243"/>
      <c r="AK460" s="241"/>
      <c r="AL460" s="241"/>
      <c r="AM460" s="241"/>
      <c r="AN460" s="241"/>
      <c r="AO460" s="241"/>
      <c r="AP460" s="241"/>
      <c r="AQ460" s="241"/>
      <c r="AR460" s="241"/>
    </row>
    <row r="461">
      <c r="A461" s="558">
        <v>11.0</v>
      </c>
      <c r="B461" s="547" t="s">
        <v>178</v>
      </c>
      <c r="C461" s="310">
        <v>2.0</v>
      </c>
      <c r="D461" s="310">
        <v>1.0</v>
      </c>
      <c r="E461" s="310">
        <v>1.0</v>
      </c>
      <c r="F461" s="547" t="s">
        <v>178</v>
      </c>
      <c r="G461" s="547" t="s">
        <v>178</v>
      </c>
      <c r="H461" s="547" t="s">
        <v>178</v>
      </c>
      <c r="I461" s="547" t="s">
        <v>178</v>
      </c>
      <c r="J461" s="547" t="s">
        <v>178</v>
      </c>
      <c r="K461" s="547" t="s">
        <v>178</v>
      </c>
      <c r="L461" s="310"/>
      <c r="M461" s="558">
        <v>11.0</v>
      </c>
      <c r="N461" s="547" t="s">
        <v>178</v>
      </c>
      <c r="O461" s="590">
        <v>5.0</v>
      </c>
      <c r="P461" s="590">
        <v>4.0</v>
      </c>
      <c r="Q461" s="590">
        <v>3.0</v>
      </c>
      <c r="R461" s="547" t="s">
        <v>178</v>
      </c>
      <c r="S461" s="547" t="s">
        <v>178</v>
      </c>
      <c r="T461" s="547" t="s">
        <v>178</v>
      </c>
      <c r="U461" s="547" t="s">
        <v>178</v>
      </c>
      <c r="V461" s="547" t="s">
        <v>178</v>
      </c>
      <c r="W461" s="547" t="s">
        <v>178</v>
      </c>
      <c r="X461" s="312"/>
      <c r="Y461" s="312"/>
      <c r="Z461" s="312"/>
      <c r="AA461" s="243"/>
      <c r="AB461" s="243"/>
      <c r="AC461" s="243"/>
      <c r="AD461" s="243"/>
      <c r="AE461" s="243"/>
      <c r="AF461" s="243"/>
      <c r="AG461" s="243"/>
      <c r="AH461" s="243"/>
      <c r="AI461" s="243"/>
      <c r="AJ461" s="243"/>
      <c r="AK461" s="241"/>
      <c r="AL461" s="241"/>
      <c r="AM461" s="241"/>
      <c r="AN461" s="241"/>
      <c r="AO461" s="241"/>
      <c r="AP461" s="241"/>
      <c r="AQ461" s="241"/>
      <c r="AR461" s="241"/>
    </row>
    <row r="462">
      <c r="A462" s="558">
        <v>12.0</v>
      </c>
      <c r="B462" s="547" t="s">
        <v>178</v>
      </c>
      <c r="C462" s="310">
        <v>2.0</v>
      </c>
      <c r="D462" s="310">
        <v>2.0</v>
      </c>
      <c r="E462" s="310">
        <v>1.0</v>
      </c>
      <c r="F462" s="547" t="s">
        <v>178</v>
      </c>
      <c r="G462" s="547" t="s">
        <v>178</v>
      </c>
      <c r="H462" s="547" t="s">
        <v>178</v>
      </c>
      <c r="I462" s="547" t="s">
        <v>178</v>
      </c>
      <c r="J462" s="547" t="s">
        <v>178</v>
      </c>
      <c r="K462" s="547" t="s">
        <v>178</v>
      </c>
      <c r="L462" s="310"/>
      <c r="M462" s="558">
        <v>12.0</v>
      </c>
      <c r="N462" s="547" t="s">
        <v>178</v>
      </c>
      <c r="O462" s="590">
        <v>6.0</v>
      </c>
      <c r="P462" s="590">
        <v>5.0</v>
      </c>
      <c r="Q462" s="590">
        <v>4.0</v>
      </c>
      <c r="R462" s="547" t="s">
        <v>178</v>
      </c>
      <c r="S462" s="547" t="s">
        <v>178</v>
      </c>
      <c r="T462" s="547" t="s">
        <v>178</v>
      </c>
      <c r="U462" s="547" t="s">
        <v>178</v>
      </c>
      <c r="V462" s="547" t="s">
        <v>178</v>
      </c>
      <c r="W462" s="547" t="s">
        <v>178</v>
      </c>
      <c r="X462" s="312"/>
      <c r="Y462" s="312"/>
      <c r="Z462" s="312"/>
      <c r="AA462" s="243"/>
      <c r="AB462" s="243"/>
      <c r="AC462" s="243"/>
      <c r="AD462" s="243"/>
      <c r="AE462" s="243"/>
      <c r="AF462" s="243"/>
      <c r="AG462" s="243"/>
      <c r="AH462" s="243"/>
      <c r="AI462" s="243"/>
      <c r="AJ462" s="243"/>
      <c r="AK462" s="241"/>
      <c r="AL462" s="241"/>
      <c r="AM462" s="241"/>
      <c r="AN462" s="241"/>
      <c r="AO462" s="241"/>
      <c r="AP462" s="241"/>
      <c r="AQ462" s="241"/>
      <c r="AR462" s="241"/>
    </row>
    <row r="463">
      <c r="A463" s="558">
        <v>13.0</v>
      </c>
      <c r="B463" s="547" t="s">
        <v>178</v>
      </c>
      <c r="C463" s="310">
        <v>3.0</v>
      </c>
      <c r="D463" s="310">
        <v>2.0</v>
      </c>
      <c r="E463" s="310">
        <v>1.0</v>
      </c>
      <c r="F463" s="310">
        <v>1.0</v>
      </c>
      <c r="G463" s="547" t="s">
        <v>178</v>
      </c>
      <c r="H463" s="547" t="s">
        <v>178</v>
      </c>
      <c r="I463" s="547" t="s">
        <v>178</v>
      </c>
      <c r="J463" s="547" t="s">
        <v>178</v>
      </c>
      <c r="K463" s="547" t="s">
        <v>178</v>
      </c>
      <c r="L463" s="310"/>
      <c r="M463" s="558">
        <v>13.0</v>
      </c>
      <c r="N463" s="547" t="s">
        <v>178</v>
      </c>
      <c r="O463" s="590">
        <v>6.0</v>
      </c>
      <c r="P463" s="590">
        <v>5.0</v>
      </c>
      <c r="Q463" s="590">
        <v>4.0</v>
      </c>
      <c r="R463" s="590">
        <v>2.0</v>
      </c>
      <c r="S463" s="547" t="s">
        <v>178</v>
      </c>
      <c r="T463" s="547" t="s">
        <v>178</v>
      </c>
      <c r="U463" s="547" t="s">
        <v>178</v>
      </c>
      <c r="V463" s="547" t="s">
        <v>178</v>
      </c>
      <c r="W463" s="547" t="s">
        <v>178</v>
      </c>
      <c r="X463" s="312"/>
      <c r="Y463" s="312"/>
      <c r="Z463" s="312"/>
      <c r="AA463" s="243"/>
      <c r="AB463" s="243"/>
      <c r="AC463" s="243"/>
      <c r="AD463" s="243"/>
      <c r="AE463" s="243"/>
      <c r="AF463" s="243"/>
      <c r="AG463" s="243"/>
      <c r="AH463" s="243"/>
      <c r="AI463" s="243"/>
      <c r="AJ463" s="243"/>
      <c r="AK463" s="241"/>
      <c r="AL463" s="241"/>
      <c r="AM463" s="241"/>
      <c r="AN463" s="241"/>
      <c r="AO463" s="241"/>
      <c r="AP463" s="241"/>
      <c r="AQ463" s="241"/>
      <c r="AR463" s="241"/>
    </row>
    <row r="464">
      <c r="A464" s="558">
        <v>14.0</v>
      </c>
      <c r="B464" s="547" t="s">
        <v>178</v>
      </c>
      <c r="C464" s="310">
        <v>3.0</v>
      </c>
      <c r="D464" s="310">
        <v>2.0</v>
      </c>
      <c r="E464" s="310">
        <v>1.0</v>
      </c>
      <c r="F464" s="310">
        <v>1.0</v>
      </c>
      <c r="G464" s="547" t="s">
        <v>178</v>
      </c>
      <c r="H464" s="547" t="s">
        <v>178</v>
      </c>
      <c r="I464" s="547" t="s">
        <v>178</v>
      </c>
      <c r="J464" s="547" t="s">
        <v>178</v>
      </c>
      <c r="K464" s="547" t="s">
        <v>178</v>
      </c>
      <c r="L464" s="310"/>
      <c r="M464" s="558">
        <v>14.0</v>
      </c>
      <c r="N464" s="547" t="s">
        <v>178</v>
      </c>
      <c r="O464" s="590">
        <v>6.0</v>
      </c>
      <c r="P464" s="590">
        <v>5.0</v>
      </c>
      <c r="Q464" s="590">
        <v>4.0</v>
      </c>
      <c r="R464" s="590">
        <v>3.0</v>
      </c>
      <c r="S464" s="547" t="s">
        <v>178</v>
      </c>
      <c r="T464" s="547" t="s">
        <v>178</v>
      </c>
      <c r="U464" s="547" t="s">
        <v>178</v>
      </c>
      <c r="V464" s="547" t="s">
        <v>178</v>
      </c>
      <c r="W464" s="547" t="s">
        <v>178</v>
      </c>
      <c r="X464" s="312"/>
      <c r="Y464" s="312"/>
      <c r="Z464" s="312"/>
      <c r="AA464" s="243"/>
      <c r="AB464" s="243"/>
      <c r="AC464" s="243"/>
      <c r="AD464" s="243"/>
      <c r="AE464" s="243"/>
      <c r="AF464" s="243"/>
      <c r="AG464" s="243"/>
      <c r="AH464" s="243"/>
      <c r="AI464" s="243"/>
      <c r="AJ464" s="243"/>
      <c r="AK464" s="241"/>
      <c r="AL464" s="241"/>
      <c r="AM464" s="241"/>
      <c r="AN464" s="241"/>
      <c r="AO464" s="241"/>
      <c r="AP464" s="241"/>
      <c r="AQ464" s="241"/>
      <c r="AR464" s="241"/>
    </row>
    <row r="465">
      <c r="A465" s="558">
        <v>15.0</v>
      </c>
      <c r="B465" s="547" t="s">
        <v>178</v>
      </c>
      <c r="C465" s="310">
        <v>3.0</v>
      </c>
      <c r="D465" s="310">
        <v>2.0</v>
      </c>
      <c r="E465" s="310">
        <v>2.0</v>
      </c>
      <c r="F465" s="310">
        <v>1.0</v>
      </c>
      <c r="G465" s="547" t="s">
        <v>178</v>
      </c>
      <c r="H465" s="547" t="s">
        <v>178</v>
      </c>
      <c r="I465" s="547" t="s">
        <v>178</v>
      </c>
      <c r="J465" s="547" t="s">
        <v>178</v>
      </c>
      <c r="K465" s="547" t="s">
        <v>178</v>
      </c>
      <c r="L465" s="310"/>
      <c r="M465" s="558">
        <v>15.0</v>
      </c>
      <c r="N465" s="547" t="s">
        <v>178</v>
      </c>
      <c r="O465" s="590">
        <v>6.0</v>
      </c>
      <c r="P465" s="590">
        <v>6.0</v>
      </c>
      <c r="Q465" s="590">
        <v>5.0</v>
      </c>
      <c r="R465" s="590">
        <v>4.0</v>
      </c>
      <c r="S465" s="547" t="s">
        <v>178</v>
      </c>
      <c r="T465" s="547" t="s">
        <v>178</v>
      </c>
      <c r="U465" s="547" t="s">
        <v>178</v>
      </c>
      <c r="V465" s="547" t="s">
        <v>178</v>
      </c>
      <c r="W465" s="547" t="s">
        <v>178</v>
      </c>
      <c r="X465" s="312"/>
      <c r="Y465" s="312"/>
      <c r="Z465" s="312"/>
      <c r="AA465" s="243"/>
      <c r="AB465" s="243"/>
      <c r="AC465" s="243"/>
      <c r="AD465" s="243"/>
      <c r="AE465" s="243"/>
      <c r="AF465" s="243"/>
      <c r="AG465" s="243"/>
      <c r="AH465" s="243"/>
      <c r="AI465" s="243"/>
      <c r="AJ465" s="243"/>
      <c r="AK465" s="241"/>
      <c r="AL465" s="241"/>
      <c r="AM465" s="241"/>
      <c r="AN465" s="241"/>
      <c r="AO465" s="241"/>
      <c r="AP465" s="241"/>
      <c r="AQ465" s="241"/>
      <c r="AR465" s="241"/>
    </row>
    <row r="466">
      <c r="A466" s="558">
        <v>16.0</v>
      </c>
      <c r="B466" s="547" t="s">
        <v>178</v>
      </c>
      <c r="C466" s="310">
        <v>3.0</v>
      </c>
      <c r="D466" s="310">
        <v>3.0</v>
      </c>
      <c r="E466" s="310">
        <v>2.0</v>
      </c>
      <c r="F466" s="310">
        <v>1.0</v>
      </c>
      <c r="G466" s="547" t="s">
        <v>178</v>
      </c>
      <c r="H466" s="547" t="s">
        <v>178</v>
      </c>
      <c r="I466" s="547" t="s">
        <v>178</v>
      </c>
      <c r="J466" s="547" t="s">
        <v>178</v>
      </c>
      <c r="K466" s="547" t="s">
        <v>178</v>
      </c>
      <c r="L466" s="310"/>
      <c r="M466" s="558">
        <v>16.0</v>
      </c>
      <c r="N466" s="547" t="s">
        <v>178</v>
      </c>
      <c r="O466" s="590">
        <v>6.0</v>
      </c>
      <c r="P466" s="590">
        <v>6.0</v>
      </c>
      <c r="Q466" s="590">
        <v>5.0</v>
      </c>
      <c r="R466" s="590">
        <v>4.0</v>
      </c>
      <c r="S466" s="547" t="s">
        <v>178</v>
      </c>
      <c r="T466" s="547" t="s">
        <v>178</v>
      </c>
      <c r="U466" s="547" t="s">
        <v>178</v>
      </c>
      <c r="V466" s="547" t="s">
        <v>178</v>
      </c>
      <c r="W466" s="547" t="s">
        <v>178</v>
      </c>
      <c r="X466" s="312"/>
      <c r="Y466" s="312"/>
      <c r="Z466" s="312"/>
      <c r="AA466" s="243"/>
      <c r="AB466" s="243"/>
      <c r="AC466" s="243"/>
      <c r="AD466" s="243"/>
      <c r="AE466" s="243"/>
      <c r="AF466" s="243"/>
      <c r="AG466" s="243"/>
      <c r="AH466" s="243"/>
      <c r="AI466" s="243"/>
      <c r="AJ466" s="243"/>
      <c r="AK466" s="241"/>
      <c r="AL466" s="241"/>
      <c r="AM466" s="241"/>
      <c r="AN466" s="241"/>
      <c r="AO466" s="241"/>
      <c r="AP466" s="241"/>
      <c r="AQ466" s="241"/>
      <c r="AR466" s="241"/>
    </row>
    <row r="467">
      <c r="A467" s="558">
        <v>17.0</v>
      </c>
      <c r="B467" s="547" t="s">
        <v>178</v>
      </c>
      <c r="C467" s="310">
        <v>4.0</v>
      </c>
      <c r="D467" s="310">
        <v>3.0</v>
      </c>
      <c r="E467" s="310">
        <v>2.0</v>
      </c>
      <c r="F467" s="310">
        <v>1.0</v>
      </c>
      <c r="G467" s="547" t="s">
        <v>178</v>
      </c>
      <c r="H467" s="547" t="s">
        <v>178</v>
      </c>
      <c r="I467" s="547" t="s">
        <v>178</v>
      </c>
      <c r="J467" s="547" t="s">
        <v>178</v>
      </c>
      <c r="K467" s="547" t="s">
        <v>178</v>
      </c>
      <c r="L467" s="310"/>
      <c r="M467" s="558">
        <v>17.0</v>
      </c>
      <c r="N467" s="547" t="s">
        <v>178</v>
      </c>
      <c r="O467" s="590">
        <v>6.0</v>
      </c>
      <c r="P467" s="590">
        <v>6.0</v>
      </c>
      <c r="Q467" s="590">
        <v>5.0</v>
      </c>
      <c r="R467" s="590">
        <v>4.0</v>
      </c>
      <c r="S467" s="547" t="s">
        <v>178</v>
      </c>
      <c r="T467" s="547" t="s">
        <v>178</v>
      </c>
      <c r="U467" s="547" t="s">
        <v>178</v>
      </c>
      <c r="V467" s="547" t="s">
        <v>178</v>
      </c>
      <c r="W467" s="547" t="s">
        <v>178</v>
      </c>
      <c r="X467" s="312"/>
      <c r="Y467" s="312"/>
      <c r="Z467" s="312"/>
      <c r="AA467" s="243"/>
      <c r="AB467" s="243"/>
      <c r="AC467" s="243"/>
      <c r="AD467" s="243"/>
      <c r="AE467" s="243"/>
      <c r="AF467" s="243"/>
      <c r="AG467" s="243"/>
      <c r="AH467" s="243"/>
      <c r="AI467" s="243"/>
      <c r="AJ467" s="243"/>
      <c r="AK467" s="241"/>
      <c r="AL467" s="241"/>
      <c r="AM467" s="241"/>
      <c r="AN467" s="241"/>
      <c r="AO467" s="241"/>
      <c r="AP467" s="241"/>
      <c r="AQ467" s="241"/>
      <c r="AR467" s="241"/>
    </row>
    <row r="468">
      <c r="A468" s="558">
        <v>18.0</v>
      </c>
      <c r="B468" s="547" t="s">
        <v>178</v>
      </c>
      <c r="C468" s="310">
        <v>4.0</v>
      </c>
      <c r="D468" s="310">
        <v>3.0</v>
      </c>
      <c r="E468" s="310">
        <v>2.0</v>
      </c>
      <c r="F468" s="310">
        <v>2.0</v>
      </c>
      <c r="G468" s="547" t="s">
        <v>178</v>
      </c>
      <c r="H468" s="547" t="s">
        <v>178</v>
      </c>
      <c r="I468" s="547" t="s">
        <v>178</v>
      </c>
      <c r="J468" s="547" t="s">
        <v>178</v>
      </c>
      <c r="K468" s="547" t="s">
        <v>178</v>
      </c>
      <c r="L468" s="310"/>
      <c r="M468" s="558">
        <v>18.0</v>
      </c>
      <c r="N468" s="547" t="s">
        <v>178</v>
      </c>
      <c r="O468" s="590">
        <v>6.0</v>
      </c>
      <c r="P468" s="590">
        <v>6.0</v>
      </c>
      <c r="Q468" s="590">
        <v>6.0</v>
      </c>
      <c r="R468" s="590">
        <v>5.0</v>
      </c>
      <c r="S468" s="547" t="s">
        <v>178</v>
      </c>
      <c r="T468" s="547" t="s">
        <v>178</v>
      </c>
      <c r="U468" s="547" t="s">
        <v>178</v>
      </c>
      <c r="V468" s="547" t="s">
        <v>178</v>
      </c>
      <c r="W468" s="547" t="s">
        <v>178</v>
      </c>
      <c r="X468" s="312"/>
      <c r="Y468" s="312"/>
      <c r="Z468" s="312"/>
      <c r="AA468" s="243"/>
      <c r="AB468" s="243"/>
      <c r="AC468" s="243"/>
      <c r="AD468" s="243"/>
      <c r="AE468" s="243"/>
      <c r="AF468" s="243"/>
      <c r="AG468" s="243"/>
      <c r="AH468" s="243"/>
      <c r="AI468" s="243"/>
      <c r="AJ468" s="243"/>
      <c r="AK468" s="241"/>
      <c r="AL468" s="241"/>
      <c r="AM468" s="241"/>
      <c r="AN468" s="241"/>
      <c r="AO468" s="241"/>
      <c r="AP468" s="241"/>
      <c r="AQ468" s="241"/>
      <c r="AR468" s="241"/>
    </row>
    <row r="469">
      <c r="A469" s="558">
        <v>19.0</v>
      </c>
      <c r="B469" s="547" t="s">
        <v>178</v>
      </c>
      <c r="C469" s="310">
        <v>4.0</v>
      </c>
      <c r="D469" s="310">
        <v>3.0</v>
      </c>
      <c r="E469" s="310">
        <v>3.0</v>
      </c>
      <c r="F469" s="310">
        <v>2.0</v>
      </c>
      <c r="G469" s="547" t="s">
        <v>178</v>
      </c>
      <c r="H469" s="547" t="s">
        <v>178</v>
      </c>
      <c r="I469" s="547" t="s">
        <v>178</v>
      </c>
      <c r="J469" s="547" t="s">
        <v>178</v>
      </c>
      <c r="K469" s="547" t="s">
        <v>178</v>
      </c>
      <c r="L469" s="310"/>
      <c r="M469" s="558">
        <v>19.0</v>
      </c>
      <c r="N469" s="547" t="s">
        <v>178</v>
      </c>
      <c r="O469" s="590">
        <v>6.0</v>
      </c>
      <c r="P469" s="590">
        <v>6.0</v>
      </c>
      <c r="Q469" s="590">
        <v>6.0</v>
      </c>
      <c r="R469" s="590">
        <v>5.0</v>
      </c>
      <c r="S469" s="547" t="s">
        <v>178</v>
      </c>
      <c r="T469" s="547" t="s">
        <v>178</v>
      </c>
      <c r="U469" s="547" t="s">
        <v>178</v>
      </c>
      <c r="V469" s="547" t="s">
        <v>178</v>
      </c>
      <c r="W469" s="547" t="s">
        <v>178</v>
      </c>
      <c r="X469" s="312"/>
      <c r="Y469" s="312"/>
      <c r="Z469" s="312"/>
      <c r="AA469" s="243"/>
      <c r="AB469" s="243"/>
      <c r="AC469" s="243"/>
      <c r="AD469" s="243"/>
      <c r="AE469" s="243"/>
      <c r="AF469" s="243"/>
      <c r="AG469" s="243"/>
      <c r="AH469" s="243"/>
      <c r="AI469" s="243"/>
      <c r="AJ469" s="243"/>
      <c r="AK469" s="241"/>
      <c r="AL469" s="241"/>
      <c r="AM469" s="241"/>
      <c r="AN469" s="241"/>
      <c r="AO469" s="241"/>
      <c r="AP469" s="241"/>
      <c r="AQ469" s="241"/>
      <c r="AR469" s="241"/>
    </row>
    <row r="470">
      <c r="A470" s="558">
        <v>20.0</v>
      </c>
      <c r="B470" s="547" t="s">
        <v>178</v>
      </c>
      <c r="C470" s="310">
        <v>4.0</v>
      </c>
      <c r="D470" s="310">
        <v>4.0</v>
      </c>
      <c r="E470" s="310">
        <v>3.0</v>
      </c>
      <c r="F470" s="310">
        <v>2.0</v>
      </c>
      <c r="G470" s="547" t="s">
        <v>178</v>
      </c>
      <c r="H470" s="547" t="s">
        <v>178</v>
      </c>
      <c r="I470" s="547" t="s">
        <v>178</v>
      </c>
      <c r="J470" s="547" t="s">
        <v>178</v>
      </c>
      <c r="K470" s="547" t="s">
        <v>178</v>
      </c>
      <c r="L470" s="310"/>
      <c r="M470" s="558">
        <v>20.0</v>
      </c>
      <c r="N470" s="547" t="s">
        <v>178</v>
      </c>
      <c r="O470" s="310">
        <v>6.0</v>
      </c>
      <c r="P470" s="590">
        <v>6.0</v>
      </c>
      <c r="Q470" s="590">
        <v>6.0</v>
      </c>
      <c r="R470" s="590">
        <v>5.0</v>
      </c>
      <c r="S470" s="547" t="s">
        <v>178</v>
      </c>
      <c r="T470" s="547" t="s">
        <v>178</v>
      </c>
      <c r="U470" s="547" t="s">
        <v>178</v>
      </c>
      <c r="V470" s="547" t="s">
        <v>178</v>
      </c>
      <c r="W470" s="547" t="s">
        <v>178</v>
      </c>
      <c r="X470" s="241"/>
      <c r="Y470" s="241"/>
      <c r="Z470" s="241"/>
      <c r="AA470" s="241"/>
      <c r="AB470" s="241"/>
      <c r="AC470" s="241"/>
      <c r="AD470" s="241"/>
      <c r="AE470" s="241"/>
      <c r="AF470" s="241"/>
      <c r="AG470" s="241"/>
      <c r="AH470" s="241"/>
      <c r="AI470" s="243"/>
      <c r="AJ470" s="243"/>
      <c r="AK470" s="241"/>
      <c r="AL470" s="241"/>
      <c r="AM470" s="241"/>
      <c r="AN470" s="241"/>
      <c r="AO470" s="241"/>
      <c r="AP470" s="241"/>
      <c r="AQ470" s="241"/>
      <c r="AR470" s="241"/>
    </row>
    <row r="471">
      <c r="A471" s="547"/>
      <c r="B471" s="547"/>
      <c r="C471" s="310"/>
      <c r="D471" s="310"/>
      <c r="E471" s="310"/>
      <c r="F471" s="310"/>
      <c r="G471" s="547"/>
      <c r="H471" s="547"/>
      <c r="I471" s="547"/>
      <c r="J471" s="547"/>
      <c r="K471" s="547"/>
      <c r="L471" s="310"/>
      <c r="M471" s="310"/>
      <c r="N471" s="547"/>
      <c r="O471" s="310"/>
      <c r="P471" s="590"/>
      <c r="Q471" s="590"/>
      <c r="R471" s="590"/>
      <c r="S471" s="547"/>
      <c r="T471" s="547"/>
      <c r="U471" s="547"/>
      <c r="V471" s="547"/>
      <c r="W471" s="547"/>
      <c r="X471" s="241"/>
      <c r="Y471" s="241"/>
      <c r="Z471" s="241"/>
      <c r="AA471" s="241"/>
      <c r="AB471" s="241"/>
      <c r="AC471" s="241"/>
      <c r="AD471" s="241"/>
      <c r="AE471" s="241"/>
      <c r="AF471" s="241"/>
      <c r="AG471" s="241"/>
      <c r="AH471" s="241"/>
      <c r="AI471" s="243"/>
      <c r="AJ471" s="243"/>
      <c r="AK471" s="241"/>
      <c r="AL471" s="241"/>
      <c r="AM471" s="241"/>
      <c r="AN471" s="241"/>
      <c r="AO471" s="241"/>
      <c r="AP471" s="241"/>
      <c r="AQ471" s="241"/>
      <c r="AR471" s="241"/>
    </row>
    <row r="472">
      <c r="A472" s="554"/>
      <c r="B472" s="554" t="s">
        <v>688</v>
      </c>
      <c r="C472" s="310"/>
      <c r="D472" s="310"/>
      <c r="E472" s="310"/>
      <c r="F472" s="310"/>
      <c r="G472" s="310"/>
      <c r="H472" s="310"/>
      <c r="I472" s="310"/>
      <c r="J472" s="241"/>
      <c r="K472" s="241"/>
      <c r="L472" s="547"/>
      <c r="M472" s="547"/>
      <c r="N472" s="549"/>
      <c r="O472" s="571"/>
      <c r="P472" s="312"/>
      <c r="Q472" s="312"/>
      <c r="R472" s="312"/>
      <c r="S472" s="312"/>
      <c r="T472" s="312"/>
      <c r="U472" s="312"/>
      <c r="V472" s="312"/>
      <c r="W472" s="312"/>
      <c r="X472" s="241"/>
      <c r="Y472" s="241"/>
      <c r="Z472" s="241"/>
      <c r="AA472" s="241"/>
      <c r="AB472" s="241"/>
      <c r="AC472" s="241"/>
      <c r="AD472" s="241"/>
      <c r="AE472" s="241"/>
      <c r="AF472" s="241"/>
      <c r="AG472" s="241"/>
      <c r="AH472" s="241"/>
      <c r="AI472" s="243"/>
      <c r="AJ472" s="243"/>
      <c r="AK472" s="241"/>
      <c r="AL472" s="241"/>
      <c r="AM472" s="241"/>
      <c r="AN472" s="241"/>
      <c r="AO472" s="241"/>
      <c r="AP472" s="241"/>
      <c r="AQ472" s="241"/>
      <c r="AR472" s="241"/>
    </row>
    <row r="473">
      <c r="A473" s="554" t="s">
        <v>660</v>
      </c>
      <c r="B473" s="555">
        <v>0.0</v>
      </c>
      <c r="C473" s="556">
        <v>1.0</v>
      </c>
      <c r="D473" s="310">
        <v>2.0</v>
      </c>
      <c r="E473" s="310">
        <v>3.0</v>
      </c>
      <c r="F473" s="310">
        <v>4.0</v>
      </c>
      <c r="G473" s="310">
        <v>5.0</v>
      </c>
      <c r="H473" s="310">
        <v>6.0</v>
      </c>
      <c r="I473" s="310">
        <v>7.0</v>
      </c>
      <c r="J473" s="310">
        <v>8.0</v>
      </c>
      <c r="K473" s="310">
        <v>9.0</v>
      </c>
      <c r="L473" s="310"/>
      <c r="M473" s="554"/>
      <c r="N473" s="555"/>
      <c r="O473" s="556"/>
      <c r="P473" s="310"/>
      <c r="Q473" s="310"/>
      <c r="R473" s="310"/>
      <c r="S473" s="310"/>
      <c r="T473" s="310"/>
      <c r="U473" s="310"/>
      <c r="V473" s="310"/>
      <c r="W473" s="310"/>
      <c r="X473" s="241"/>
      <c r="Y473" s="241"/>
      <c r="Z473" s="241"/>
      <c r="AA473" s="241"/>
      <c r="AB473" s="241"/>
      <c r="AC473" s="241"/>
      <c r="AD473" s="241"/>
      <c r="AE473" s="241"/>
      <c r="AF473" s="241"/>
      <c r="AG473" s="241"/>
      <c r="AH473" s="241"/>
      <c r="AI473" s="243"/>
      <c r="AJ473" s="243"/>
      <c r="AK473" s="241"/>
      <c r="AL473" s="241"/>
      <c r="AM473" s="241"/>
      <c r="AN473" s="241"/>
      <c r="AO473" s="241"/>
      <c r="AP473" s="241"/>
      <c r="AQ473" s="241"/>
      <c r="AR473" s="241"/>
    </row>
    <row r="474">
      <c r="A474" s="558">
        <v>1.0</v>
      </c>
      <c r="B474" s="310">
        <v>3.0</v>
      </c>
      <c r="C474" s="310">
        <v>1.0</v>
      </c>
      <c r="D474" s="547" t="s">
        <v>178</v>
      </c>
      <c r="E474" s="547" t="s">
        <v>178</v>
      </c>
      <c r="F474" s="547" t="s">
        <v>178</v>
      </c>
      <c r="G474" s="547" t="s">
        <v>178</v>
      </c>
      <c r="H474" s="547" t="s">
        <v>178</v>
      </c>
      <c r="I474" s="547" t="s">
        <v>178</v>
      </c>
      <c r="J474" s="547" t="s">
        <v>178</v>
      </c>
      <c r="K474" s="547" t="s">
        <v>178</v>
      </c>
      <c r="L474" s="310"/>
      <c r="M474" s="558"/>
      <c r="N474" s="547"/>
      <c r="O474" s="547"/>
      <c r="P474" s="547"/>
      <c r="Q474" s="547"/>
      <c r="R474" s="547"/>
      <c r="S474" s="547"/>
      <c r="T474" s="547"/>
      <c r="U474" s="547"/>
      <c r="V474" s="547"/>
      <c r="W474" s="547"/>
      <c r="X474" s="241"/>
      <c r="Y474" s="241"/>
      <c r="Z474" s="241"/>
      <c r="AA474" s="241"/>
      <c r="AB474" s="241"/>
      <c r="AC474" s="241"/>
      <c r="AD474" s="241"/>
      <c r="AE474" s="241"/>
      <c r="AF474" s="241"/>
      <c r="AG474" s="241"/>
      <c r="AH474" s="241"/>
      <c r="AI474" s="243"/>
      <c r="AJ474" s="243"/>
      <c r="AK474" s="241"/>
      <c r="AL474" s="241"/>
      <c r="AM474" s="241"/>
      <c r="AN474" s="241"/>
      <c r="AO474" s="241"/>
      <c r="AP474" s="241"/>
      <c r="AQ474" s="241"/>
      <c r="AR474" s="241"/>
    </row>
    <row r="475">
      <c r="A475" s="558">
        <v>2.0</v>
      </c>
      <c r="B475" s="310">
        <v>3.0</v>
      </c>
      <c r="C475" s="310">
        <v>1.0</v>
      </c>
      <c r="D475" s="547" t="s">
        <v>178</v>
      </c>
      <c r="E475" s="547" t="s">
        <v>178</v>
      </c>
      <c r="F475" s="547" t="s">
        <v>178</v>
      </c>
      <c r="G475" s="547" t="s">
        <v>178</v>
      </c>
      <c r="H475" s="547" t="s">
        <v>178</v>
      </c>
      <c r="I475" s="547" t="s">
        <v>178</v>
      </c>
      <c r="J475" s="547" t="s">
        <v>178</v>
      </c>
      <c r="K475" s="547" t="s">
        <v>178</v>
      </c>
      <c r="L475" s="310"/>
      <c r="M475" s="558"/>
      <c r="N475" s="547"/>
      <c r="O475" s="547"/>
      <c r="P475" s="547"/>
      <c r="Q475" s="547"/>
      <c r="R475" s="547"/>
      <c r="S475" s="547"/>
      <c r="T475" s="547"/>
      <c r="U475" s="547"/>
      <c r="V475" s="547"/>
      <c r="W475" s="547"/>
      <c r="X475" s="241"/>
      <c r="Y475" s="241"/>
      <c r="Z475" s="241"/>
      <c r="AA475" s="241"/>
      <c r="AB475" s="241"/>
      <c r="AC475" s="241"/>
      <c r="AD475" s="241"/>
      <c r="AE475" s="241"/>
      <c r="AF475" s="241"/>
      <c r="AG475" s="241"/>
      <c r="AH475" s="241"/>
      <c r="AI475" s="243"/>
      <c r="AJ475" s="243"/>
      <c r="AK475" s="241"/>
      <c r="AL475" s="241"/>
      <c r="AM475" s="241"/>
      <c r="AN475" s="241"/>
      <c r="AO475" s="241"/>
      <c r="AP475" s="241"/>
      <c r="AQ475" s="241"/>
      <c r="AR475" s="241"/>
    </row>
    <row r="476">
      <c r="A476" s="558">
        <v>3.0</v>
      </c>
      <c r="B476" s="310">
        <v>3.0</v>
      </c>
      <c r="C476" s="310">
        <v>2.0</v>
      </c>
      <c r="D476" s="547" t="s">
        <v>178</v>
      </c>
      <c r="E476" s="547" t="s">
        <v>178</v>
      </c>
      <c r="F476" s="547" t="s">
        <v>178</v>
      </c>
      <c r="G476" s="547" t="s">
        <v>178</v>
      </c>
      <c r="H476" s="547" t="s">
        <v>178</v>
      </c>
      <c r="I476" s="547" t="s">
        <v>178</v>
      </c>
      <c r="J476" s="547" t="s">
        <v>178</v>
      </c>
      <c r="K476" s="547" t="s">
        <v>178</v>
      </c>
      <c r="L476" s="310"/>
      <c r="M476" s="558"/>
      <c r="N476" s="547"/>
      <c r="O476" s="547"/>
      <c r="P476" s="547"/>
      <c r="Q476" s="547"/>
      <c r="R476" s="547"/>
      <c r="S476" s="547"/>
      <c r="T476" s="547"/>
      <c r="U476" s="547"/>
      <c r="V476" s="547"/>
      <c r="W476" s="547"/>
      <c r="X476" s="241"/>
      <c r="Y476" s="241"/>
      <c r="Z476" s="241"/>
      <c r="AA476" s="241"/>
      <c r="AB476" s="241"/>
      <c r="AC476" s="241"/>
      <c r="AD476" s="241"/>
      <c r="AE476" s="241"/>
      <c r="AF476" s="241"/>
      <c r="AG476" s="241"/>
      <c r="AH476" s="241"/>
      <c r="AI476" s="243"/>
      <c r="AJ476" s="243"/>
      <c r="AK476" s="241"/>
      <c r="AL476" s="241"/>
      <c r="AM476" s="241"/>
      <c r="AN476" s="241"/>
      <c r="AO476" s="241"/>
      <c r="AP476" s="241"/>
      <c r="AQ476" s="241"/>
      <c r="AR476" s="241"/>
    </row>
    <row r="477">
      <c r="A477" s="558">
        <v>4.0</v>
      </c>
      <c r="B477" s="310">
        <v>3.0</v>
      </c>
      <c r="C477" s="310">
        <v>2.0</v>
      </c>
      <c r="D477" s="310">
        <v>0.0</v>
      </c>
      <c r="E477" s="547" t="s">
        <v>178</v>
      </c>
      <c r="F477" s="547" t="s">
        <v>178</v>
      </c>
      <c r="G477" s="547" t="s">
        <v>178</v>
      </c>
      <c r="H477" s="547" t="s">
        <v>178</v>
      </c>
      <c r="I477" s="547" t="s">
        <v>178</v>
      </c>
      <c r="J477" s="547" t="s">
        <v>178</v>
      </c>
      <c r="K477" s="547" t="s">
        <v>178</v>
      </c>
      <c r="L477" s="310"/>
      <c r="M477" s="558"/>
      <c r="N477" s="547"/>
      <c r="O477" s="590"/>
      <c r="P477" s="547"/>
      <c r="Q477" s="547"/>
      <c r="R477" s="547"/>
      <c r="S477" s="547"/>
      <c r="T477" s="547"/>
      <c r="U477" s="547"/>
      <c r="V477" s="547"/>
      <c r="W477" s="547"/>
      <c r="X477" s="241"/>
      <c r="Y477" s="241"/>
      <c r="Z477" s="241"/>
      <c r="AA477" s="241"/>
      <c r="AB477" s="241"/>
      <c r="AC477" s="241"/>
      <c r="AD477" s="241"/>
      <c r="AE477" s="241"/>
      <c r="AF477" s="241"/>
      <c r="AG477" s="241"/>
      <c r="AH477" s="241"/>
      <c r="AI477" s="243"/>
      <c r="AJ477" s="243"/>
      <c r="AK477" s="241"/>
      <c r="AL477" s="241"/>
      <c r="AM477" s="241"/>
      <c r="AN477" s="241"/>
      <c r="AO477" s="241"/>
      <c r="AP477" s="241"/>
      <c r="AQ477" s="241"/>
      <c r="AR477" s="241"/>
    </row>
    <row r="478">
      <c r="A478" s="558">
        <v>5.0</v>
      </c>
      <c r="B478" s="310">
        <v>3.0</v>
      </c>
      <c r="C478" s="310">
        <v>2.0</v>
      </c>
      <c r="D478" s="310">
        <v>1.0</v>
      </c>
      <c r="E478" s="547" t="s">
        <v>178</v>
      </c>
      <c r="F478" s="547" t="s">
        <v>178</v>
      </c>
      <c r="G478" s="547" t="s">
        <v>178</v>
      </c>
      <c r="H478" s="547" t="s">
        <v>178</v>
      </c>
      <c r="I478" s="547" t="s">
        <v>178</v>
      </c>
      <c r="J478" s="547" t="s">
        <v>178</v>
      </c>
      <c r="K478" s="547" t="s">
        <v>178</v>
      </c>
      <c r="L478" s="310"/>
      <c r="M478" s="558"/>
      <c r="N478" s="547"/>
      <c r="O478" s="590"/>
      <c r="P478" s="547"/>
      <c r="Q478" s="547"/>
      <c r="R478" s="547"/>
      <c r="S478" s="547"/>
      <c r="T478" s="547"/>
      <c r="U478" s="547"/>
      <c r="V478" s="547"/>
      <c r="W478" s="547"/>
      <c r="X478" s="241"/>
      <c r="Y478" s="241"/>
      <c r="Z478" s="241"/>
      <c r="AA478" s="241"/>
      <c r="AB478" s="241"/>
      <c r="AC478" s="241"/>
      <c r="AD478" s="241"/>
      <c r="AE478" s="241"/>
      <c r="AF478" s="241"/>
      <c r="AG478" s="241"/>
      <c r="AH478" s="241"/>
      <c r="AI478" s="243"/>
      <c r="AJ478" s="243"/>
      <c r="AK478" s="241"/>
      <c r="AL478" s="241"/>
      <c r="AM478" s="241"/>
      <c r="AN478" s="241"/>
      <c r="AO478" s="241"/>
      <c r="AP478" s="241"/>
      <c r="AQ478" s="241"/>
      <c r="AR478" s="241"/>
    </row>
    <row r="479">
      <c r="A479" s="558">
        <v>6.0</v>
      </c>
      <c r="B479" s="310">
        <v>3.0</v>
      </c>
      <c r="C479" s="310">
        <v>2.0</v>
      </c>
      <c r="D479" s="310">
        <v>1.0</v>
      </c>
      <c r="E479" s="547" t="s">
        <v>178</v>
      </c>
      <c r="F479" s="547" t="s">
        <v>178</v>
      </c>
      <c r="G479" s="547" t="s">
        <v>178</v>
      </c>
      <c r="H479" s="547" t="s">
        <v>178</v>
      </c>
      <c r="I479" s="547" t="s">
        <v>178</v>
      </c>
      <c r="J479" s="547" t="s">
        <v>178</v>
      </c>
      <c r="K479" s="547" t="s">
        <v>178</v>
      </c>
      <c r="L479" s="310"/>
      <c r="M479" s="558"/>
      <c r="N479" s="547"/>
      <c r="O479" s="590"/>
      <c r="P479" s="547"/>
      <c r="Q479" s="547"/>
      <c r="R479" s="547"/>
      <c r="S479" s="547"/>
      <c r="T479" s="547"/>
      <c r="U479" s="547"/>
      <c r="V479" s="547"/>
      <c r="W479" s="547"/>
      <c r="X479" s="241"/>
      <c r="Y479" s="241"/>
      <c r="Z479" s="241"/>
      <c r="AA479" s="241"/>
      <c r="AB479" s="241"/>
      <c r="AC479" s="241"/>
      <c r="AD479" s="241"/>
      <c r="AE479" s="241"/>
      <c r="AF479" s="241"/>
      <c r="AG479" s="241"/>
      <c r="AH479" s="241"/>
      <c r="AI479" s="243"/>
      <c r="AJ479" s="243"/>
      <c r="AK479" s="241"/>
      <c r="AL479" s="241"/>
      <c r="AM479" s="241"/>
      <c r="AN479" s="241"/>
      <c r="AO479" s="241"/>
      <c r="AP479" s="241"/>
      <c r="AQ479" s="241"/>
      <c r="AR479" s="241"/>
    </row>
    <row r="480">
      <c r="A480" s="558">
        <v>7.0</v>
      </c>
      <c r="B480" s="310">
        <v>3.0</v>
      </c>
      <c r="C480" s="310">
        <v>3.0</v>
      </c>
      <c r="D480" s="310">
        <v>2.0</v>
      </c>
      <c r="E480" s="547" t="s">
        <v>178</v>
      </c>
      <c r="F480" s="547" t="s">
        <v>178</v>
      </c>
      <c r="G480" s="547" t="s">
        <v>178</v>
      </c>
      <c r="H480" s="547" t="s">
        <v>178</v>
      </c>
      <c r="I480" s="547" t="s">
        <v>178</v>
      </c>
      <c r="J480" s="547" t="s">
        <v>178</v>
      </c>
      <c r="K480" s="547" t="s">
        <v>178</v>
      </c>
      <c r="L480" s="310"/>
      <c r="M480" s="558"/>
      <c r="N480" s="547"/>
      <c r="O480" s="590"/>
      <c r="P480" s="590"/>
      <c r="Q480" s="547"/>
      <c r="R480" s="547"/>
      <c r="S480" s="547"/>
      <c r="T480" s="547"/>
      <c r="U480" s="547"/>
      <c r="V480" s="547"/>
      <c r="W480" s="547"/>
      <c r="X480" s="241"/>
      <c r="Y480" s="241"/>
      <c r="Z480" s="241"/>
      <c r="AA480" s="241"/>
      <c r="AB480" s="241"/>
      <c r="AC480" s="241"/>
      <c r="AD480" s="241"/>
      <c r="AE480" s="241"/>
      <c r="AF480" s="241"/>
      <c r="AG480" s="241"/>
      <c r="AH480" s="241"/>
      <c r="AI480" s="243"/>
      <c r="AJ480" s="243"/>
      <c r="AK480" s="241"/>
      <c r="AL480" s="241"/>
      <c r="AM480" s="241"/>
      <c r="AN480" s="241"/>
      <c r="AO480" s="241"/>
      <c r="AP480" s="241"/>
      <c r="AQ480" s="241"/>
      <c r="AR480" s="241"/>
    </row>
    <row r="481">
      <c r="A481" s="558">
        <v>8.0</v>
      </c>
      <c r="B481" s="310">
        <v>3.0</v>
      </c>
      <c r="C481" s="310">
        <v>3.0</v>
      </c>
      <c r="D481" s="310">
        <v>2.0</v>
      </c>
      <c r="E481" s="310">
        <v>0.0</v>
      </c>
      <c r="F481" s="547" t="s">
        <v>178</v>
      </c>
      <c r="G481" s="547" t="s">
        <v>178</v>
      </c>
      <c r="H481" s="547" t="s">
        <v>178</v>
      </c>
      <c r="I481" s="547" t="s">
        <v>178</v>
      </c>
      <c r="J481" s="547" t="s">
        <v>178</v>
      </c>
      <c r="K481" s="547" t="s">
        <v>178</v>
      </c>
      <c r="L481" s="310"/>
      <c r="M481" s="558"/>
      <c r="N481" s="547"/>
      <c r="O481" s="590"/>
      <c r="P481" s="590"/>
      <c r="Q481" s="547"/>
      <c r="R481" s="547"/>
      <c r="S481" s="547"/>
      <c r="T481" s="547"/>
      <c r="U481" s="547"/>
      <c r="V481" s="547"/>
      <c r="W481" s="547"/>
      <c r="X481" s="241"/>
      <c r="Y481" s="241"/>
      <c r="Z481" s="241"/>
      <c r="AA481" s="241"/>
      <c r="AB481" s="241"/>
      <c r="AC481" s="241"/>
      <c r="AD481" s="241"/>
      <c r="AE481" s="241"/>
      <c r="AF481" s="241"/>
      <c r="AG481" s="241"/>
      <c r="AH481" s="241"/>
      <c r="AI481" s="243"/>
      <c r="AJ481" s="243"/>
      <c r="AK481" s="241"/>
      <c r="AL481" s="241"/>
      <c r="AM481" s="241"/>
      <c r="AN481" s="241"/>
      <c r="AO481" s="241"/>
      <c r="AP481" s="241"/>
      <c r="AQ481" s="241"/>
      <c r="AR481" s="241"/>
    </row>
    <row r="482">
      <c r="A482" s="558">
        <v>9.0</v>
      </c>
      <c r="B482" s="310">
        <v>3.0</v>
      </c>
      <c r="C482" s="310">
        <v>3.0</v>
      </c>
      <c r="D482" s="310">
        <v>2.0</v>
      </c>
      <c r="E482" s="310">
        <v>1.0</v>
      </c>
      <c r="F482" s="547" t="s">
        <v>178</v>
      </c>
      <c r="G482" s="547" t="s">
        <v>178</v>
      </c>
      <c r="H482" s="547" t="s">
        <v>178</v>
      </c>
      <c r="I482" s="547" t="s">
        <v>178</v>
      </c>
      <c r="J482" s="547" t="s">
        <v>178</v>
      </c>
      <c r="K482" s="547" t="s">
        <v>178</v>
      </c>
      <c r="L482" s="310"/>
      <c r="M482" s="558"/>
      <c r="N482" s="547"/>
      <c r="O482" s="590"/>
      <c r="P482" s="590"/>
      <c r="Q482" s="547"/>
      <c r="R482" s="547"/>
      <c r="S482" s="547"/>
      <c r="T482" s="547"/>
      <c r="U482" s="547"/>
      <c r="V482" s="547"/>
      <c r="W482" s="547"/>
      <c r="X482" s="241"/>
      <c r="Y482" s="241"/>
      <c r="Z482" s="241"/>
      <c r="AA482" s="241"/>
      <c r="AB482" s="241"/>
      <c r="AC482" s="241"/>
      <c r="AD482" s="241"/>
      <c r="AE482" s="241"/>
      <c r="AF482" s="241"/>
      <c r="AG482" s="241"/>
      <c r="AH482" s="241"/>
      <c r="AI482" s="243"/>
      <c r="AJ482" s="243"/>
      <c r="AK482" s="241"/>
      <c r="AL482" s="241"/>
      <c r="AM482" s="241"/>
      <c r="AN482" s="241"/>
      <c r="AO482" s="241"/>
      <c r="AP482" s="241"/>
      <c r="AQ482" s="241"/>
      <c r="AR482" s="241"/>
    </row>
    <row r="483">
      <c r="A483" s="558">
        <v>10.0</v>
      </c>
      <c r="B483" s="310">
        <v>3.0</v>
      </c>
      <c r="C483" s="310">
        <v>3.0</v>
      </c>
      <c r="D483" s="310">
        <v>2.0</v>
      </c>
      <c r="E483" s="310">
        <v>1.0</v>
      </c>
      <c r="F483" s="547" t="s">
        <v>178</v>
      </c>
      <c r="G483" s="547" t="s">
        <v>178</v>
      </c>
      <c r="H483" s="547" t="s">
        <v>178</v>
      </c>
      <c r="I483" s="547" t="s">
        <v>178</v>
      </c>
      <c r="J483" s="547" t="s">
        <v>178</v>
      </c>
      <c r="K483" s="547" t="s">
        <v>178</v>
      </c>
      <c r="L483" s="310"/>
      <c r="M483" s="558"/>
      <c r="N483" s="547"/>
      <c r="O483" s="590"/>
      <c r="P483" s="590"/>
      <c r="Q483" s="590"/>
      <c r="R483" s="547"/>
      <c r="S483" s="547"/>
      <c r="T483" s="547"/>
      <c r="U483" s="547"/>
      <c r="V483" s="547"/>
      <c r="W483" s="547"/>
      <c r="X483" s="241"/>
      <c r="Y483" s="241"/>
      <c r="Z483" s="241"/>
      <c r="AA483" s="241"/>
      <c r="AB483" s="241"/>
      <c r="AC483" s="241"/>
      <c r="AD483" s="241"/>
      <c r="AE483" s="241"/>
      <c r="AF483" s="241"/>
      <c r="AG483" s="241"/>
      <c r="AH483" s="241"/>
      <c r="AI483" s="243"/>
      <c r="AJ483" s="243"/>
      <c r="AK483" s="241"/>
      <c r="AL483" s="241"/>
      <c r="AM483" s="241"/>
      <c r="AN483" s="241"/>
      <c r="AO483" s="241"/>
      <c r="AP483" s="241"/>
      <c r="AQ483" s="241"/>
      <c r="AR483" s="241"/>
    </row>
    <row r="484">
      <c r="A484" s="558">
        <v>11.0</v>
      </c>
      <c r="B484" s="310">
        <v>3.0</v>
      </c>
      <c r="C484" s="310">
        <v>3.0</v>
      </c>
      <c r="D484" s="310">
        <v>3.0</v>
      </c>
      <c r="E484" s="310">
        <v>2.0</v>
      </c>
      <c r="F484" s="547" t="s">
        <v>178</v>
      </c>
      <c r="G484" s="547" t="s">
        <v>178</v>
      </c>
      <c r="H484" s="547" t="s">
        <v>178</v>
      </c>
      <c r="I484" s="547" t="s">
        <v>178</v>
      </c>
      <c r="J484" s="547" t="s">
        <v>178</v>
      </c>
      <c r="K484" s="547" t="s">
        <v>178</v>
      </c>
      <c r="L484" s="310"/>
      <c r="M484" s="558"/>
      <c r="N484" s="547"/>
      <c r="O484" s="590"/>
      <c r="P484" s="590"/>
      <c r="Q484" s="590"/>
      <c r="R484" s="547"/>
      <c r="S484" s="547"/>
      <c r="T484" s="547"/>
      <c r="U484" s="547"/>
      <c r="V484" s="547"/>
      <c r="W484" s="547"/>
      <c r="X484" s="241"/>
      <c r="Y484" s="241"/>
      <c r="Z484" s="241"/>
      <c r="AA484" s="241"/>
      <c r="AB484" s="241"/>
      <c r="AC484" s="241"/>
      <c r="AD484" s="241"/>
      <c r="AE484" s="241"/>
      <c r="AF484" s="241"/>
      <c r="AG484" s="241"/>
      <c r="AH484" s="241"/>
      <c r="AI484" s="243"/>
      <c r="AJ484" s="243"/>
      <c r="AK484" s="241"/>
      <c r="AL484" s="241"/>
      <c r="AM484" s="241"/>
      <c r="AN484" s="241"/>
      <c r="AO484" s="241"/>
      <c r="AP484" s="241"/>
      <c r="AQ484" s="241"/>
      <c r="AR484" s="241"/>
    </row>
    <row r="485">
      <c r="A485" s="558">
        <v>12.0</v>
      </c>
      <c r="B485" s="310">
        <v>3.0</v>
      </c>
      <c r="C485" s="310">
        <v>3.0</v>
      </c>
      <c r="D485" s="310">
        <v>3.0</v>
      </c>
      <c r="E485" s="310">
        <v>2.0</v>
      </c>
      <c r="F485" s="310">
        <v>0.0</v>
      </c>
      <c r="G485" s="547" t="s">
        <v>178</v>
      </c>
      <c r="H485" s="547" t="s">
        <v>178</v>
      </c>
      <c r="I485" s="547" t="s">
        <v>178</v>
      </c>
      <c r="J485" s="547" t="s">
        <v>178</v>
      </c>
      <c r="K485" s="547" t="s">
        <v>178</v>
      </c>
      <c r="L485" s="310"/>
      <c r="M485" s="558"/>
      <c r="N485" s="547"/>
      <c r="O485" s="590"/>
      <c r="P485" s="590"/>
      <c r="Q485" s="590"/>
      <c r="R485" s="547"/>
      <c r="S485" s="547"/>
      <c r="T485" s="547"/>
      <c r="U485" s="547"/>
      <c r="V485" s="547"/>
      <c r="W485" s="547"/>
      <c r="X485" s="241"/>
      <c r="Y485" s="241"/>
      <c r="Z485" s="241"/>
      <c r="AA485" s="241"/>
      <c r="AB485" s="241"/>
      <c r="AC485" s="241"/>
      <c r="AD485" s="241"/>
      <c r="AE485" s="241"/>
      <c r="AF485" s="241"/>
      <c r="AG485" s="241"/>
      <c r="AH485" s="241"/>
      <c r="AI485" s="243"/>
      <c r="AJ485" s="243"/>
      <c r="AK485" s="241"/>
      <c r="AL485" s="241"/>
      <c r="AM485" s="241"/>
      <c r="AN485" s="241"/>
      <c r="AO485" s="241"/>
      <c r="AP485" s="241"/>
      <c r="AQ485" s="241"/>
      <c r="AR485" s="241"/>
    </row>
    <row r="486">
      <c r="A486" s="558">
        <v>13.0</v>
      </c>
      <c r="B486" s="310">
        <v>3.0</v>
      </c>
      <c r="C486" s="310">
        <v>3.0</v>
      </c>
      <c r="D486" s="310">
        <v>3.0</v>
      </c>
      <c r="E486" s="310">
        <v>2.0</v>
      </c>
      <c r="F486" s="310">
        <v>1.0</v>
      </c>
      <c r="G486" s="547" t="s">
        <v>178</v>
      </c>
      <c r="H486" s="547" t="s">
        <v>178</v>
      </c>
      <c r="I486" s="547" t="s">
        <v>178</v>
      </c>
      <c r="J486" s="547" t="s">
        <v>178</v>
      </c>
      <c r="K486" s="547" t="s">
        <v>178</v>
      </c>
      <c r="L486" s="310"/>
      <c r="M486" s="558"/>
      <c r="N486" s="547"/>
      <c r="O486" s="590"/>
      <c r="P486" s="590"/>
      <c r="Q486" s="590"/>
      <c r="R486" s="590"/>
      <c r="S486" s="547"/>
      <c r="T486" s="547"/>
      <c r="U486" s="547"/>
      <c r="V486" s="547"/>
      <c r="W486" s="547"/>
      <c r="X486" s="241"/>
      <c r="Y486" s="241"/>
      <c r="Z486" s="241"/>
      <c r="AA486" s="241"/>
      <c r="AB486" s="241"/>
      <c r="AC486" s="241"/>
      <c r="AD486" s="241"/>
      <c r="AE486" s="241"/>
      <c r="AF486" s="241"/>
      <c r="AG486" s="241"/>
      <c r="AH486" s="241"/>
      <c r="AI486" s="243"/>
      <c r="AJ486" s="243"/>
      <c r="AK486" s="241"/>
      <c r="AL486" s="241"/>
      <c r="AM486" s="241"/>
      <c r="AN486" s="241"/>
      <c r="AO486" s="241"/>
      <c r="AP486" s="241"/>
      <c r="AQ486" s="241"/>
      <c r="AR486" s="241"/>
    </row>
    <row r="487">
      <c r="A487" s="558">
        <v>14.0</v>
      </c>
      <c r="B487" s="310">
        <v>3.0</v>
      </c>
      <c r="C487" s="310">
        <v>3.0</v>
      </c>
      <c r="D487" s="310">
        <v>3.0</v>
      </c>
      <c r="E487" s="310">
        <v>2.0</v>
      </c>
      <c r="F487" s="310">
        <v>1.0</v>
      </c>
      <c r="G487" s="547" t="s">
        <v>178</v>
      </c>
      <c r="H487" s="547" t="s">
        <v>178</v>
      </c>
      <c r="I487" s="547" t="s">
        <v>178</v>
      </c>
      <c r="J487" s="547" t="s">
        <v>178</v>
      </c>
      <c r="K487" s="547" t="s">
        <v>178</v>
      </c>
      <c r="L487" s="310"/>
      <c r="M487" s="558"/>
      <c r="N487" s="547"/>
      <c r="O487" s="590"/>
      <c r="P487" s="590"/>
      <c r="Q487" s="590"/>
      <c r="R487" s="590"/>
      <c r="S487" s="547"/>
      <c r="T487" s="547"/>
      <c r="U487" s="547"/>
      <c r="V487" s="547"/>
      <c r="W487" s="547"/>
      <c r="X487" s="241"/>
      <c r="Y487" s="241"/>
      <c r="Z487" s="241"/>
      <c r="AA487" s="241"/>
      <c r="AB487" s="241"/>
      <c r="AC487" s="241"/>
      <c r="AD487" s="241"/>
      <c r="AE487" s="241"/>
      <c r="AF487" s="241"/>
      <c r="AG487" s="241"/>
      <c r="AH487" s="241"/>
      <c r="AI487" s="243"/>
      <c r="AJ487" s="243"/>
      <c r="AK487" s="241"/>
      <c r="AL487" s="241"/>
      <c r="AM487" s="241"/>
      <c r="AN487" s="241"/>
      <c r="AO487" s="241"/>
      <c r="AP487" s="241"/>
      <c r="AQ487" s="241"/>
      <c r="AR487" s="241"/>
    </row>
    <row r="488">
      <c r="A488" s="558">
        <v>15.0</v>
      </c>
      <c r="B488" s="310">
        <v>3.0</v>
      </c>
      <c r="C488" s="310">
        <v>3.0</v>
      </c>
      <c r="D488" s="310">
        <v>3.0</v>
      </c>
      <c r="E488" s="310">
        <v>3.0</v>
      </c>
      <c r="F488" s="310">
        <v>2.0</v>
      </c>
      <c r="G488" s="547" t="s">
        <v>178</v>
      </c>
      <c r="H488" s="547" t="s">
        <v>178</v>
      </c>
      <c r="I488" s="547" t="s">
        <v>178</v>
      </c>
      <c r="J488" s="547" t="s">
        <v>178</v>
      </c>
      <c r="K488" s="547" t="s">
        <v>178</v>
      </c>
      <c r="L488" s="310"/>
      <c r="M488" s="558"/>
      <c r="N488" s="547"/>
      <c r="O488" s="590"/>
      <c r="P488" s="590"/>
      <c r="Q488" s="590"/>
      <c r="R488" s="590"/>
      <c r="S488" s="547"/>
      <c r="T488" s="547"/>
      <c r="U488" s="547"/>
      <c r="V488" s="547"/>
      <c r="W488" s="547"/>
      <c r="X488" s="241"/>
      <c r="Y488" s="241"/>
      <c r="Z488" s="241"/>
      <c r="AA488" s="241"/>
      <c r="AB488" s="241"/>
      <c r="AC488" s="241"/>
      <c r="AD488" s="241"/>
      <c r="AE488" s="241"/>
      <c r="AF488" s="241"/>
      <c r="AG488" s="241"/>
      <c r="AH488" s="241"/>
      <c r="AI488" s="243"/>
      <c r="AJ488" s="243"/>
      <c r="AK488" s="241"/>
      <c r="AL488" s="241"/>
      <c r="AM488" s="241"/>
      <c r="AN488" s="241"/>
      <c r="AO488" s="241"/>
      <c r="AP488" s="241"/>
      <c r="AQ488" s="241"/>
      <c r="AR488" s="241"/>
    </row>
    <row r="489">
      <c r="A489" s="558">
        <v>16.0</v>
      </c>
      <c r="B489" s="310">
        <v>3.0</v>
      </c>
      <c r="C489" s="310">
        <v>3.0</v>
      </c>
      <c r="D489" s="310">
        <v>3.0</v>
      </c>
      <c r="E489" s="310">
        <v>3.0</v>
      </c>
      <c r="F489" s="310">
        <v>2.0</v>
      </c>
      <c r="G489" s="310">
        <v>0.0</v>
      </c>
      <c r="H489" s="547" t="s">
        <v>178</v>
      </c>
      <c r="I489" s="547" t="s">
        <v>178</v>
      </c>
      <c r="J489" s="547" t="s">
        <v>178</v>
      </c>
      <c r="K489" s="547" t="s">
        <v>178</v>
      </c>
      <c r="L489" s="310"/>
      <c r="M489" s="558"/>
      <c r="N489" s="547"/>
      <c r="O489" s="590"/>
      <c r="P489" s="590"/>
      <c r="Q489" s="590"/>
      <c r="R489" s="590"/>
      <c r="S489" s="547"/>
      <c r="T489" s="547"/>
      <c r="U489" s="547"/>
      <c r="V489" s="547"/>
      <c r="W489" s="547"/>
      <c r="X489" s="241"/>
      <c r="Y489" s="241"/>
      <c r="Z489" s="241"/>
      <c r="AA489" s="241"/>
      <c r="AB489" s="241"/>
      <c r="AC489" s="241"/>
      <c r="AD489" s="241"/>
      <c r="AE489" s="241"/>
      <c r="AF489" s="241"/>
      <c r="AG489" s="241"/>
      <c r="AH489" s="241"/>
      <c r="AI489" s="243"/>
      <c r="AJ489" s="243"/>
      <c r="AK489" s="241"/>
      <c r="AL489" s="241"/>
      <c r="AM489" s="241"/>
      <c r="AN489" s="241"/>
      <c r="AO489" s="241"/>
      <c r="AP489" s="241"/>
      <c r="AQ489" s="241"/>
      <c r="AR489" s="241"/>
    </row>
    <row r="490">
      <c r="A490" s="558">
        <v>17.0</v>
      </c>
      <c r="B490" s="310">
        <v>3.0</v>
      </c>
      <c r="C490" s="310">
        <v>3.0</v>
      </c>
      <c r="D490" s="310">
        <v>3.0</v>
      </c>
      <c r="E490" s="310">
        <v>3.0</v>
      </c>
      <c r="F490" s="310">
        <v>2.0</v>
      </c>
      <c r="G490" s="310">
        <v>1.0</v>
      </c>
      <c r="H490" s="547" t="s">
        <v>178</v>
      </c>
      <c r="I490" s="547" t="s">
        <v>178</v>
      </c>
      <c r="J490" s="547" t="s">
        <v>178</v>
      </c>
      <c r="K490" s="547" t="s">
        <v>178</v>
      </c>
      <c r="L490" s="310"/>
      <c r="M490" s="558"/>
      <c r="N490" s="547"/>
      <c r="O490" s="590"/>
      <c r="P490" s="590"/>
      <c r="Q490" s="590"/>
      <c r="R490" s="590"/>
      <c r="S490" s="547"/>
      <c r="T490" s="547"/>
      <c r="U490" s="547"/>
      <c r="V490" s="547"/>
      <c r="W490" s="547"/>
      <c r="X490" s="241"/>
      <c r="Y490" s="241"/>
      <c r="Z490" s="241"/>
      <c r="AA490" s="241"/>
      <c r="AB490" s="241"/>
      <c r="AC490" s="241"/>
      <c r="AD490" s="241"/>
      <c r="AE490" s="241"/>
      <c r="AF490" s="241"/>
      <c r="AG490" s="241"/>
      <c r="AH490" s="241"/>
      <c r="AI490" s="243"/>
      <c r="AJ490" s="243"/>
      <c r="AK490" s="241"/>
      <c r="AL490" s="241"/>
      <c r="AM490" s="241"/>
      <c r="AN490" s="241"/>
      <c r="AO490" s="241"/>
      <c r="AP490" s="241"/>
      <c r="AQ490" s="241"/>
      <c r="AR490" s="241"/>
    </row>
    <row r="491">
      <c r="A491" s="558">
        <v>18.0</v>
      </c>
      <c r="B491" s="310">
        <v>3.0</v>
      </c>
      <c r="C491" s="310">
        <v>3.0</v>
      </c>
      <c r="D491" s="310">
        <v>3.0</v>
      </c>
      <c r="E491" s="310">
        <v>3.0</v>
      </c>
      <c r="F491" s="310">
        <v>2.0</v>
      </c>
      <c r="G491" s="310">
        <v>1.0</v>
      </c>
      <c r="H491" s="547" t="s">
        <v>178</v>
      </c>
      <c r="I491" s="547" t="s">
        <v>178</v>
      </c>
      <c r="J491" s="547" t="s">
        <v>178</v>
      </c>
      <c r="K491" s="547" t="s">
        <v>178</v>
      </c>
      <c r="L491" s="310"/>
      <c r="M491" s="558"/>
      <c r="N491" s="547"/>
      <c r="O491" s="590"/>
      <c r="P491" s="590"/>
      <c r="Q491" s="590"/>
      <c r="R491" s="590"/>
      <c r="S491" s="547"/>
      <c r="T491" s="547"/>
      <c r="U491" s="547"/>
      <c r="V491" s="547"/>
      <c r="W491" s="547"/>
      <c r="X491" s="241"/>
      <c r="Y491" s="241"/>
      <c r="Z491" s="241"/>
      <c r="AA491" s="241"/>
      <c r="AB491" s="241"/>
      <c r="AC491" s="241"/>
      <c r="AD491" s="241"/>
      <c r="AE491" s="241"/>
      <c r="AF491" s="241"/>
      <c r="AG491" s="241"/>
      <c r="AH491" s="241"/>
      <c r="AI491" s="243"/>
      <c r="AJ491" s="243"/>
      <c r="AK491" s="241"/>
      <c r="AL491" s="241"/>
      <c r="AM491" s="241"/>
      <c r="AN491" s="241"/>
      <c r="AO491" s="241"/>
      <c r="AP491" s="241"/>
      <c r="AQ491" s="241"/>
      <c r="AR491" s="241"/>
    </row>
    <row r="492">
      <c r="A492" s="558">
        <v>19.0</v>
      </c>
      <c r="B492" s="310">
        <v>3.0</v>
      </c>
      <c r="C492" s="310">
        <v>3.0</v>
      </c>
      <c r="D492" s="310">
        <v>3.0</v>
      </c>
      <c r="E492" s="310">
        <v>3.0</v>
      </c>
      <c r="F492" s="310">
        <v>3.0</v>
      </c>
      <c r="G492" s="310">
        <v>2.0</v>
      </c>
      <c r="H492" s="547" t="s">
        <v>178</v>
      </c>
      <c r="I492" s="547" t="s">
        <v>178</v>
      </c>
      <c r="J492" s="547" t="s">
        <v>178</v>
      </c>
      <c r="K492" s="547" t="s">
        <v>178</v>
      </c>
      <c r="L492" s="310"/>
      <c r="M492" s="558"/>
      <c r="N492" s="547"/>
      <c r="O492" s="590"/>
      <c r="P492" s="590"/>
      <c r="Q492" s="590"/>
      <c r="R492" s="590"/>
      <c r="S492" s="547"/>
      <c r="T492" s="547"/>
      <c r="U492" s="547"/>
      <c r="V492" s="547"/>
      <c r="W492" s="547"/>
      <c r="X492" s="241"/>
      <c r="Y492" s="241"/>
      <c r="Z492" s="241"/>
      <c r="AA492" s="241"/>
      <c r="AB492" s="241"/>
      <c r="AC492" s="241"/>
      <c r="AD492" s="241"/>
      <c r="AE492" s="241"/>
      <c r="AF492" s="241"/>
      <c r="AG492" s="241"/>
      <c r="AH492" s="241"/>
      <c r="AI492" s="243"/>
      <c r="AJ492" s="243"/>
      <c r="AK492" s="241"/>
      <c r="AL492" s="241"/>
      <c r="AM492" s="241"/>
      <c r="AN492" s="241"/>
      <c r="AO492" s="241"/>
      <c r="AP492" s="241"/>
      <c r="AQ492" s="241"/>
      <c r="AR492" s="241"/>
    </row>
    <row r="493">
      <c r="A493" s="558">
        <v>20.0</v>
      </c>
      <c r="B493" s="310">
        <v>3.0</v>
      </c>
      <c r="C493" s="310">
        <v>3.0</v>
      </c>
      <c r="D493" s="310">
        <v>3.0</v>
      </c>
      <c r="E493" s="310">
        <v>3.0</v>
      </c>
      <c r="F493" s="310">
        <v>3.0</v>
      </c>
      <c r="G493" s="310">
        <v>2.0</v>
      </c>
      <c r="H493" s="547" t="s">
        <v>178</v>
      </c>
      <c r="I493" s="547" t="s">
        <v>178</v>
      </c>
      <c r="J493" s="547" t="s">
        <v>178</v>
      </c>
      <c r="K493" s="547" t="s">
        <v>178</v>
      </c>
      <c r="L493" s="310"/>
      <c r="M493" s="558"/>
      <c r="N493" s="547"/>
      <c r="O493" s="310"/>
      <c r="P493" s="590"/>
      <c r="Q493" s="590"/>
      <c r="R493" s="590"/>
      <c r="S493" s="547"/>
      <c r="T493" s="547"/>
      <c r="U493" s="547"/>
      <c r="V493" s="547"/>
      <c r="W493" s="547"/>
      <c r="X493" s="241"/>
      <c r="Y493" s="241"/>
      <c r="Z493" s="241"/>
      <c r="AA493" s="241"/>
      <c r="AB493" s="241"/>
      <c r="AC493" s="241"/>
      <c r="AD493" s="241"/>
      <c r="AE493" s="241"/>
      <c r="AF493" s="241"/>
      <c r="AG493" s="241"/>
      <c r="AH493" s="241"/>
      <c r="AI493" s="243"/>
      <c r="AJ493" s="243"/>
      <c r="AK493" s="241"/>
      <c r="AL493" s="241"/>
      <c r="AM493" s="241"/>
      <c r="AN493" s="241"/>
      <c r="AO493" s="241"/>
      <c r="AP493" s="241"/>
      <c r="AQ493" s="241"/>
      <c r="AR493" s="241"/>
    </row>
    <row r="494">
      <c r="A494" s="558"/>
      <c r="B494" s="310"/>
      <c r="C494" s="310"/>
      <c r="D494" s="310"/>
      <c r="E494" s="310"/>
      <c r="F494" s="310"/>
      <c r="G494" s="310"/>
      <c r="H494" s="547"/>
      <c r="I494" s="547"/>
      <c r="J494" s="547"/>
      <c r="K494" s="547"/>
      <c r="L494" s="310"/>
      <c r="M494" s="558"/>
      <c r="N494" s="547"/>
      <c r="O494" s="310"/>
      <c r="P494" s="590"/>
      <c r="Q494" s="590"/>
      <c r="R494" s="590"/>
      <c r="S494" s="547"/>
      <c r="T494" s="547"/>
      <c r="U494" s="547"/>
      <c r="V494" s="547"/>
      <c r="W494" s="547"/>
      <c r="X494" s="241"/>
      <c r="Y494" s="241"/>
      <c r="Z494" s="241"/>
      <c r="AA494" s="241"/>
      <c r="AB494" s="241"/>
      <c r="AC494" s="241"/>
      <c r="AD494" s="241"/>
      <c r="AE494" s="241"/>
      <c r="AF494" s="241"/>
      <c r="AG494" s="241"/>
      <c r="AH494" s="241"/>
      <c r="AI494" s="243"/>
      <c r="AJ494" s="243"/>
      <c r="AK494" s="241"/>
      <c r="AL494" s="241"/>
      <c r="AM494" s="241"/>
      <c r="AN494" s="241"/>
      <c r="AO494" s="241"/>
      <c r="AP494" s="241"/>
      <c r="AQ494" s="241"/>
      <c r="AR494" s="241"/>
    </row>
    <row r="495">
      <c r="A495" s="558"/>
      <c r="B495" s="310"/>
      <c r="C495" s="310"/>
      <c r="D495" s="310"/>
      <c r="E495" s="310"/>
      <c r="F495" s="310"/>
      <c r="G495" s="310"/>
      <c r="H495" s="547"/>
      <c r="I495" s="547"/>
      <c r="J495" s="547"/>
      <c r="K495" s="547"/>
      <c r="L495" s="310"/>
      <c r="M495" s="558"/>
      <c r="N495" s="547"/>
      <c r="O495" s="310"/>
      <c r="P495" s="590"/>
      <c r="Q495" s="590"/>
      <c r="R495" s="590"/>
      <c r="S495" s="547"/>
      <c r="T495" s="547"/>
      <c r="U495" s="547"/>
      <c r="V495" s="547"/>
      <c r="W495" s="547"/>
      <c r="X495" s="241"/>
      <c r="Y495" s="241"/>
      <c r="Z495" s="241"/>
      <c r="AA495" s="241"/>
      <c r="AB495" s="241"/>
      <c r="AC495" s="241"/>
      <c r="AD495" s="241"/>
      <c r="AE495" s="241"/>
      <c r="AF495" s="241"/>
      <c r="AG495" s="241"/>
      <c r="AH495" s="241"/>
      <c r="AI495" s="243"/>
      <c r="AJ495" s="243"/>
      <c r="AK495" s="241"/>
      <c r="AL495" s="241"/>
      <c r="AM495" s="241"/>
      <c r="AN495" s="241"/>
      <c r="AO495" s="241"/>
      <c r="AP495" s="241"/>
      <c r="AQ495" s="241"/>
      <c r="AR495" s="241"/>
    </row>
    <row r="496">
      <c r="A496" s="558"/>
      <c r="B496" s="310"/>
      <c r="C496" s="310"/>
      <c r="D496" s="310"/>
      <c r="E496" s="310"/>
      <c r="F496" s="310"/>
      <c r="G496" s="310"/>
      <c r="H496" s="547"/>
      <c r="I496" s="547"/>
      <c r="J496" s="547"/>
      <c r="K496" s="547"/>
      <c r="L496" s="310"/>
      <c r="M496" s="558"/>
      <c r="N496" s="547"/>
      <c r="O496" s="310"/>
      <c r="P496" s="590"/>
      <c r="Q496" s="590"/>
      <c r="R496" s="590"/>
      <c r="S496" s="547"/>
      <c r="T496" s="547"/>
      <c r="U496" s="547"/>
      <c r="V496" s="547"/>
      <c r="W496" s="547"/>
      <c r="X496" s="241"/>
      <c r="Y496" s="241"/>
      <c r="Z496" s="241"/>
      <c r="AA496" s="241"/>
      <c r="AB496" s="241"/>
      <c r="AC496" s="241"/>
      <c r="AD496" s="241"/>
      <c r="AE496" s="241"/>
      <c r="AF496" s="241"/>
      <c r="AG496" s="241"/>
      <c r="AH496" s="241"/>
      <c r="AI496" s="243"/>
      <c r="AJ496" s="243"/>
      <c r="AK496" s="241"/>
      <c r="AL496" s="241"/>
      <c r="AM496" s="241"/>
      <c r="AN496" s="241"/>
      <c r="AO496" s="241"/>
      <c r="AP496" s="241"/>
      <c r="AQ496" s="241"/>
      <c r="AR496" s="241"/>
    </row>
    <row r="497">
      <c r="A497" s="593" t="s">
        <v>689</v>
      </c>
      <c r="B497" s="594" t="s">
        <v>189</v>
      </c>
      <c r="C497" s="23"/>
      <c r="D497" s="23"/>
      <c r="E497" s="24"/>
      <c r="F497" s="310"/>
      <c r="L497" s="310"/>
      <c r="M497" s="558"/>
      <c r="N497" s="547"/>
      <c r="O497" s="593" t="s">
        <v>689</v>
      </c>
      <c r="P497" s="595" t="s">
        <v>690</v>
      </c>
      <c r="Q497" s="23"/>
      <c r="R497" s="23"/>
      <c r="S497" s="24"/>
      <c r="T497" s="547"/>
      <c r="U497" s="547"/>
      <c r="V497" s="547"/>
      <c r="W497" s="547"/>
      <c r="X497" s="241"/>
      <c r="Y497" s="241"/>
      <c r="Z497" s="241"/>
      <c r="AA497" s="241"/>
      <c r="AB497" s="241"/>
      <c r="AC497" s="241"/>
      <c r="AD497" s="241"/>
      <c r="AE497" s="241"/>
      <c r="AF497" s="241"/>
      <c r="AG497" s="241"/>
      <c r="AH497" s="241"/>
      <c r="AI497" s="243"/>
      <c r="AJ497" s="243"/>
      <c r="AK497" s="241"/>
      <c r="AL497" s="241"/>
      <c r="AM497" s="241"/>
      <c r="AN497" s="241"/>
      <c r="AO497" s="241"/>
      <c r="AP497" s="241"/>
      <c r="AQ497" s="241"/>
      <c r="AR497" s="241"/>
    </row>
    <row r="498">
      <c r="A498" s="425"/>
      <c r="B498" s="436">
        <v>0.0</v>
      </c>
      <c r="C498" s="596">
        <v>1.0</v>
      </c>
      <c r="D498" s="596">
        <v>2.0</v>
      </c>
      <c r="E498" s="596">
        <v>3.0</v>
      </c>
      <c r="F498" s="596">
        <v>4.0</v>
      </c>
      <c r="G498" s="310">
        <v>5.0</v>
      </c>
      <c r="H498" s="436">
        <v>6.0</v>
      </c>
      <c r="I498" s="436">
        <v>7.0</v>
      </c>
      <c r="J498" s="436">
        <v>8.0</v>
      </c>
      <c r="K498" s="436">
        <v>9.0</v>
      </c>
      <c r="L498" s="310"/>
      <c r="M498" s="558"/>
      <c r="N498" s="547"/>
      <c r="O498" s="425"/>
      <c r="P498" s="596">
        <v>0.0</v>
      </c>
      <c r="Q498" s="596">
        <v>1.0</v>
      </c>
      <c r="R498" s="596">
        <v>2.0</v>
      </c>
      <c r="S498" s="596">
        <v>3.0</v>
      </c>
      <c r="T498" s="310">
        <v>4.0</v>
      </c>
      <c r="U498" s="310">
        <v>5.0</v>
      </c>
      <c r="V498" s="310">
        <v>6.0</v>
      </c>
      <c r="W498" s="310">
        <v>7.0</v>
      </c>
      <c r="X498" s="556">
        <v>8.0</v>
      </c>
      <c r="Y498" s="556">
        <v>9.0</v>
      </c>
      <c r="Z498" s="241"/>
      <c r="AA498" s="241"/>
      <c r="AB498" s="241"/>
      <c r="AC498" s="241"/>
      <c r="AD498" s="241"/>
      <c r="AE498" s="241"/>
      <c r="AF498" s="241"/>
      <c r="AG498" s="241"/>
      <c r="AH498" s="241"/>
      <c r="AI498" s="243"/>
      <c r="AJ498" s="243"/>
      <c r="AK498" s="241"/>
      <c r="AL498" s="241"/>
      <c r="AM498" s="241"/>
      <c r="AN498" s="241"/>
      <c r="AO498" s="241"/>
      <c r="AP498" s="241"/>
      <c r="AQ498" s="241"/>
      <c r="AR498" s="241"/>
    </row>
    <row r="499">
      <c r="A499" s="597" t="s">
        <v>691</v>
      </c>
      <c r="B499" s="598" t="s">
        <v>178</v>
      </c>
      <c r="C499" s="599">
        <v>2.0</v>
      </c>
      <c r="D499" s="599" t="s">
        <v>178</v>
      </c>
      <c r="E499" s="599" t="s">
        <v>178</v>
      </c>
      <c r="F499" s="598" t="s">
        <v>178</v>
      </c>
      <c r="G499" s="598" t="s">
        <v>178</v>
      </c>
      <c r="H499" s="598" t="s">
        <v>178</v>
      </c>
      <c r="I499" s="598" t="s">
        <v>178</v>
      </c>
      <c r="J499" s="598" t="s">
        <v>178</v>
      </c>
      <c r="K499" s="598" t="s">
        <v>178</v>
      </c>
      <c r="L499" s="310"/>
      <c r="M499" s="558"/>
      <c r="N499" s="547"/>
      <c r="O499" s="597" t="s">
        <v>691</v>
      </c>
      <c r="P499" s="598" t="s">
        <v>178</v>
      </c>
      <c r="Q499" s="600">
        <v>1.0</v>
      </c>
      <c r="R499" s="601" t="s">
        <v>178</v>
      </c>
      <c r="S499" s="601" t="s">
        <v>178</v>
      </c>
      <c r="T499" s="602" t="s">
        <v>178</v>
      </c>
      <c r="U499" s="598" t="s">
        <v>178</v>
      </c>
      <c r="V499" s="598" t="s">
        <v>178</v>
      </c>
      <c r="W499" s="598" t="s">
        <v>178</v>
      </c>
      <c r="X499" s="598" t="s">
        <v>178</v>
      </c>
      <c r="Y499" s="598" t="s">
        <v>178</v>
      </c>
      <c r="Z499" s="241"/>
      <c r="AA499" s="241"/>
      <c r="AB499" s="241"/>
      <c r="AC499" s="241"/>
      <c r="AD499" s="241"/>
      <c r="AE499" s="241"/>
      <c r="AF499" s="241"/>
      <c r="AG499" s="241"/>
      <c r="AH499" s="241"/>
      <c r="AI499" s="243"/>
      <c r="AJ499" s="243"/>
      <c r="AK499" s="241"/>
      <c r="AL499" s="241"/>
      <c r="AM499" s="241"/>
      <c r="AN499" s="241"/>
      <c r="AO499" s="241"/>
      <c r="AP499" s="241"/>
      <c r="AQ499" s="241"/>
      <c r="AR499" s="241"/>
    </row>
    <row r="500">
      <c r="A500" s="603" t="s">
        <v>692</v>
      </c>
      <c r="B500" s="604" t="s">
        <v>178</v>
      </c>
      <c r="C500" s="605">
        <v>3.0</v>
      </c>
      <c r="D500" s="605" t="s">
        <v>178</v>
      </c>
      <c r="E500" s="605" t="s">
        <v>178</v>
      </c>
      <c r="F500" s="604" t="s">
        <v>178</v>
      </c>
      <c r="G500" s="604" t="s">
        <v>178</v>
      </c>
      <c r="H500" s="604" t="s">
        <v>178</v>
      </c>
      <c r="I500" s="604" t="s">
        <v>178</v>
      </c>
      <c r="J500" s="604" t="s">
        <v>178</v>
      </c>
      <c r="K500" s="604" t="s">
        <v>178</v>
      </c>
      <c r="L500" s="310"/>
      <c r="M500" s="558"/>
      <c r="N500" s="547"/>
      <c r="O500" s="603" t="s">
        <v>692</v>
      </c>
      <c r="P500" s="604" t="s">
        <v>178</v>
      </c>
      <c r="Q500" s="606">
        <v>2.0</v>
      </c>
      <c r="R500" s="607" t="s">
        <v>178</v>
      </c>
      <c r="S500" s="607" t="s">
        <v>178</v>
      </c>
      <c r="T500" s="608" t="s">
        <v>178</v>
      </c>
      <c r="U500" s="604" t="s">
        <v>178</v>
      </c>
      <c r="V500" s="604" t="s">
        <v>178</v>
      </c>
      <c r="W500" s="604" t="s">
        <v>178</v>
      </c>
      <c r="X500" s="604" t="s">
        <v>178</v>
      </c>
      <c r="Y500" s="604" t="s">
        <v>178</v>
      </c>
      <c r="Z500" s="241"/>
      <c r="AA500" s="241"/>
      <c r="AB500" s="241"/>
      <c r="AC500" s="241"/>
      <c r="AD500" s="241"/>
      <c r="AE500" s="241"/>
      <c r="AF500" s="241"/>
      <c r="AG500" s="241"/>
      <c r="AH500" s="241"/>
      <c r="AI500" s="243"/>
      <c r="AJ500" s="243"/>
      <c r="AK500" s="241"/>
      <c r="AL500" s="241"/>
      <c r="AM500" s="241"/>
      <c r="AN500" s="241"/>
      <c r="AO500" s="241"/>
      <c r="AP500" s="241"/>
      <c r="AQ500" s="241"/>
      <c r="AR500" s="241"/>
    </row>
    <row r="501">
      <c r="A501" s="597" t="s">
        <v>693</v>
      </c>
      <c r="B501" s="598" t="s">
        <v>178</v>
      </c>
      <c r="C501" s="599">
        <v>4.0</v>
      </c>
      <c r="D501" s="599" t="s">
        <v>178</v>
      </c>
      <c r="E501" s="599" t="s">
        <v>178</v>
      </c>
      <c r="F501" s="598" t="s">
        <v>178</v>
      </c>
      <c r="G501" s="598" t="s">
        <v>178</v>
      </c>
      <c r="H501" s="598" t="s">
        <v>178</v>
      </c>
      <c r="I501" s="598" t="s">
        <v>178</v>
      </c>
      <c r="J501" s="598" t="s">
        <v>178</v>
      </c>
      <c r="K501" s="598" t="s">
        <v>178</v>
      </c>
      <c r="L501" s="310"/>
      <c r="M501" s="558"/>
      <c r="N501" s="547"/>
      <c r="O501" s="597" t="s">
        <v>693</v>
      </c>
      <c r="P501" s="598" t="s">
        <v>178</v>
      </c>
      <c r="Q501" s="600">
        <v>3.0</v>
      </c>
      <c r="R501" s="601" t="s">
        <v>178</v>
      </c>
      <c r="S501" s="601" t="s">
        <v>178</v>
      </c>
      <c r="T501" s="602" t="s">
        <v>178</v>
      </c>
      <c r="U501" s="598" t="s">
        <v>178</v>
      </c>
      <c r="V501" s="598" t="s">
        <v>178</v>
      </c>
      <c r="W501" s="598" t="s">
        <v>178</v>
      </c>
      <c r="X501" s="598" t="s">
        <v>178</v>
      </c>
      <c r="Y501" s="598" t="s">
        <v>178</v>
      </c>
      <c r="Z501" s="241"/>
      <c r="AA501" s="241"/>
      <c r="AB501" s="241"/>
      <c r="AC501" s="241"/>
      <c r="AD501" s="241"/>
      <c r="AE501" s="241"/>
      <c r="AF501" s="241"/>
      <c r="AG501" s="241"/>
      <c r="AH501" s="241"/>
      <c r="AI501" s="243"/>
      <c r="AJ501" s="243"/>
      <c r="AK501" s="241"/>
      <c r="AL501" s="241"/>
      <c r="AM501" s="241"/>
      <c r="AN501" s="241"/>
      <c r="AO501" s="241"/>
      <c r="AP501" s="241"/>
      <c r="AQ501" s="241"/>
      <c r="AR501" s="241"/>
    </row>
    <row r="502">
      <c r="A502" s="603" t="s">
        <v>694</v>
      </c>
      <c r="B502" s="604" t="s">
        <v>178</v>
      </c>
      <c r="C502" s="605">
        <v>4.0</v>
      </c>
      <c r="D502" s="605">
        <v>2.0</v>
      </c>
      <c r="E502" s="605" t="s">
        <v>178</v>
      </c>
      <c r="F502" s="604" t="s">
        <v>178</v>
      </c>
      <c r="G502" s="604" t="s">
        <v>178</v>
      </c>
      <c r="H502" s="604" t="s">
        <v>178</v>
      </c>
      <c r="I502" s="604" t="s">
        <v>178</v>
      </c>
      <c r="J502" s="604" t="s">
        <v>178</v>
      </c>
      <c r="K502" s="604" t="s">
        <v>178</v>
      </c>
      <c r="L502" s="310"/>
      <c r="M502" s="558"/>
      <c r="N502" s="547"/>
      <c r="O502" s="603" t="s">
        <v>694</v>
      </c>
      <c r="P502" s="604" t="s">
        <v>178</v>
      </c>
      <c r="Q502" s="606">
        <v>3.0</v>
      </c>
      <c r="R502" s="606">
        <v>1.0</v>
      </c>
      <c r="S502" s="607" t="s">
        <v>178</v>
      </c>
      <c r="T502" s="608" t="s">
        <v>178</v>
      </c>
      <c r="U502" s="604" t="s">
        <v>178</v>
      </c>
      <c r="V502" s="604" t="s">
        <v>178</v>
      </c>
      <c r="W502" s="604" t="s">
        <v>178</v>
      </c>
      <c r="X502" s="604" t="s">
        <v>178</v>
      </c>
      <c r="Y502" s="604" t="s">
        <v>178</v>
      </c>
      <c r="Z502" s="241"/>
      <c r="AA502" s="241"/>
      <c r="AB502" s="241"/>
      <c r="AC502" s="241"/>
      <c r="AD502" s="241"/>
      <c r="AE502" s="241"/>
      <c r="AF502" s="241"/>
      <c r="AG502" s="241"/>
      <c r="AH502" s="241"/>
      <c r="AI502" s="243"/>
      <c r="AJ502" s="243"/>
      <c r="AK502" s="241"/>
      <c r="AL502" s="241"/>
      <c r="AM502" s="241"/>
      <c r="AN502" s="241"/>
      <c r="AO502" s="241"/>
      <c r="AP502" s="241"/>
      <c r="AQ502" s="241"/>
      <c r="AR502" s="241"/>
    </row>
    <row r="503">
      <c r="A503" s="597" t="s">
        <v>695</v>
      </c>
      <c r="B503" s="598" t="s">
        <v>178</v>
      </c>
      <c r="C503" s="599">
        <v>4.0</v>
      </c>
      <c r="D503" s="599">
        <v>3.0</v>
      </c>
      <c r="E503" s="599" t="s">
        <v>178</v>
      </c>
      <c r="F503" s="598" t="s">
        <v>178</v>
      </c>
      <c r="G503" s="598" t="s">
        <v>178</v>
      </c>
      <c r="H503" s="598" t="s">
        <v>178</v>
      </c>
      <c r="I503" s="598" t="s">
        <v>178</v>
      </c>
      <c r="J503" s="598" t="s">
        <v>178</v>
      </c>
      <c r="K503" s="598" t="s">
        <v>178</v>
      </c>
      <c r="L503" s="310"/>
      <c r="M503" s="558"/>
      <c r="N503" s="547"/>
      <c r="O503" s="597" t="s">
        <v>695</v>
      </c>
      <c r="P503" s="598" t="s">
        <v>178</v>
      </c>
      <c r="Q503" s="600">
        <v>4.0</v>
      </c>
      <c r="R503" s="600">
        <v>2.0</v>
      </c>
      <c r="S503" s="601" t="s">
        <v>178</v>
      </c>
      <c r="T503" s="602" t="s">
        <v>178</v>
      </c>
      <c r="U503" s="598" t="s">
        <v>178</v>
      </c>
      <c r="V503" s="598" t="s">
        <v>178</v>
      </c>
      <c r="W503" s="598" t="s">
        <v>178</v>
      </c>
      <c r="X503" s="598" t="s">
        <v>178</v>
      </c>
      <c r="Y503" s="598" t="s">
        <v>178</v>
      </c>
      <c r="Z503" s="241"/>
      <c r="AA503" s="241"/>
      <c r="AB503" s="241"/>
      <c r="AC503" s="241"/>
      <c r="AD503" s="241"/>
      <c r="AE503" s="241"/>
      <c r="AF503" s="241"/>
      <c r="AG503" s="241"/>
      <c r="AH503" s="241"/>
      <c r="AI503" s="243"/>
      <c r="AJ503" s="243"/>
      <c r="AK503" s="241"/>
      <c r="AL503" s="241"/>
      <c r="AM503" s="241"/>
      <c r="AN503" s="241"/>
      <c r="AO503" s="241"/>
      <c r="AP503" s="241"/>
      <c r="AQ503" s="241"/>
      <c r="AR503" s="241"/>
    </row>
    <row r="504">
      <c r="A504" s="603" t="s">
        <v>696</v>
      </c>
      <c r="B504" s="604" t="s">
        <v>178</v>
      </c>
      <c r="C504" s="605">
        <v>4.0</v>
      </c>
      <c r="D504" s="605">
        <v>4.0</v>
      </c>
      <c r="E504" s="605" t="s">
        <v>178</v>
      </c>
      <c r="F504" s="604" t="s">
        <v>178</v>
      </c>
      <c r="G504" s="604" t="s">
        <v>178</v>
      </c>
      <c r="H504" s="604" t="s">
        <v>178</v>
      </c>
      <c r="I504" s="604" t="s">
        <v>178</v>
      </c>
      <c r="J504" s="604" t="s">
        <v>178</v>
      </c>
      <c r="K504" s="604" t="s">
        <v>178</v>
      </c>
      <c r="L504" s="310"/>
      <c r="M504" s="558"/>
      <c r="N504" s="547"/>
      <c r="O504" s="603" t="s">
        <v>696</v>
      </c>
      <c r="P504" s="604" t="s">
        <v>178</v>
      </c>
      <c r="Q504" s="606">
        <v>4.0</v>
      </c>
      <c r="R504" s="606">
        <v>3.0</v>
      </c>
      <c r="S504" s="607" t="s">
        <v>178</v>
      </c>
      <c r="T504" s="608" t="s">
        <v>178</v>
      </c>
      <c r="U504" s="604" t="s">
        <v>178</v>
      </c>
      <c r="V504" s="604" t="s">
        <v>178</v>
      </c>
      <c r="W504" s="604" t="s">
        <v>178</v>
      </c>
      <c r="X504" s="604" t="s">
        <v>178</v>
      </c>
      <c r="Y504" s="604" t="s">
        <v>178</v>
      </c>
      <c r="Z504" s="241"/>
      <c r="AA504" s="241"/>
      <c r="AB504" s="241"/>
      <c r="AC504" s="241"/>
      <c r="AD504" s="241"/>
      <c r="AE504" s="241"/>
      <c r="AF504" s="241"/>
      <c r="AG504" s="241"/>
      <c r="AH504" s="241"/>
      <c r="AI504" s="243"/>
      <c r="AJ504" s="243"/>
      <c r="AK504" s="241"/>
      <c r="AL504" s="241"/>
      <c r="AM504" s="241"/>
      <c r="AN504" s="241"/>
      <c r="AO504" s="241"/>
      <c r="AP504" s="241"/>
      <c r="AQ504" s="241"/>
      <c r="AR504" s="241"/>
    </row>
    <row r="505">
      <c r="A505" s="597" t="s">
        <v>675</v>
      </c>
      <c r="B505" s="598" t="s">
        <v>178</v>
      </c>
      <c r="C505" s="599">
        <v>5.0</v>
      </c>
      <c r="D505" s="599">
        <v>4.0</v>
      </c>
      <c r="E505" s="599">
        <v>2.0</v>
      </c>
      <c r="F505" s="598" t="s">
        <v>178</v>
      </c>
      <c r="G505" s="598" t="s">
        <v>178</v>
      </c>
      <c r="H505" s="598" t="s">
        <v>178</v>
      </c>
      <c r="I505" s="598" t="s">
        <v>178</v>
      </c>
      <c r="J505" s="598" t="s">
        <v>178</v>
      </c>
      <c r="K505" s="598" t="s">
        <v>178</v>
      </c>
      <c r="L505" s="310"/>
      <c r="M505" s="558"/>
      <c r="N505" s="547"/>
      <c r="O505" s="597" t="s">
        <v>675</v>
      </c>
      <c r="P505" s="598" t="s">
        <v>178</v>
      </c>
      <c r="Q505" s="600">
        <v>4.0</v>
      </c>
      <c r="R505" s="600">
        <v>3.0</v>
      </c>
      <c r="S505" s="600">
        <v>1.0</v>
      </c>
      <c r="T505" s="602" t="s">
        <v>178</v>
      </c>
      <c r="U505" s="598" t="s">
        <v>178</v>
      </c>
      <c r="V505" s="598" t="s">
        <v>178</v>
      </c>
      <c r="W505" s="598" t="s">
        <v>178</v>
      </c>
      <c r="X505" s="598" t="s">
        <v>178</v>
      </c>
      <c r="Y505" s="598" t="s">
        <v>178</v>
      </c>
      <c r="Z505" s="241"/>
      <c r="AA505" s="241"/>
      <c r="AB505" s="241"/>
      <c r="AC505" s="241"/>
      <c r="AD505" s="241"/>
      <c r="AE505" s="241"/>
      <c r="AF505" s="241"/>
      <c r="AG505" s="241"/>
      <c r="AH505" s="241"/>
      <c r="AI505" s="243"/>
      <c r="AJ505" s="243"/>
      <c r="AK505" s="241"/>
      <c r="AL505" s="241"/>
      <c r="AM505" s="241"/>
      <c r="AN505" s="241"/>
      <c r="AO505" s="241"/>
      <c r="AP505" s="241"/>
      <c r="AQ505" s="241"/>
      <c r="AR505" s="241"/>
    </row>
    <row r="506">
      <c r="A506" s="603" t="s">
        <v>676</v>
      </c>
      <c r="B506" s="604" t="s">
        <v>178</v>
      </c>
      <c r="C506" s="605">
        <v>5.0</v>
      </c>
      <c r="D506" s="605">
        <v>4.0</v>
      </c>
      <c r="E506" s="605">
        <v>3.0</v>
      </c>
      <c r="F506" s="604" t="s">
        <v>178</v>
      </c>
      <c r="G506" s="604" t="s">
        <v>178</v>
      </c>
      <c r="H506" s="604" t="s">
        <v>178</v>
      </c>
      <c r="I506" s="604" t="s">
        <v>178</v>
      </c>
      <c r="J506" s="604" t="s">
        <v>178</v>
      </c>
      <c r="K506" s="604" t="s">
        <v>178</v>
      </c>
      <c r="L506" s="310"/>
      <c r="M506" s="558"/>
      <c r="N506" s="547"/>
      <c r="O506" s="603" t="s">
        <v>676</v>
      </c>
      <c r="P506" s="604" t="s">
        <v>178</v>
      </c>
      <c r="Q506" s="606">
        <v>4.0</v>
      </c>
      <c r="R506" s="606">
        <v>4.0</v>
      </c>
      <c r="S506" s="606">
        <v>2.0</v>
      </c>
      <c r="T506" s="608" t="s">
        <v>178</v>
      </c>
      <c r="U506" s="604" t="s">
        <v>178</v>
      </c>
      <c r="V506" s="604" t="s">
        <v>178</v>
      </c>
      <c r="W506" s="604" t="s">
        <v>178</v>
      </c>
      <c r="X506" s="604" t="s">
        <v>178</v>
      </c>
      <c r="Y506" s="604" t="s">
        <v>178</v>
      </c>
      <c r="Z506" s="241"/>
      <c r="AA506" s="241"/>
      <c r="AB506" s="241"/>
      <c r="AC506" s="241"/>
      <c r="AD506" s="241"/>
      <c r="AE506" s="241"/>
      <c r="AF506" s="241"/>
      <c r="AG506" s="241"/>
      <c r="AH506" s="241"/>
      <c r="AI506" s="243"/>
      <c r="AJ506" s="243"/>
      <c r="AK506" s="241"/>
      <c r="AL506" s="241"/>
      <c r="AM506" s="241"/>
      <c r="AN506" s="241"/>
      <c r="AO506" s="241"/>
      <c r="AP506" s="241"/>
      <c r="AQ506" s="241"/>
      <c r="AR506" s="241"/>
    </row>
    <row r="507">
      <c r="A507" s="597" t="s">
        <v>677</v>
      </c>
      <c r="B507" s="598" t="s">
        <v>178</v>
      </c>
      <c r="C507" s="599">
        <v>5.0</v>
      </c>
      <c r="D507" s="599">
        <v>4.0</v>
      </c>
      <c r="E507" s="599">
        <v>4.0</v>
      </c>
      <c r="F507" s="598" t="s">
        <v>178</v>
      </c>
      <c r="G507" s="598" t="s">
        <v>178</v>
      </c>
      <c r="H507" s="598" t="s">
        <v>178</v>
      </c>
      <c r="I507" s="598" t="s">
        <v>178</v>
      </c>
      <c r="J507" s="598" t="s">
        <v>178</v>
      </c>
      <c r="K507" s="598" t="s">
        <v>178</v>
      </c>
      <c r="L507" s="310"/>
      <c r="M507" s="558"/>
      <c r="N507" s="547"/>
      <c r="O507" s="597" t="s">
        <v>677</v>
      </c>
      <c r="P507" s="598" t="s">
        <v>178</v>
      </c>
      <c r="Q507" s="600">
        <v>5.0</v>
      </c>
      <c r="R507" s="600">
        <v>4.0</v>
      </c>
      <c r="S507" s="600">
        <v>3.0</v>
      </c>
      <c r="T507" s="602" t="s">
        <v>178</v>
      </c>
      <c r="U507" s="598" t="s">
        <v>178</v>
      </c>
      <c r="V507" s="598" t="s">
        <v>178</v>
      </c>
      <c r="W507" s="598" t="s">
        <v>178</v>
      </c>
      <c r="X507" s="598" t="s">
        <v>178</v>
      </c>
      <c r="Y507" s="598" t="s">
        <v>178</v>
      </c>
      <c r="Z507" s="241"/>
      <c r="AA507" s="241"/>
      <c r="AB507" s="241"/>
      <c r="AC507" s="241"/>
      <c r="AD507" s="241"/>
      <c r="AE507" s="241"/>
      <c r="AF507" s="241"/>
      <c r="AG507" s="241"/>
      <c r="AH507" s="241"/>
      <c r="AI507" s="243"/>
      <c r="AJ507" s="243"/>
      <c r="AK507" s="241"/>
      <c r="AL507" s="241"/>
      <c r="AM507" s="241"/>
      <c r="AN507" s="241"/>
      <c r="AO507" s="241"/>
      <c r="AP507" s="241"/>
      <c r="AQ507" s="241"/>
      <c r="AR507" s="241"/>
    </row>
    <row r="508">
      <c r="A508" s="609" t="s">
        <v>697</v>
      </c>
      <c r="B508" s="604" t="s">
        <v>178</v>
      </c>
      <c r="C508" s="610">
        <v>5.0</v>
      </c>
      <c r="D508" s="610">
        <v>5.0</v>
      </c>
      <c r="E508" s="610">
        <v>4.0</v>
      </c>
      <c r="F508" s="611">
        <v>2.0</v>
      </c>
      <c r="G508" s="604" t="s">
        <v>178</v>
      </c>
      <c r="H508" s="604" t="s">
        <v>178</v>
      </c>
      <c r="I508" s="604" t="s">
        <v>178</v>
      </c>
      <c r="J508" s="604" t="s">
        <v>178</v>
      </c>
      <c r="K508" s="604" t="s">
        <v>178</v>
      </c>
      <c r="L508" s="310"/>
      <c r="M508" s="558"/>
      <c r="N508" s="547"/>
      <c r="O508" s="609" t="s">
        <v>697</v>
      </c>
      <c r="P508" s="604" t="s">
        <v>178</v>
      </c>
      <c r="Q508" s="612">
        <v>5.0</v>
      </c>
      <c r="R508" s="612">
        <v>4.0</v>
      </c>
      <c r="S508" s="612">
        <v>3.0</v>
      </c>
      <c r="T508" s="613">
        <v>1.0</v>
      </c>
      <c r="U508" s="604" t="s">
        <v>178</v>
      </c>
      <c r="V508" s="604" t="s">
        <v>178</v>
      </c>
      <c r="W508" s="604" t="s">
        <v>178</v>
      </c>
      <c r="X508" s="604" t="s">
        <v>178</v>
      </c>
      <c r="Y508" s="604" t="s">
        <v>178</v>
      </c>
      <c r="Z508" s="241"/>
      <c r="AA508" s="241"/>
      <c r="AB508" s="241"/>
      <c r="AC508" s="241"/>
      <c r="AD508" s="241"/>
      <c r="AE508" s="241"/>
      <c r="AF508" s="241"/>
      <c r="AG508" s="241"/>
      <c r="AH508" s="241"/>
      <c r="AI508" s="243"/>
      <c r="AJ508" s="243"/>
      <c r="AK508" s="241"/>
      <c r="AL508" s="241"/>
      <c r="AM508" s="241"/>
      <c r="AN508" s="241"/>
      <c r="AO508" s="241"/>
      <c r="AP508" s="241"/>
      <c r="AQ508" s="241"/>
      <c r="AR508" s="241"/>
    </row>
    <row r="509">
      <c r="A509" s="558"/>
      <c r="B509" s="310"/>
      <c r="C509" s="310"/>
      <c r="D509" s="310"/>
      <c r="E509" s="310"/>
      <c r="F509" s="310"/>
      <c r="G509" s="310"/>
      <c r="H509" s="547"/>
      <c r="I509" s="547"/>
      <c r="J509" s="547"/>
      <c r="K509" s="547"/>
      <c r="L509" s="310"/>
      <c r="M509" s="558"/>
      <c r="N509" s="547"/>
      <c r="O509" s="310"/>
      <c r="P509" s="590"/>
      <c r="Q509" s="590"/>
      <c r="R509" s="590"/>
      <c r="S509" s="547"/>
      <c r="T509" s="547"/>
      <c r="U509" s="547"/>
      <c r="V509" s="547"/>
      <c r="W509" s="547"/>
      <c r="X509" s="241"/>
      <c r="Y509" s="241"/>
      <c r="Z509" s="241"/>
      <c r="AA509" s="241"/>
      <c r="AB509" s="241"/>
      <c r="AC509" s="241"/>
      <c r="AD509" s="241"/>
      <c r="AE509" s="241"/>
      <c r="AF509" s="241"/>
      <c r="AG509" s="241"/>
      <c r="AH509" s="241"/>
      <c r="AI509" s="243"/>
      <c r="AJ509" s="243"/>
      <c r="AK509" s="241"/>
      <c r="AL509" s="241"/>
      <c r="AM509" s="241"/>
      <c r="AN509" s="241"/>
      <c r="AO509" s="241"/>
      <c r="AP509" s="241"/>
      <c r="AQ509" s="241"/>
      <c r="AR509" s="241"/>
    </row>
    <row r="510">
      <c r="A510" s="614"/>
      <c r="B510" s="546"/>
      <c r="C510" s="546"/>
      <c r="D510" s="546"/>
      <c r="E510" s="310"/>
      <c r="F510" s="615"/>
      <c r="G510" s="580"/>
      <c r="H510" s="546"/>
      <c r="I510" s="580"/>
      <c r="J510" s="310"/>
      <c r="K510" s="556"/>
      <c r="L510" s="554"/>
      <c r="M510" s="556"/>
      <c r="N510" s="616"/>
      <c r="O510" s="546"/>
      <c r="P510" s="554"/>
      <c r="Q510" s="546"/>
      <c r="R510" s="556"/>
      <c r="S510" s="310"/>
      <c r="T510" s="547"/>
      <c r="U510" s="554"/>
      <c r="V510" s="580"/>
      <c r="W510" s="556"/>
      <c r="X510" s="310"/>
      <c r="Y510" s="241"/>
      <c r="Z510" s="241"/>
      <c r="AA510" s="241"/>
      <c r="AB510" s="241"/>
      <c r="AC510" s="241"/>
      <c r="AD510" s="241"/>
      <c r="AE510" s="241"/>
      <c r="AF510" s="241"/>
      <c r="AG510" s="241"/>
      <c r="AH510" s="241"/>
      <c r="AI510" s="243"/>
      <c r="AJ510" s="243"/>
      <c r="AK510" s="241"/>
      <c r="AL510" s="241"/>
      <c r="AM510" s="241"/>
      <c r="AN510" s="241"/>
      <c r="AO510" s="241"/>
      <c r="AP510" s="241"/>
      <c r="AQ510" s="241"/>
      <c r="AR510" s="241"/>
    </row>
    <row r="511">
      <c r="A511" s="614"/>
      <c r="B511" s="546"/>
      <c r="C511" s="546"/>
      <c r="D511" s="546"/>
      <c r="E511" s="310"/>
      <c r="F511" s="615"/>
      <c r="G511" s="580"/>
      <c r="H511" s="546"/>
      <c r="I511" s="580"/>
      <c r="J511" s="310"/>
      <c r="K511" s="556"/>
      <c r="L511" s="554"/>
      <c r="M511" s="556"/>
      <c r="N511" s="616"/>
      <c r="O511" s="546"/>
      <c r="P511" s="554"/>
      <c r="Q511" s="546"/>
      <c r="R511" s="556"/>
      <c r="S511" s="310"/>
      <c r="T511" s="547"/>
      <c r="U511" s="554"/>
      <c r="V511" s="580"/>
      <c r="W511" s="556"/>
      <c r="X511" s="310"/>
      <c r="Y511" s="241"/>
      <c r="Z511" s="241"/>
      <c r="AA511" s="241"/>
      <c r="AB511" s="241"/>
      <c r="AC511" s="241"/>
      <c r="AD511" s="241"/>
      <c r="AE511" s="241"/>
      <c r="AF511" s="241"/>
      <c r="AG511" s="241"/>
      <c r="AH511" s="241"/>
      <c r="AI511" s="243"/>
      <c r="AJ511" s="243"/>
      <c r="AK511" s="241"/>
      <c r="AL511" s="241"/>
      <c r="AM511" s="241"/>
      <c r="AN511" s="241"/>
      <c r="AO511" s="241"/>
      <c r="AP511" s="241"/>
      <c r="AQ511" s="241"/>
      <c r="AR511" s="241"/>
    </row>
    <row r="512">
      <c r="A512" s="614"/>
      <c r="B512" s="546"/>
      <c r="C512" s="546"/>
      <c r="D512" s="546"/>
      <c r="E512" s="310"/>
      <c r="F512" s="615"/>
      <c r="G512" s="580"/>
      <c r="H512" s="546"/>
      <c r="I512" s="580"/>
      <c r="J512" s="310"/>
      <c r="K512" s="556"/>
      <c r="L512" s="554"/>
      <c r="M512" s="556"/>
      <c r="N512" s="616"/>
      <c r="O512" s="546"/>
      <c r="P512" s="554"/>
      <c r="Q512" s="546"/>
      <c r="R512" s="556"/>
      <c r="S512" s="310"/>
      <c r="T512" s="547"/>
      <c r="U512" s="554"/>
      <c r="V512" s="580"/>
      <c r="W512" s="556"/>
      <c r="X512" s="310"/>
      <c r="Y512" s="241"/>
      <c r="Z512" s="241"/>
      <c r="AA512" s="241"/>
      <c r="AB512" s="241"/>
      <c r="AC512" s="241"/>
      <c r="AD512" s="241"/>
      <c r="AE512" s="241"/>
      <c r="AF512" s="241"/>
      <c r="AG512" s="241"/>
      <c r="AH512" s="241"/>
      <c r="AI512" s="243"/>
      <c r="AJ512" s="243"/>
      <c r="AK512" s="241"/>
      <c r="AL512" s="241"/>
      <c r="AM512" s="241"/>
      <c r="AN512" s="241"/>
      <c r="AO512" s="241"/>
      <c r="AP512" s="241"/>
      <c r="AQ512" s="241"/>
      <c r="AR512" s="241"/>
    </row>
    <row r="513">
      <c r="A513" s="614"/>
      <c r="B513" s="546"/>
      <c r="C513" s="546"/>
      <c r="D513" s="546"/>
      <c r="E513" s="310"/>
      <c r="F513" s="615"/>
      <c r="G513" s="580"/>
      <c r="H513" s="546"/>
      <c r="I513" s="580"/>
      <c r="J513" s="310"/>
      <c r="K513" s="556"/>
      <c r="L513" s="554"/>
      <c r="M513" s="556"/>
      <c r="N513" s="616"/>
      <c r="O513" s="546"/>
      <c r="P513" s="554"/>
      <c r="Q513" s="546"/>
      <c r="R513" s="556"/>
      <c r="S513" s="310"/>
      <c r="T513" s="547"/>
      <c r="U513" s="554"/>
      <c r="V513" s="580"/>
      <c r="W513" s="556"/>
      <c r="X513" s="310"/>
      <c r="Y513" s="241"/>
      <c r="Z513" s="241"/>
      <c r="AA513" s="241"/>
      <c r="AB513" s="241"/>
      <c r="AC513" s="241"/>
      <c r="AD513" s="241"/>
      <c r="AE513" s="241"/>
      <c r="AF513" s="241"/>
      <c r="AG513" s="241"/>
      <c r="AH513" s="241"/>
      <c r="AI513" s="243"/>
      <c r="AJ513" s="243"/>
      <c r="AK513" s="241"/>
      <c r="AL513" s="241"/>
      <c r="AM513" s="241"/>
      <c r="AN513" s="241"/>
      <c r="AO513" s="241"/>
      <c r="AP513" s="241"/>
      <c r="AQ513" s="241"/>
      <c r="AR513" s="241"/>
    </row>
    <row r="514">
      <c r="A514" s="614"/>
      <c r="B514" s="546"/>
      <c r="C514" s="546"/>
      <c r="D514" s="546"/>
      <c r="E514" s="310"/>
      <c r="F514" s="615"/>
      <c r="G514" s="580"/>
      <c r="H514" s="546"/>
      <c r="I514" s="580"/>
      <c r="J514" s="310"/>
      <c r="K514" s="556"/>
      <c r="L514" s="554"/>
      <c r="M514" s="556"/>
      <c r="N514" s="616"/>
      <c r="O514" s="546"/>
      <c r="P514" s="554"/>
      <c r="Q514" s="546"/>
      <c r="R514" s="556"/>
      <c r="S514" s="310"/>
      <c r="T514" s="547"/>
      <c r="U514" s="554"/>
      <c r="V514" s="580"/>
      <c r="W514" s="556"/>
      <c r="X514" s="310"/>
      <c r="Y514" s="241"/>
      <c r="Z514" s="241"/>
      <c r="AA514" s="241"/>
      <c r="AB514" s="241"/>
      <c r="AC514" s="241"/>
      <c r="AD514" s="241"/>
      <c r="AE514" s="241"/>
      <c r="AF514" s="241"/>
      <c r="AG514" s="241"/>
      <c r="AH514" s="241"/>
      <c r="AI514" s="243"/>
      <c r="AJ514" s="243"/>
      <c r="AK514" s="241"/>
      <c r="AL514" s="241"/>
      <c r="AM514" s="241"/>
      <c r="AN514" s="241"/>
      <c r="AO514" s="241"/>
      <c r="AP514" s="241"/>
      <c r="AQ514" s="241"/>
      <c r="AR514" s="241"/>
    </row>
    <row r="515">
      <c r="A515" s="614"/>
      <c r="B515" s="546"/>
      <c r="C515" s="546"/>
      <c r="D515" s="546"/>
      <c r="E515" s="310"/>
      <c r="F515" s="615"/>
      <c r="G515" s="580"/>
      <c r="H515" s="546"/>
      <c r="I515" s="580"/>
      <c r="J515" s="310"/>
      <c r="K515" s="556"/>
      <c r="L515" s="554"/>
      <c r="M515" s="556"/>
      <c r="N515" s="616"/>
      <c r="O515" s="546"/>
      <c r="P515" s="554"/>
      <c r="Q515" s="546"/>
      <c r="R515" s="556"/>
      <c r="S515" s="310"/>
      <c r="T515" s="547"/>
      <c r="U515" s="554"/>
      <c r="V515" s="580"/>
      <c r="W515" s="556"/>
      <c r="X515" s="310"/>
      <c r="Y515" s="241"/>
      <c r="Z515" s="241"/>
      <c r="AA515" s="241"/>
      <c r="AB515" s="241"/>
      <c r="AC515" s="241"/>
      <c r="AD515" s="241"/>
      <c r="AE515" s="241"/>
      <c r="AF515" s="241"/>
      <c r="AG515" s="241"/>
      <c r="AH515" s="241"/>
      <c r="AI515" s="243"/>
      <c r="AJ515" s="243"/>
      <c r="AK515" s="241"/>
      <c r="AL515" s="241"/>
      <c r="AM515" s="241"/>
      <c r="AN515" s="241"/>
      <c r="AO515" s="241"/>
      <c r="AP515" s="241"/>
      <c r="AQ515" s="241"/>
      <c r="AR515" s="241"/>
    </row>
    <row r="516">
      <c r="A516" s="614"/>
      <c r="B516" s="546"/>
      <c r="C516" s="546"/>
      <c r="D516" s="546"/>
      <c r="E516" s="310"/>
      <c r="F516" s="615"/>
      <c r="G516" s="580"/>
      <c r="H516" s="546"/>
      <c r="I516" s="580"/>
      <c r="J516" s="310"/>
      <c r="K516" s="556"/>
      <c r="L516" s="554"/>
      <c r="M516" s="556"/>
      <c r="N516" s="616"/>
      <c r="O516" s="546"/>
      <c r="P516" s="554"/>
      <c r="Q516" s="546"/>
      <c r="R516" s="556"/>
      <c r="S516" s="310"/>
      <c r="T516" s="547"/>
      <c r="U516" s="554"/>
      <c r="V516" s="580"/>
      <c r="W516" s="556"/>
      <c r="X516" s="310"/>
      <c r="Y516" s="241"/>
      <c r="Z516" s="241"/>
      <c r="AA516" s="241"/>
      <c r="AB516" s="241"/>
      <c r="AC516" s="241"/>
      <c r="AD516" s="241"/>
      <c r="AE516" s="241"/>
      <c r="AF516" s="241"/>
      <c r="AG516" s="241"/>
      <c r="AH516" s="241"/>
      <c r="AI516" s="243"/>
      <c r="AJ516" s="243"/>
      <c r="AK516" s="241"/>
      <c r="AL516" s="241"/>
      <c r="AM516" s="241"/>
      <c r="AN516" s="241"/>
      <c r="AO516" s="241"/>
      <c r="AP516" s="241"/>
      <c r="AQ516" s="241"/>
      <c r="AR516" s="241"/>
    </row>
    <row r="517">
      <c r="A517" s="310"/>
      <c r="B517" s="241"/>
      <c r="C517" s="241"/>
      <c r="D517" s="241"/>
      <c r="E517" s="310">
        <f>OFFSET(C518,20,0)</f>
        <v>128</v>
      </c>
      <c r="F517" s="310"/>
      <c r="G517" s="547"/>
      <c r="H517" s="547"/>
      <c r="I517" s="547"/>
      <c r="J517" s="547"/>
      <c r="K517" s="547"/>
      <c r="L517" s="310"/>
      <c r="M517" s="310"/>
      <c r="N517" s="547"/>
      <c r="O517" s="310"/>
      <c r="P517" s="590"/>
      <c r="Q517" s="590"/>
      <c r="R517" s="590"/>
      <c r="S517" s="547"/>
      <c r="T517" s="547"/>
      <c r="U517" s="547"/>
      <c r="V517" s="547"/>
      <c r="W517" s="547"/>
      <c r="X517" s="241"/>
      <c r="Y517" s="241"/>
      <c r="Z517" s="241"/>
      <c r="AA517" s="241"/>
      <c r="AB517" s="241"/>
      <c r="AC517" s="241"/>
      <c r="AD517" s="241"/>
      <c r="AE517" s="241"/>
      <c r="AF517" s="241"/>
      <c r="AG517" s="241"/>
      <c r="AH517" s="241"/>
      <c r="AI517" s="243"/>
      <c r="AJ517" s="243"/>
      <c r="AK517" s="241"/>
      <c r="AL517" s="241"/>
      <c r="AM517" s="241"/>
      <c r="AN517" s="241"/>
      <c r="AO517" s="241"/>
      <c r="AP517" s="241"/>
      <c r="AQ517" s="241"/>
      <c r="AR517" s="241"/>
    </row>
    <row r="518">
      <c r="A518" s="614" t="s">
        <v>699</v>
      </c>
      <c r="B518" s="546" t="s">
        <v>700</v>
      </c>
      <c r="C518" s="546" t="s">
        <v>701</v>
      </c>
      <c r="D518" s="546" t="s">
        <v>702</v>
      </c>
      <c r="E518" s="310"/>
      <c r="F518" s="615" t="s">
        <v>703</v>
      </c>
      <c r="G518" s="580" t="s">
        <v>552</v>
      </c>
      <c r="H518" s="546" t="s">
        <v>704</v>
      </c>
      <c r="I518" s="580" t="s">
        <v>549</v>
      </c>
      <c r="J518" s="310" t="s">
        <v>561</v>
      </c>
      <c r="K518" s="556" t="s">
        <v>563</v>
      </c>
      <c r="L518" s="554" t="s">
        <v>540</v>
      </c>
      <c r="M518" s="556"/>
      <c r="N518" s="616" t="s">
        <v>705</v>
      </c>
      <c r="O518" s="546" t="s">
        <v>706</v>
      </c>
      <c r="P518" s="554" t="s">
        <v>563</v>
      </c>
      <c r="Q518" s="546" t="s">
        <v>701</v>
      </c>
      <c r="R518" s="556" t="s">
        <v>549</v>
      </c>
      <c r="S518" s="310"/>
      <c r="T518" s="547"/>
      <c r="U518" s="554"/>
      <c r="V518" s="580"/>
      <c r="W518" s="556"/>
      <c r="X518" s="241"/>
      <c r="Y518" s="241" t="s">
        <v>691</v>
      </c>
      <c r="Z518" s="241" t="s">
        <v>692</v>
      </c>
      <c r="AA518" s="241" t="s">
        <v>693</v>
      </c>
      <c r="AB518" s="241" t="s">
        <v>694</v>
      </c>
      <c r="AC518" s="241" t="s">
        <v>695</v>
      </c>
      <c r="AD518" s="241" t="s">
        <v>696</v>
      </c>
      <c r="AE518" s="241" t="s">
        <v>675</v>
      </c>
      <c r="AF518" s="241" t="s">
        <v>676</v>
      </c>
      <c r="AG518" s="241" t="s">
        <v>677</v>
      </c>
      <c r="AH518" s="241" t="s">
        <v>697</v>
      </c>
      <c r="AI518" s="241" t="s">
        <v>707</v>
      </c>
      <c r="AJ518" s="241" t="s">
        <v>708</v>
      </c>
      <c r="AK518" s="241" t="s">
        <v>709</v>
      </c>
      <c r="AL518" s="241" t="s">
        <v>710</v>
      </c>
      <c r="AM518" s="241" t="s">
        <v>711</v>
      </c>
      <c r="AN518" s="241" t="s">
        <v>712</v>
      </c>
      <c r="AO518" s="241" t="s">
        <v>713</v>
      </c>
      <c r="AP518" s="241" t="s">
        <v>714</v>
      </c>
      <c r="AQ518" s="241" t="s">
        <v>715</v>
      </c>
      <c r="AR518" s="241" t="s">
        <v>716</v>
      </c>
    </row>
    <row r="519">
      <c r="A519" s="618">
        <v>1.0</v>
      </c>
      <c r="B519" s="310">
        <v>2.0</v>
      </c>
      <c r="C519" s="556">
        <v>1.0</v>
      </c>
      <c r="D519" s="556">
        <v>1.0</v>
      </c>
      <c r="E519" s="310"/>
      <c r="F519" s="618">
        <v>1.0</v>
      </c>
      <c r="G519" s="310">
        <v>3.0</v>
      </c>
      <c r="H519" s="313">
        <v>1.0</v>
      </c>
      <c r="I519" s="580">
        <v>0.0</v>
      </c>
      <c r="J519" s="310">
        <v>2.0</v>
      </c>
      <c r="K519" s="310">
        <v>1.0</v>
      </c>
      <c r="L519" s="313">
        <v>0.0</v>
      </c>
      <c r="M519" s="556"/>
      <c r="N519" s="618">
        <v>1.0</v>
      </c>
      <c r="O519" s="310" t="s">
        <v>691</v>
      </c>
      <c r="P519" s="310" t="s">
        <v>691</v>
      </c>
      <c r="Q519" s="310" t="s">
        <v>691</v>
      </c>
      <c r="R519" s="310" t="s">
        <v>691</v>
      </c>
      <c r="S519" s="310"/>
      <c r="T519" s="547"/>
      <c r="U519" s="558"/>
      <c r="V519" s="310"/>
      <c r="W519" s="310"/>
      <c r="X519" s="556">
        <v>0.0</v>
      </c>
      <c r="Y519" s="241">
        <v>0.0</v>
      </c>
      <c r="Z519" s="241">
        <v>0.0</v>
      </c>
      <c r="AA519" s="241">
        <v>0.0</v>
      </c>
      <c r="AB519" s="241">
        <v>0.0</v>
      </c>
      <c r="AC519" s="241">
        <v>0.0</v>
      </c>
      <c r="AD519" s="241">
        <v>0.0</v>
      </c>
      <c r="AE519" s="241">
        <v>0.0</v>
      </c>
      <c r="AF519" s="241">
        <v>0.0</v>
      </c>
      <c r="AG519" s="241">
        <v>0.0</v>
      </c>
      <c r="AH519" s="241">
        <v>0.0</v>
      </c>
      <c r="AI519" s="241">
        <v>0.0</v>
      </c>
      <c r="AJ519" s="241">
        <v>0.0</v>
      </c>
      <c r="AK519" s="241">
        <v>0.0</v>
      </c>
      <c r="AL519" s="241">
        <v>0.0</v>
      </c>
      <c r="AM519" s="241">
        <v>0.0</v>
      </c>
      <c r="AN519" s="241">
        <v>0.0</v>
      </c>
      <c r="AO519" s="241">
        <v>0.0</v>
      </c>
      <c r="AP519" s="241">
        <v>0.0</v>
      </c>
      <c r="AQ519" s="241">
        <v>0.0</v>
      </c>
      <c r="AR519" s="241">
        <v>0.0</v>
      </c>
    </row>
    <row r="520">
      <c r="A520" s="618">
        <v>2.0</v>
      </c>
      <c r="B520" s="310">
        <v>6.0</v>
      </c>
      <c r="C520" s="556">
        <v>2.0</v>
      </c>
      <c r="D520" s="556">
        <v>2.0</v>
      </c>
      <c r="E520" s="310"/>
      <c r="F520" s="618">
        <v>2.0</v>
      </c>
      <c r="G520" s="310">
        <v>5.0</v>
      </c>
      <c r="H520" s="313">
        <v>2.0</v>
      </c>
      <c r="I520" s="580">
        <v>1.0</v>
      </c>
      <c r="J520" s="310">
        <v>2.0</v>
      </c>
      <c r="K520" s="310">
        <v>2.0</v>
      </c>
      <c r="L520" s="313">
        <v>0.0</v>
      </c>
      <c r="M520" s="241"/>
      <c r="N520" s="618">
        <v>2.0</v>
      </c>
      <c r="O520" s="310" t="s">
        <v>691</v>
      </c>
      <c r="P520" s="310" t="s">
        <v>691</v>
      </c>
      <c r="Q520" s="310" t="s">
        <v>691</v>
      </c>
      <c r="R520" s="310" t="s">
        <v>691</v>
      </c>
      <c r="S520" s="310"/>
      <c r="T520" s="547"/>
      <c r="U520" s="558"/>
      <c r="V520" s="310"/>
      <c r="W520" s="310"/>
      <c r="X520" s="241">
        <v>1.0</v>
      </c>
      <c r="Y520" s="241">
        <v>0.0</v>
      </c>
      <c r="Z520" s="241">
        <v>1.0</v>
      </c>
      <c r="AA520" s="241">
        <v>1.0</v>
      </c>
      <c r="AB520" s="241">
        <v>2.0</v>
      </c>
      <c r="AC520" s="241">
        <v>2.0</v>
      </c>
      <c r="AD520" s="241">
        <v>3.0</v>
      </c>
      <c r="AE520" s="241">
        <v>3.0</v>
      </c>
      <c r="AF520" s="241">
        <v>4.0</v>
      </c>
      <c r="AG520" s="241">
        <v>4.0</v>
      </c>
      <c r="AH520" s="241">
        <v>5.0</v>
      </c>
      <c r="AI520" s="241">
        <v>5.0</v>
      </c>
      <c r="AJ520" s="241">
        <v>6.0</v>
      </c>
      <c r="AK520" s="241">
        <v>6.0</v>
      </c>
      <c r="AL520" s="241">
        <v>7.0</v>
      </c>
      <c r="AM520" s="241">
        <v>7.0</v>
      </c>
      <c r="AN520" s="241">
        <v>8.0</v>
      </c>
      <c r="AO520" s="241">
        <v>8.0</v>
      </c>
      <c r="AP520" s="241">
        <v>9.0</v>
      </c>
      <c r="AQ520" s="241">
        <v>9.0</v>
      </c>
      <c r="AR520" s="241">
        <v>10.0</v>
      </c>
    </row>
    <row r="521">
      <c r="A521" s="618">
        <v>3.0</v>
      </c>
      <c r="B521" s="310">
        <v>11.0</v>
      </c>
      <c r="C521" s="556">
        <v>4.0</v>
      </c>
      <c r="D521" s="556">
        <v>3.0</v>
      </c>
      <c r="E521" s="310"/>
      <c r="F521" s="618">
        <v>3.0</v>
      </c>
      <c r="G521" s="310">
        <v>7.0</v>
      </c>
      <c r="H521" s="313">
        <v>3.0</v>
      </c>
      <c r="I521" s="580">
        <v>2.0</v>
      </c>
      <c r="J521" s="310">
        <v>3.0</v>
      </c>
      <c r="K521" s="310">
        <v>2.0</v>
      </c>
      <c r="L521" s="313">
        <v>0.0</v>
      </c>
      <c r="M521" s="241"/>
      <c r="N521" s="618">
        <v>3.0</v>
      </c>
      <c r="O521" s="310" t="s">
        <v>692</v>
      </c>
      <c r="P521" s="310" t="s">
        <v>691</v>
      </c>
      <c r="Q521" s="310" t="s">
        <v>691</v>
      </c>
      <c r="R521" s="310" t="s">
        <v>691</v>
      </c>
      <c r="S521" s="310"/>
      <c r="T521" s="547"/>
      <c r="U521" s="558"/>
      <c r="V521" s="310"/>
      <c r="W521" s="310"/>
      <c r="X521" s="241">
        <v>2.0</v>
      </c>
      <c r="Y521" s="241">
        <v>1.0</v>
      </c>
      <c r="Z521" s="241">
        <v>2.0</v>
      </c>
      <c r="AA521" s="241">
        <v>3.0</v>
      </c>
      <c r="AB521" s="241">
        <v>4.0</v>
      </c>
      <c r="AC521" s="241">
        <v>5.0</v>
      </c>
      <c r="AD521" s="241">
        <v>6.0</v>
      </c>
      <c r="AE521" s="241">
        <v>7.0</v>
      </c>
      <c r="AF521" s="241">
        <v>8.0</v>
      </c>
      <c r="AG521" s="241">
        <v>9.0</v>
      </c>
      <c r="AH521" s="241">
        <v>10.0</v>
      </c>
      <c r="AI521" s="241">
        <v>11.0</v>
      </c>
      <c r="AJ521" s="241">
        <v>12.0</v>
      </c>
      <c r="AK521" s="241">
        <v>13.0</v>
      </c>
      <c r="AL521" s="241">
        <v>14.0</v>
      </c>
      <c r="AM521" s="241">
        <v>15.0</v>
      </c>
      <c r="AN521" s="241">
        <v>16.0</v>
      </c>
      <c r="AO521" s="241">
        <v>17.0</v>
      </c>
      <c r="AP521" s="241">
        <v>18.0</v>
      </c>
      <c r="AQ521" s="241">
        <v>19.0</v>
      </c>
      <c r="AR521" s="241">
        <v>20.0</v>
      </c>
    </row>
    <row r="522">
      <c r="A522" s="618">
        <v>4.0</v>
      </c>
      <c r="B522" s="310">
        <v>17.0</v>
      </c>
      <c r="C522" s="556">
        <v>6.0</v>
      </c>
      <c r="D522" s="556">
        <v>5.0</v>
      </c>
      <c r="E522" s="310"/>
      <c r="F522" s="618">
        <v>4.0</v>
      </c>
      <c r="G522" s="310">
        <v>9.0</v>
      </c>
      <c r="H522" s="313">
        <v>4.0</v>
      </c>
      <c r="I522" s="580">
        <v>2.0</v>
      </c>
      <c r="J522" s="310">
        <v>3.0</v>
      </c>
      <c r="K522" s="310">
        <v>3.0</v>
      </c>
      <c r="L522" s="313">
        <v>0.0</v>
      </c>
      <c r="M522" s="241"/>
      <c r="N522" s="618">
        <v>4.0</v>
      </c>
      <c r="O522" s="310" t="s">
        <v>692</v>
      </c>
      <c r="P522" s="310" t="s">
        <v>692</v>
      </c>
      <c r="Q522" s="310" t="s">
        <v>692</v>
      </c>
      <c r="R522" s="310" t="s">
        <v>691</v>
      </c>
      <c r="S522" s="310"/>
      <c r="T522" s="547"/>
      <c r="U522" s="558"/>
      <c r="V522" s="310"/>
      <c r="W522" s="310"/>
      <c r="X522" s="241">
        <v>3.0</v>
      </c>
      <c r="Y522" s="241">
        <v>1.0</v>
      </c>
      <c r="Z522" s="241">
        <v>3.0</v>
      </c>
      <c r="AA522" s="241">
        <v>4.0</v>
      </c>
      <c r="AB522" s="241">
        <v>6.0</v>
      </c>
      <c r="AC522" s="241">
        <v>7.0</v>
      </c>
      <c r="AD522" s="241">
        <v>9.0</v>
      </c>
      <c r="AE522" s="241">
        <v>10.0</v>
      </c>
      <c r="AF522" s="241">
        <v>12.0</v>
      </c>
      <c r="AG522" s="241">
        <v>13.0</v>
      </c>
      <c r="AH522" s="241">
        <v>15.0</v>
      </c>
      <c r="AI522" s="241">
        <v>16.0</v>
      </c>
      <c r="AJ522" s="241">
        <v>18.0</v>
      </c>
      <c r="AK522" s="241">
        <v>19.0</v>
      </c>
      <c r="AL522" s="241">
        <v>21.0</v>
      </c>
      <c r="AM522" s="241">
        <v>22.0</v>
      </c>
      <c r="AN522" s="241">
        <v>24.0</v>
      </c>
      <c r="AO522" s="241">
        <v>25.0</v>
      </c>
      <c r="AP522" s="241">
        <v>27.0</v>
      </c>
      <c r="AQ522" s="241">
        <v>28.0</v>
      </c>
      <c r="AR522" s="241">
        <v>30.0</v>
      </c>
    </row>
    <row r="523">
      <c r="A523" s="618">
        <v>5.0</v>
      </c>
      <c r="B523" s="310">
        <v>25.0</v>
      </c>
      <c r="C523" s="556">
        <v>8.0</v>
      </c>
      <c r="D523" s="556">
        <v>7.0</v>
      </c>
      <c r="E523" s="310"/>
      <c r="F523" s="618">
        <v>5.0</v>
      </c>
      <c r="G523" s="310">
        <v>11.0</v>
      </c>
      <c r="H523" s="313">
        <v>5.0</v>
      </c>
      <c r="I523" s="580">
        <v>3.0</v>
      </c>
      <c r="J523" s="310">
        <v>4.0</v>
      </c>
      <c r="K523" s="310">
        <v>3.0</v>
      </c>
      <c r="L523" s="313">
        <v>0.0</v>
      </c>
      <c r="M523" s="241"/>
      <c r="N523" s="618">
        <v>5.0</v>
      </c>
      <c r="O523" s="310" t="s">
        <v>693</v>
      </c>
      <c r="P523" s="310" t="s">
        <v>692</v>
      </c>
      <c r="Q523" s="310" t="s">
        <v>692</v>
      </c>
      <c r="R523" s="310" t="s">
        <v>692</v>
      </c>
      <c r="S523" s="310"/>
      <c r="T523" s="547"/>
      <c r="U523" s="558"/>
      <c r="V523" s="310"/>
      <c r="W523" s="310"/>
      <c r="X523" s="241">
        <v>4.0</v>
      </c>
      <c r="Y523" s="241">
        <v>2.0</v>
      </c>
      <c r="Z523" s="241">
        <v>4.0</v>
      </c>
      <c r="AA523" s="241">
        <v>6.0</v>
      </c>
      <c r="AB523" s="241">
        <v>8.0</v>
      </c>
      <c r="AC523" s="241">
        <v>10.0</v>
      </c>
      <c r="AD523" s="241">
        <v>12.0</v>
      </c>
      <c r="AE523" s="241">
        <v>14.0</v>
      </c>
      <c r="AF523" s="241">
        <v>16.0</v>
      </c>
      <c r="AG523" s="241">
        <v>18.0</v>
      </c>
      <c r="AH523" s="241">
        <v>20.0</v>
      </c>
      <c r="AI523" s="241">
        <v>22.0</v>
      </c>
      <c r="AJ523" s="241">
        <v>24.0</v>
      </c>
      <c r="AK523" s="241">
        <v>26.0</v>
      </c>
      <c r="AL523" s="241">
        <v>28.0</v>
      </c>
      <c r="AM523" s="241">
        <v>30.0</v>
      </c>
      <c r="AN523" s="241">
        <v>32.0</v>
      </c>
      <c r="AO523" s="241">
        <v>34.0</v>
      </c>
      <c r="AP523" s="241">
        <v>36.0</v>
      </c>
      <c r="AQ523" s="241">
        <v>38.0</v>
      </c>
      <c r="AR523" s="241">
        <v>40.0</v>
      </c>
    </row>
    <row r="524">
      <c r="A524" s="618">
        <v>6.0</v>
      </c>
      <c r="B524" s="310">
        <v>35.0</v>
      </c>
      <c r="C524" s="556">
        <v>12.0</v>
      </c>
      <c r="D524" s="556">
        <v>9.0</v>
      </c>
      <c r="E524" s="310"/>
      <c r="F524" s="618">
        <v>6.0</v>
      </c>
      <c r="G524" s="310">
        <v>13.0</v>
      </c>
      <c r="H524" s="313">
        <v>6.0</v>
      </c>
      <c r="I524" s="580">
        <v>4.0</v>
      </c>
      <c r="J524" s="310">
        <v>4.0</v>
      </c>
      <c r="K524" s="310">
        <v>4.0</v>
      </c>
      <c r="L524" s="313">
        <v>0.0</v>
      </c>
      <c r="M524" s="241"/>
      <c r="N524" s="618">
        <v>6.0</v>
      </c>
      <c r="O524" s="310" t="s">
        <v>693</v>
      </c>
      <c r="P524" s="310" t="s">
        <v>693</v>
      </c>
      <c r="Q524" s="310" t="s">
        <v>692</v>
      </c>
      <c r="R524" s="310" t="s">
        <v>692</v>
      </c>
      <c r="S524" s="310"/>
      <c r="T524" s="547"/>
      <c r="U524" s="558"/>
      <c r="V524" s="310"/>
      <c r="W524" s="310"/>
      <c r="X524" s="241">
        <v>5.0</v>
      </c>
      <c r="Y524" s="241">
        <v>2.0</v>
      </c>
      <c r="Z524" s="241">
        <v>5.0</v>
      </c>
      <c r="AA524" s="241">
        <v>7.0</v>
      </c>
      <c r="AB524" s="241">
        <v>10.0</v>
      </c>
      <c r="AC524" s="241">
        <v>12.0</v>
      </c>
      <c r="AD524" s="241">
        <v>15.0</v>
      </c>
      <c r="AE524" s="241">
        <v>17.0</v>
      </c>
      <c r="AF524" s="241">
        <v>20.0</v>
      </c>
      <c r="AG524" s="241">
        <v>22.0</v>
      </c>
      <c r="AH524" s="241">
        <v>25.0</v>
      </c>
      <c r="AI524" s="241">
        <v>27.0</v>
      </c>
      <c r="AJ524" s="241">
        <v>30.0</v>
      </c>
      <c r="AK524" s="241">
        <v>32.0</v>
      </c>
      <c r="AL524" s="241">
        <v>35.0</v>
      </c>
      <c r="AM524" s="241">
        <v>37.0</v>
      </c>
      <c r="AN524" s="241">
        <v>40.0</v>
      </c>
      <c r="AO524" s="241">
        <v>42.0</v>
      </c>
      <c r="AP524" s="241">
        <v>45.0</v>
      </c>
      <c r="AQ524" s="241">
        <v>47.0</v>
      </c>
      <c r="AR524" s="241">
        <v>50.0</v>
      </c>
    </row>
    <row r="525">
      <c r="A525" s="618">
        <v>7.0</v>
      </c>
      <c r="B525" s="310">
        <v>46.0</v>
      </c>
      <c r="C525" s="556">
        <v>16.0</v>
      </c>
      <c r="D525" s="556">
        <v>11.0</v>
      </c>
      <c r="E525" s="310"/>
      <c r="F525" s="618">
        <v>7.0</v>
      </c>
      <c r="G525" s="310">
        <v>15.0</v>
      </c>
      <c r="H525" s="313">
        <v>7.0</v>
      </c>
      <c r="I525" s="580">
        <v>5.0</v>
      </c>
      <c r="J525" s="310">
        <v>5.0</v>
      </c>
      <c r="K525" s="310">
        <v>4.0</v>
      </c>
      <c r="L525" s="313">
        <v>0.0</v>
      </c>
      <c r="M525" s="241"/>
      <c r="N525" s="618">
        <v>7.0</v>
      </c>
      <c r="O525" s="310" t="s">
        <v>694</v>
      </c>
      <c r="P525" s="310" t="s">
        <v>693</v>
      </c>
      <c r="Q525" s="310" t="s">
        <v>693</v>
      </c>
      <c r="R525" s="310" t="s">
        <v>692</v>
      </c>
      <c r="S525" s="310"/>
      <c r="T525" s="547"/>
      <c r="U525" s="558"/>
      <c r="V525" s="310"/>
      <c r="W525" s="310"/>
      <c r="X525" s="241">
        <v>6.0</v>
      </c>
      <c r="Y525" s="241">
        <v>3.0</v>
      </c>
      <c r="Z525" s="241">
        <v>6.0</v>
      </c>
      <c r="AA525" s="241">
        <v>9.0</v>
      </c>
      <c r="AB525" s="241">
        <v>12.0</v>
      </c>
      <c r="AC525" s="241">
        <v>15.0</v>
      </c>
      <c r="AD525" s="241">
        <v>18.0</v>
      </c>
      <c r="AE525" s="241">
        <v>21.0</v>
      </c>
      <c r="AF525" s="241">
        <v>24.0</v>
      </c>
      <c r="AG525" s="241">
        <v>27.0</v>
      </c>
      <c r="AH525" s="241">
        <v>30.0</v>
      </c>
      <c r="AI525" s="241">
        <v>33.0</v>
      </c>
      <c r="AJ525" s="241">
        <v>36.0</v>
      </c>
      <c r="AK525" s="241">
        <v>39.0</v>
      </c>
      <c r="AL525" s="241">
        <v>42.0</v>
      </c>
      <c r="AM525" s="241">
        <v>45.0</v>
      </c>
      <c r="AN525" s="241">
        <v>48.0</v>
      </c>
      <c r="AO525" s="241">
        <v>51.0</v>
      </c>
      <c r="AP525" s="241">
        <v>54.0</v>
      </c>
      <c r="AQ525" s="241">
        <v>57.0</v>
      </c>
      <c r="AR525" s="241">
        <v>60.0</v>
      </c>
    </row>
    <row r="526">
      <c r="A526" s="618">
        <v>8.0</v>
      </c>
      <c r="B526" s="310">
        <v>58.0</v>
      </c>
      <c r="C526" s="556">
        <v>20.0</v>
      </c>
      <c r="D526" s="556">
        <v>14.0</v>
      </c>
      <c r="E526" s="310"/>
      <c r="F526" s="618">
        <v>8.0</v>
      </c>
      <c r="G526" s="310">
        <v>17.0</v>
      </c>
      <c r="H526" s="313">
        <v>8.0</v>
      </c>
      <c r="I526" s="580">
        <v>5.0</v>
      </c>
      <c r="J526" s="310">
        <v>5.0</v>
      </c>
      <c r="K526" s="310">
        <v>5.0</v>
      </c>
      <c r="L526" s="313">
        <v>0.0</v>
      </c>
      <c r="M526" s="241"/>
      <c r="N526" s="618">
        <v>8.0</v>
      </c>
      <c r="O526" s="310" t="s">
        <v>694</v>
      </c>
      <c r="P526" s="310" t="s">
        <v>694</v>
      </c>
      <c r="Q526" s="310" t="s">
        <v>693</v>
      </c>
      <c r="R526" s="310" t="s">
        <v>692</v>
      </c>
      <c r="S526" s="310"/>
      <c r="T526" s="547"/>
      <c r="U526" s="558"/>
      <c r="V526" s="310"/>
      <c r="W526" s="310"/>
      <c r="X526" s="241">
        <v>7.0</v>
      </c>
      <c r="Y526" s="241">
        <v>3.0</v>
      </c>
      <c r="Z526" s="241">
        <v>7.0</v>
      </c>
      <c r="AA526" s="241">
        <v>10.0</v>
      </c>
      <c r="AB526" s="241">
        <v>14.0</v>
      </c>
      <c r="AC526" s="241">
        <v>17.0</v>
      </c>
      <c r="AD526" s="241">
        <v>21.0</v>
      </c>
      <c r="AE526" s="241">
        <v>24.0</v>
      </c>
      <c r="AF526" s="241">
        <v>28.0</v>
      </c>
      <c r="AG526" s="241">
        <v>31.0</v>
      </c>
      <c r="AH526" s="241">
        <v>35.0</v>
      </c>
      <c r="AI526" s="241">
        <v>38.0</v>
      </c>
      <c r="AJ526" s="241">
        <v>42.0</v>
      </c>
      <c r="AK526" s="241">
        <v>45.0</v>
      </c>
      <c r="AL526" s="241">
        <v>49.0</v>
      </c>
      <c r="AM526" s="241">
        <v>52.0</v>
      </c>
      <c r="AN526" s="241">
        <v>56.0</v>
      </c>
      <c r="AO526" s="241">
        <v>59.0</v>
      </c>
      <c r="AP526" s="241">
        <v>63.0</v>
      </c>
      <c r="AQ526" s="241">
        <v>66.0</v>
      </c>
      <c r="AR526" s="241">
        <v>70.0</v>
      </c>
    </row>
    <row r="527">
      <c r="A527" s="618">
        <v>9.0</v>
      </c>
      <c r="B527" s="310">
        <v>72.0</v>
      </c>
      <c r="C527" s="556">
        <v>24.0</v>
      </c>
      <c r="D527" s="556">
        <v>17.0</v>
      </c>
      <c r="E527" s="310"/>
      <c r="F527" s="618">
        <v>9.0</v>
      </c>
      <c r="G527" s="310">
        <v>19.0</v>
      </c>
      <c r="H527" s="313">
        <v>9.0</v>
      </c>
      <c r="I527" s="580">
        <v>6.0</v>
      </c>
      <c r="J527" s="310">
        <v>6.0</v>
      </c>
      <c r="K527" s="310">
        <v>5.0</v>
      </c>
      <c r="L527" s="313">
        <v>0.0</v>
      </c>
      <c r="M527" s="241"/>
      <c r="N527" s="618">
        <v>9.0</v>
      </c>
      <c r="O527" s="310" t="s">
        <v>695</v>
      </c>
      <c r="P527" s="310" t="s">
        <v>694</v>
      </c>
      <c r="Q527" s="310" t="s">
        <v>693</v>
      </c>
      <c r="R527" s="310" t="s">
        <v>693</v>
      </c>
      <c r="S527" s="310"/>
      <c r="T527" s="547"/>
      <c r="U527" s="558"/>
      <c r="V527" s="310"/>
      <c r="W527" s="310"/>
      <c r="X527" s="241">
        <v>8.0</v>
      </c>
      <c r="Y527" s="241">
        <v>4.0</v>
      </c>
      <c r="Z527" s="241">
        <v>8.0</v>
      </c>
      <c r="AA527" s="241">
        <v>12.0</v>
      </c>
      <c r="AB527" s="241">
        <v>16.0</v>
      </c>
      <c r="AC527" s="241">
        <v>20.0</v>
      </c>
      <c r="AD527" s="241">
        <v>24.0</v>
      </c>
      <c r="AE527" s="241">
        <v>28.0</v>
      </c>
      <c r="AF527" s="241">
        <v>32.0</v>
      </c>
      <c r="AG527" s="241">
        <v>36.0</v>
      </c>
      <c r="AH527" s="241">
        <v>40.0</v>
      </c>
      <c r="AI527" s="241">
        <v>44.0</v>
      </c>
      <c r="AJ527" s="241">
        <v>48.0</v>
      </c>
      <c r="AK527" s="241">
        <v>52.0</v>
      </c>
      <c r="AL527" s="241">
        <v>56.0</v>
      </c>
      <c r="AM527" s="241">
        <v>60.0</v>
      </c>
      <c r="AN527" s="241">
        <v>64.0</v>
      </c>
      <c r="AO527" s="241">
        <v>68.0</v>
      </c>
      <c r="AP527" s="241">
        <v>72.0</v>
      </c>
      <c r="AQ527" s="241">
        <v>76.0</v>
      </c>
      <c r="AR527" s="241">
        <v>80.0</v>
      </c>
    </row>
    <row r="528">
      <c r="A528" s="618">
        <v>10.0</v>
      </c>
      <c r="B528" s="310">
        <v>88.0</v>
      </c>
      <c r="C528" s="556">
        <v>28.0</v>
      </c>
      <c r="D528" s="556">
        <v>20.0</v>
      </c>
      <c r="E528" s="310"/>
      <c r="F528" s="618">
        <v>10.0</v>
      </c>
      <c r="G528" s="310">
        <v>21.0</v>
      </c>
      <c r="H528" s="313">
        <v>10.0</v>
      </c>
      <c r="I528" s="580">
        <v>7.0</v>
      </c>
      <c r="J528" s="310">
        <v>6.0</v>
      </c>
      <c r="K528" s="310">
        <v>6.0</v>
      </c>
      <c r="L528" s="313">
        <v>0.0</v>
      </c>
      <c r="M528" s="241"/>
      <c r="N528" s="618">
        <v>10.0</v>
      </c>
      <c r="O528" s="310" t="s">
        <v>695</v>
      </c>
      <c r="P528" s="310" t="s">
        <v>695</v>
      </c>
      <c r="Q528" s="310" t="s">
        <v>694</v>
      </c>
      <c r="R528" s="310" t="s">
        <v>693</v>
      </c>
      <c r="S528" s="310"/>
      <c r="T528" s="547"/>
      <c r="U528" s="558"/>
      <c r="V528" s="310"/>
      <c r="W528" s="310"/>
      <c r="X528" s="241">
        <v>9.0</v>
      </c>
      <c r="Y528" s="241">
        <v>4.0</v>
      </c>
      <c r="Z528" s="241">
        <v>9.0</v>
      </c>
      <c r="AA528" s="241">
        <v>13.0</v>
      </c>
      <c r="AB528" s="241">
        <v>18.0</v>
      </c>
      <c r="AC528" s="241">
        <v>22.0</v>
      </c>
      <c r="AD528" s="241">
        <v>27.0</v>
      </c>
      <c r="AE528" s="241">
        <v>31.0</v>
      </c>
      <c r="AF528" s="241">
        <v>36.0</v>
      </c>
      <c r="AG528" s="241">
        <v>40.0</v>
      </c>
      <c r="AH528" s="241">
        <v>45.0</v>
      </c>
      <c r="AI528" s="241">
        <v>49.0</v>
      </c>
      <c r="AJ528" s="241">
        <v>54.0</v>
      </c>
      <c r="AK528" s="241">
        <v>58.0</v>
      </c>
      <c r="AL528" s="241">
        <v>63.0</v>
      </c>
      <c r="AM528" s="241">
        <v>67.0</v>
      </c>
      <c r="AN528" s="241">
        <v>72.0</v>
      </c>
      <c r="AO528" s="241">
        <v>76.0</v>
      </c>
      <c r="AP528" s="241">
        <v>81.0</v>
      </c>
      <c r="AQ528" s="241">
        <v>85.0</v>
      </c>
      <c r="AR528" s="241">
        <v>90.0</v>
      </c>
    </row>
    <row r="529">
      <c r="A529" s="618">
        <v>11.0</v>
      </c>
      <c r="B529" s="310">
        <v>106.0</v>
      </c>
      <c r="C529" s="556">
        <v>36.0</v>
      </c>
      <c r="D529" s="556">
        <v>24.0</v>
      </c>
      <c r="E529" s="547"/>
      <c r="F529" s="618">
        <v>11.0</v>
      </c>
      <c r="G529" s="310">
        <v>22.0</v>
      </c>
      <c r="H529" s="313">
        <v>11.0</v>
      </c>
      <c r="I529" s="580">
        <v>8.0</v>
      </c>
      <c r="J529" s="310">
        <v>7.0</v>
      </c>
      <c r="K529" s="310">
        <v>6.0</v>
      </c>
      <c r="L529" s="313">
        <v>0.0</v>
      </c>
      <c r="M529" s="241"/>
      <c r="N529" s="618">
        <v>11.0</v>
      </c>
      <c r="O529" s="310" t="s">
        <v>696</v>
      </c>
      <c r="P529" s="310" t="s">
        <v>695</v>
      </c>
      <c r="Q529" s="310" t="s">
        <v>694</v>
      </c>
      <c r="R529" s="310" t="s">
        <v>693</v>
      </c>
      <c r="S529" s="310"/>
      <c r="T529" s="547"/>
      <c r="U529" s="558"/>
      <c r="V529" s="310"/>
      <c r="W529" s="310"/>
      <c r="X529" s="241">
        <v>10.0</v>
      </c>
      <c r="Y529" s="241">
        <v>5.0</v>
      </c>
      <c r="Z529" s="241">
        <v>10.0</v>
      </c>
      <c r="AA529" s="241">
        <v>15.0</v>
      </c>
      <c r="AB529" s="241">
        <v>20.0</v>
      </c>
      <c r="AC529" s="241">
        <v>25.0</v>
      </c>
      <c r="AD529" s="241">
        <v>30.0</v>
      </c>
      <c r="AE529" s="241">
        <v>35.0</v>
      </c>
      <c r="AF529" s="241">
        <v>40.0</v>
      </c>
      <c r="AG529" s="241">
        <v>45.0</v>
      </c>
      <c r="AH529" s="241">
        <v>50.0</v>
      </c>
      <c r="AI529" s="241">
        <v>55.0</v>
      </c>
      <c r="AJ529" s="241">
        <v>60.0</v>
      </c>
      <c r="AK529" s="241">
        <v>65.0</v>
      </c>
      <c r="AL529" s="241">
        <v>70.0</v>
      </c>
      <c r="AM529" s="241">
        <v>75.0</v>
      </c>
      <c r="AN529" s="241">
        <v>80.0</v>
      </c>
      <c r="AO529" s="241">
        <v>85.0</v>
      </c>
      <c r="AP529" s="241">
        <v>90.0</v>
      </c>
      <c r="AQ529" s="241">
        <v>95.0</v>
      </c>
      <c r="AR529" s="241">
        <v>100.0</v>
      </c>
    </row>
    <row r="530">
      <c r="A530" s="618">
        <v>12.0</v>
      </c>
      <c r="B530" s="310">
        <v>126.0</v>
      </c>
      <c r="C530" s="556">
        <v>44.0</v>
      </c>
      <c r="D530" s="556">
        <v>28.0</v>
      </c>
      <c r="E530" s="547"/>
      <c r="F530" s="618">
        <v>12.0</v>
      </c>
      <c r="G530" s="310">
        <v>24.0</v>
      </c>
      <c r="H530" s="313">
        <v>12.0</v>
      </c>
      <c r="I530" s="580">
        <v>8.0</v>
      </c>
      <c r="J530" s="310">
        <v>7.0</v>
      </c>
      <c r="K530" s="310">
        <v>7.0</v>
      </c>
      <c r="L530" s="313">
        <v>0.0</v>
      </c>
      <c r="M530" s="241"/>
      <c r="N530" s="618">
        <v>12.0</v>
      </c>
      <c r="O530" s="310" t="s">
        <v>696</v>
      </c>
      <c r="P530" s="310" t="s">
        <v>696</v>
      </c>
      <c r="Q530" s="310" t="s">
        <v>694</v>
      </c>
      <c r="R530" s="310" t="s">
        <v>693</v>
      </c>
      <c r="S530" s="310"/>
      <c r="T530" s="547"/>
      <c r="U530" s="558"/>
      <c r="V530" s="310"/>
      <c r="W530" s="310"/>
      <c r="X530" s="241">
        <v>11.0</v>
      </c>
      <c r="Y530" s="241">
        <v>5.0</v>
      </c>
      <c r="Z530" s="241">
        <v>11.0</v>
      </c>
      <c r="AA530" s="241">
        <v>16.0</v>
      </c>
      <c r="AB530" s="241">
        <v>22.0</v>
      </c>
      <c r="AC530" s="241">
        <v>27.0</v>
      </c>
      <c r="AD530" s="241">
        <v>33.0</v>
      </c>
      <c r="AE530" s="241">
        <v>38.0</v>
      </c>
      <c r="AF530" s="241">
        <v>44.0</v>
      </c>
      <c r="AG530" s="241">
        <v>49.0</v>
      </c>
      <c r="AH530" s="241">
        <v>55.0</v>
      </c>
      <c r="AI530" s="241">
        <v>60.0</v>
      </c>
      <c r="AJ530" s="241">
        <v>66.0</v>
      </c>
      <c r="AK530" s="241">
        <v>71.0</v>
      </c>
      <c r="AL530" s="241">
        <v>77.0</v>
      </c>
      <c r="AM530" s="241">
        <v>82.0</v>
      </c>
      <c r="AN530" s="241">
        <v>88.0</v>
      </c>
      <c r="AO530" s="241">
        <v>93.0</v>
      </c>
      <c r="AP530" s="241">
        <v>99.0</v>
      </c>
      <c r="AQ530" s="241">
        <v>104.0</v>
      </c>
      <c r="AR530" s="241">
        <v>110.0</v>
      </c>
    </row>
    <row r="531">
      <c r="A531" s="618">
        <v>13.0</v>
      </c>
      <c r="B531" s="310">
        <v>147.0</v>
      </c>
      <c r="C531" s="556">
        <v>52.0</v>
      </c>
      <c r="D531" s="556">
        <v>32.0</v>
      </c>
      <c r="E531" s="547"/>
      <c r="F531" s="618">
        <v>13.0</v>
      </c>
      <c r="G531" s="310">
        <v>25.0</v>
      </c>
      <c r="H531" s="313">
        <v>13.0</v>
      </c>
      <c r="I531" s="580">
        <v>9.0</v>
      </c>
      <c r="J531" s="310">
        <v>8.0</v>
      </c>
      <c r="K531" s="310">
        <v>7.0</v>
      </c>
      <c r="L531" s="313">
        <v>0.0</v>
      </c>
      <c r="M531" s="241"/>
      <c r="N531" s="618">
        <v>13.0</v>
      </c>
      <c r="O531" s="310" t="s">
        <v>675</v>
      </c>
      <c r="P531" s="310" t="s">
        <v>696</v>
      </c>
      <c r="Q531" s="310" t="s">
        <v>695</v>
      </c>
      <c r="R531" s="310" t="s">
        <v>694</v>
      </c>
      <c r="S531" s="310"/>
      <c r="T531" s="547"/>
      <c r="U531" s="558"/>
      <c r="V531" s="310"/>
      <c r="W531" s="310"/>
      <c r="X531" s="241">
        <v>12.0</v>
      </c>
      <c r="Y531" s="241">
        <v>6.0</v>
      </c>
      <c r="Z531" s="241">
        <v>12.0</v>
      </c>
      <c r="AA531" s="241">
        <v>18.0</v>
      </c>
      <c r="AB531" s="241">
        <v>24.0</v>
      </c>
      <c r="AC531" s="241">
        <v>30.0</v>
      </c>
      <c r="AD531" s="241">
        <v>36.0</v>
      </c>
      <c r="AE531" s="241">
        <v>42.0</v>
      </c>
      <c r="AF531" s="241">
        <v>48.0</v>
      </c>
      <c r="AG531" s="241">
        <v>54.0</v>
      </c>
      <c r="AH531" s="241">
        <v>60.0</v>
      </c>
      <c r="AI531" s="241">
        <v>66.0</v>
      </c>
      <c r="AJ531" s="241">
        <v>72.0</v>
      </c>
      <c r="AK531" s="241">
        <v>78.0</v>
      </c>
      <c r="AL531" s="241">
        <v>84.0</v>
      </c>
      <c r="AM531" s="241">
        <v>90.0</v>
      </c>
      <c r="AN531" s="241">
        <v>96.0</v>
      </c>
      <c r="AO531" s="241">
        <v>102.0</v>
      </c>
      <c r="AP531" s="241">
        <v>108.0</v>
      </c>
      <c r="AQ531" s="241">
        <v>114.0</v>
      </c>
      <c r="AR531" s="241">
        <v>120.0</v>
      </c>
    </row>
    <row r="532">
      <c r="A532" s="618">
        <v>14.0</v>
      </c>
      <c r="B532" s="310">
        <v>170.0</v>
      </c>
      <c r="C532" s="556">
        <v>60.0</v>
      </c>
      <c r="D532" s="556">
        <v>37.0</v>
      </c>
      <c r="E532" s="547"/>
      <c r="F532" s="618">
        <v>14.0</v>
      </c>
      <c r="G532" s="310">
        <v>27.0</v>
      </c>
      <c r="H532" s="313">
        <v>14.0</v>
      </c>
      <c r="I532" s="580">
        <v>9.0</v>
      </c>
      <c r="J532" s="310">
        <v>8.0</v>
      </c>
      <c r="K532" s="310">
        <v>8.0</v>
      </c>
      <c r="L532" s="313">
        <v>0.0</v>
      </c>
      <c r="M532" s="241"/>
      <c r="N532" s="618">
        <v>14.0</v>
      </c>
      <c r="O532" s="310" t="s">
        <v>675</v>
      </c>
      <c r="P532" s="310" t="s">
        <v>675</v>
      </c>
      <c r="Q532" s="310" t="s">
        <v>695</v>
      </c>
      <c r="R532" s="310" t="s">
        <v>694</v>
      </c>
      <c r="S532" s="310"/>
      <c r="T532" s="547"/>
      <c r="U532" s="558"/>
      <c r="V532" s="310"/>
      <c r="W532" s="310"/>
      <c r="X532" s="241">
        <v>13.0</v>
      </c>
      <c r="Y532" s="241">
        <v>6.0</v>
      </c>
      <c r="Z532" s="241">
        <v>13.0</v>
      </c>
      <c r="AA532" s="241">
        <v>19.0</v>
      </c>
      <c r="AB532" s="241">
        <v>26.0</v>
      </c>
      <c r="AC532" s="241">
        <v>32.0</v>
      </c>
      <c r="AD532" s="241">
        <v>39.0</v>
      </c>
      <c r="AE532" s="241">
        <v>45.0</v>
      </c>
      <c r="AF532" s="241">
        <v>52.0</v>
      </c>
      <c r="AG532" s="241">
        <v>58.0</v>
      </c>
      <c r="AH532" s="241">
        <v>65.0</v>
      </c>
      <c r="AI532" s="241">
        <v>71.0</v>
      </c>
      <c r="AJ532" s="241">
        <v>78.0</v>
      </c>
      <c r="AK532" s="241">
        <v>84.0</v>
      </c>
      <c r="AL532" s="241">
        <v>91.0</v>
      </c>
      <c r="AM532" s="241">
        <v>97.0</v>
      </c>
      <c r="AN532" s="241">
        <v>104.0</v>
      </c>
      <c r="AO532" s="241">
        <v>110.0</v>
      </c>
      <c r="AP532" s="241">
        <v>117.0</v>
      </c>
      <c r="AQ532" s="241">
        <v>123.0</v>
      </c>
      <c r="AR532" s="241">
        <v>130.0</v>
      </c>
    </row>
    <row r="533">
      <c r="A533" s="618">
        <v>15.0</v>
      </c>
      <c r="B533" s="310">
        <v>195.0</v>
      </c>
      <c r="C533" s="556">
        <v>68.0</v>
      </c>
      <c r="D533" s="556">
        <v>42.0</v>
      </c>
      <c r="E533" s="547"/>
      <c r="F533" s="618">
        <v>15.0</v>
      </c>
      <c r="G533" s="310">
        <v>28.0</v>
      </c>
      <c r="H533" s="313">
        <v>15.0</v>
      </c>
      <c r="I533" s="580">
        <v>10.0</v>
      </c>
      <c r="J533" s="310">
        <v>9.0</v>
      </c>
      <c r="K533" s="310">
        <v>8.0</v>
      </c>
      <c r="L533" s="313">
        <v>0.0</v>
      </c>
      <c r="M533" s="241"/>
      <c r="N533" s="618">
        <v>15.0</v>
      </c>
      <c r="O533" s="310" t="s">
        <v>676</v>
      </c>
      <c r="P533" s="310" t="s">
        <v>675</v>
      </c>
      <c r="Q533" s="310" t="s">
        <v>695</v>
      </c>
      <c r="R533" s="310" t="s">
        <v>694</v>
      </c>
      <c r="S533" s="310"/>
      <c r="T533" s="547"/>
      <c r="U533" s="558"/>
      <c r="V533" s="310"/>
      <c r="W533" s="310"/>
      <c r="X533" s="241">
        <v>14.0</v>
      </c>
      <c r="Y533" s="241">
        <v>7.0</v>
      </c>
      <c r="Z533" s="241">
        <v>14.0</v>
      </c>
      <c r="AA533" s="241">
        <v>21.0</v>
      </c>
      <c r="AB533" s="241">
        <v>28.0</v>
      </c>
      <c r="AC533" s="241">
        <v>35.0</v>
      </c>
      <c r="AD533" s="241">
        <v>42.0</v>
      </c>
      <c r="AE533" s="241">
        <v>49.0</v>
      </c>
      <c r="AF533" s="241">
        <v>56.0</v>
      </c>
      <c r="AG533" s="241">
        <v>63.0</v>
      </c>
      <c r="AH533" s="241">
        <v>70.0</v>
      </c>
      <c r="AI533" s="241">
        <v>77.0</v>
      </c>
      <c r="AJ533" s="241">
        <v>84.0</v>
      </c>
      <c r="AK533" s="241">
        <v>91.0</v>
      </c>
      <c r="AL533" s="241">
        <v>98.0</v>
      </c>
      <c r="AM533" s="241">
        <v>105.0</v>
      </c>
      <c r="AN533" s="241">
        <v>112.0</v>
      </c>
      <c r="AO533" s="241">
        <v>119.0</v>
      </c>
      <c r="AP533" s="241">
        <v>126.0</v>
      </c>
      <c r="AQ533" s="241">
        <v>133.0</v>
      </c>
      <c r="AR533" s="241">
        <v>140.0</v>
      </c>
    </row>
    <row r="534">
      <c r="A534" s="618">
        <v>16.0</v>
      </c>
      <c r="B534" s="310">
        <v>221.0</v>
      </c>
      <c r="C534" s="556">
        <v>80.0</v>
      </c>
      <c r="D534" s="556">
        <v>47.0</v>
      </c>
      <c r="E534" s="547"/>
      <c r="F534" s="618">
        <v>16.0</v>
      </c>
      <c r="G534" s="310">
        <v>30.0</v>
      </c>
      <c r="H534" s="313">
        <v>16.0</v>
      </c>
      <c r="I534" s="580">
        <v>10.0</v>
      </c>
      <c r="J534" s="310">
        <v>9.0</v>
      </c>
      <c r="K534" s="310">
        <v>9.0</v>
      </c>
      <c r="L534" s="313">
        <v>0.0</v>
      </c>
      <c r="M534" s="241"/>
      <c r="N534" s="618">
        <v>16.0</v>
      </c>
      <c r="O534" s="310" t="s">
        <v>676</v>
      </c>
      <c r="P534" s="310" t="s">
        <v>676</v>
      </c>
      <c r="Q534" s="310" t="s">
        <v>696</v>
      </c>
      <c r="R534" s="310" t="s">
        <v>694</v>
      </c>
      <c r="S534" s="310"/>
      <c r="T534" s="547"/>
      <c r="U534" s="558"/>
      <c r="V534" s="310"/>
      <c r="W534" s="310"/>
      <c r="X534" s="241">
        <v>15.0</v>
      </c>
      <c r="Y534" s="241">
        <v>7.0</v>
      </c>
      <c r="Z534" s="241">
        <v>15.0</v>
      </c>
      <c r="AA534" s="241">
        <v>22.0</v>
      </c>
      <c r="AB534" s="241">
        <v>30.0</v>
      </c>
      <c r="AC534" s="241">
        <v>37.0</v>
      </c>
      <c r="AD534" s="241">
        <v>45.0</v>
      </c>
      <c r="AE534" s="241">
        <v>52.0</v>
      </c>
      <c r="AF534" s="241">
        <v>60.0</v>
      </c>
      <c r="AG534" s="241">
        <v>67.0</v>
      </c>
      <c r="AH534" s="241">
        <v>75.0</v>
      </c>
      <c r="AI534" s="241">
        <v>82.0</v>
      </c>
      <c r="AJ534" s="241">
        <v>90.0</v>
      </c>
      <c r="AK534" s="241">
        <v>97.0</v>
      </c>
      <c r="AL534" s="241">
        <v>105.0</v>
      </c>
      <c r="AM534" s="241">
        <v>112.0</v>
      </c>
      <c r="AN534" s="241">
        <v>120.0</v>
      </c>
      <c r="AO534" s="241">
        <v>127.0</v>
      </c>
      <c r="AP534" s="241">
        <v>135.0</v>
      </c>
      <c r="AQ534" s="241">
        <v>142.0</v>
      </c>
      <c r="AR534" s="241">
        <v>150.0</v>
      </c>
    </row>
    <row r="535">
      <c r="A535" s="618">
        <v>17.0</v>
      </c>
      <c r="B535" s="310">
        <v>250.0</v>
      </c>
      <c r="C535" s="556">
        <v>92.0</v>
      </c>
      <c r="D535" s="556">
        <v>52.0</v>
      </c>
      <c r="E535" s="547"/>
      <c r="F535" s="618">
        <v>17.0</v>
      </c>
      <c r="G535" s="310">
        <v>31.0</v>
      </c>
      <c r="H535" s="313">
        <v>17.0</v>
      </c>
      <c r="I535" s="580">
        <v>11.0</v>
      </c>
      <c r="J535" s="310">
        <v>10.0</v>
      </c>
      <c r="K535" s="310">
        <v>9.0</v>
      </c>
      <c r="L535" s="313">
        <v>0.0</v>
      </c>
      <c r="M535" s="241"/>
      <c r="N535" s="618">
        <v>17.0</v>
      </c>
      <c r="O535" s="310" t="s">
        <v>677</v>
      </c>
      <c r="P535" s="310" t="s">
        <v>676</v>
      </c>
      <c r="Q535" s="310" t="s">
        <v>696</v>
      </c>
      <c r="R535" s="310" t="s">
        <v>694</v>
      </c>
      <c r="S535" s="310"/>
      <c r="T535" s="547"/>
      <c r="U535" s="558"/>
      <c r="V535" s="310"/>
      <c r="W535" s="310"/>
      <c r="X535" s="241"/>
      <c r="Y535" s="241"/>
      <c r="Z535" s="241"/>
      <c r="AA535" s="241"/>
      <c r="AB535" s="241"/>
      <c r="AC535" s="241"/>
      <c r="AD535" s="241"/>
      <c r="AE535" s="241"/>
      <c r="AF535" s="241"/>
      <c r="AG535" s="241"/>
      <c r="AH535" s="241"/>
      <c r="AI535" s="243"/>
      <c r="AJ535" s="243"/>
      <c r="AK535" s="241"/>
      <c r="AL535" s="241"/>
      <c r="AM535" s="241"/>
      <c r="AN535" s="241"/>
      <c r="AO535" s="241"/>
      <c r="AP535" s="241"/>
      <c r="AQ535" s="241"/>
      <c r="AR535" s="241"/>
    </row>
    <row r="536">
      <c r="A536" s="618">
        <v>18.0</v>
      </c>
      <c r="B536" s="310">
        <v>280.0</v>
      </c>
      <c r="C536" s="556">
        <v>104.0</v>
      </c>
      <c r="D536" s="556">
        <v>58.0</v>
      </c>
      <c r="E536" s="547"/>
      <c r="F536" s="618">
        <v>18.0</v>
      </c>
      <c r="G536" s="310">
        <v>33.0</v>
      </c>
      <c r="H536" s="313">
        <v>18.0</v>
      </c>
      <c r="I536" s="580">
        <v>11.0</v>
      </c>
      <c r="J536" s="310">
        <v>10.0</v>
      </c>
      <c r="K536" s="310">
        <v>10.0</v>
      </c>
      <c r="L536" s="313">
        <v>0.0</v>
      </c>
      <c r="M536" s="241"/>
      <c r="N536" s="618">
        <v>18.0</v>
      </c>
      <c r="O536" s="310" t="s">
        <v>677</v>
      </c>
      <c r="P536" s="310" t="s">
        <v>677</v>
      </c>
      <c r="Q536" s="310" t="s">
        <v>696</v>
      </c>
      <c r="R536" s="310" t="s">
        <v>694</v>
      </c>
      <c r="S536" s="310"/>
      <c r="T536" s="547"/>
      <c r="U536" s="558"/>
      <c r="V536" s="310"/>
      <c r="W536" s="310"/>
      <c r="X536" s="310"/>
      <c r="Y536" s="241"/>
      <c r="Z536" s="241"/>
      <c r="AA536" s="241"/>
      <c r="AB536" s="241"/>
      <c r="AC536" s="241"/>
      <c r="AD536" s="241"/>
      <c r="AE536" s="241"/>
      <c r="AF536" s="241"/>
      <c r="AG536" s="241"/>
      <c r="AH536" s="241"/>
      <c r="AI536" s="243"/>
      <c r="AJ536" s="243"/>
      <c r="AK536" s="241"/>
      <c r="AL536" s="241"/>
      <c r="AM536" s="241"/>
      <c r="AN536" s="241"/>
      <c r="AO536" s="241"/>
      <c r="AP536" s="241"/>
      <c r="AQ536" s="241"/>
      <c r="AR536" s="241"/>
    </row>
    <row r="537">
      <c r="A537" s="618">
        <v>19.0</v>
      </c>
      <c r="B537" s="310">
        <v>311.0</v>
      </c>
      <c r="C537" s="556">
        <v>116.0</v>
      </c>
      <c r="D537" s="556">
        <v>64.0</v>
      </c>
      <c r="E537" s="547"/>
      <c r="F537" s="618">
        <v>19.0</v>
      </c>
      <c r="G537" s="310">
        <v>34.0</v>
      </c>
      <c r="H537" s="313">
        <v>19.0</v>
      </c>
      <c r="I537" s="580">
        <v>12.0</v>
      </c>
      <c r="J537" s="310">
        <v>11.0</v>
      </c>
      <c r="K537" s="310">
        <v>10.0</v>
      </c>
      <c r="L537" s="313">
        <v>0.0</v>
      </c>
      <c r="M537" s="241"/>
      <c r="N537" s="618">
        <v>19.0</v>
      </c>
      <c r="O537" s="310" t="s">
        <v>677</v>
      </c>
      <c r="P537" s="310" t="s">
        <v>677</v>
      </c>
      <c r="Q537" s="310" t="s">
        <v>696</v>
      </c>
      <c r="R537" s="310" t="s">
        <v>694</v>
      </c>
      <c r="S537" s="310"/>
      <c r="T537" s="547"/>
      <c r="U537" s="558"/>
      <c r="V537" s="310"/>
      <c r="W537" s="310"/>
      <c r="X537" s="310"/>
      <c r="Y537" s="241"/>
      <c r="Z537" s="241"/>
      <c r="AA537" s="241"/>
      <c r="AB537" s="241"/>
      <c r="AC537" s="241"/>
      <c r="AD537" s="241"/>
      <c r="AE537" s="241"/>
      <c r="AF537" s="241"/>
      <c r="AG537" s="241"/>
      <c r="AH537" s="241"/>
      <c r="AI537" s="243"/>
      <c r="AJ537" s="243"/>
      <c r="AK537" s="241"/>
      <c r="AL537" s="241"/>
      <c r="AM537" s="241"/>
      <c r="AN537" s="241"/>
      <c r="AO537" s="241"/>
      <c r="AP537" s="241"/>
      <c r="AQ537" s="241"/>
      <c r="AR537" s="241"/>
    </row>
    <row r="538">
      <c r="A538" s="618">
        <v>20.0</v>
      </c>
      <c r="B538" s="310">
        <v>343.0</v>
      </c>
      <c r="C538" s="556">
        <v>128.0</v>
      </c>
      <c r="D538" s="556">
        <v>70.0</v>
      </c>
      <c r="E538" s="547"/>
      <c r="F538" s="618">
        <v>20.0</v>
      </c>
      <c r="G538" s="310">
        <v>36.0</v>
      </c>
      <c r="H538" s="313">
        <v>20.0</v>
      </c>
      <c r="I538" s="580">
        <v>12.0</v>
      </c>
      <c r="J538" s="310">
        <v>11.0</v>
      </c>
      <c r="K538" s="310">
        <v>11.0</v>
      </c>
      <c r="L538" s="313">
        <v>0.0</v>
      </c>
      <c r="M538" s="241"/>
      <c r="N538" s="618">
        <v>20.0</v>
      </c>
      <c r="O538" s="310" t="s">
        <v>677</v>
      </c>
      <c r="P538" s="310" t="s">
        <v>677</v>
      </c>
      <c r="Q538" s="310" t="s">
        <v>696</v>
      </c>
      <c r="R538" s="310" t="s">
        <v>694</v>
      </c>
      <c r="S538" s="310"/>
      <c r="T538" s="547"/>
      <c r="U538" s="558"/>
      <c r="V538" s="310"/>
      <c r="W538" s="310"/>
      <c r="X538" s="310"/>
      <c r="Y538" s="241"/>
      <c r="Z538" s="241"/>
      <c r="AA538" s="241"/>
      <c r="AB538" s="241"/>
      <c r="AC538" s="241"/>
      <c r="AD538" s="241"/>
      <c r="AE538" s="241"/>
      <c r="AF538" s="241"/>
      <c r="AG538" s="241"/>
      <c r="AH538" s="241"/>
      <c r="AI538" s="243"/>
      <c r="AJ538" s="243"/>
      <c r="AK538" s="241"/>
      <c r="AL538" s="241"/>
      <c r="AM538" s="241"/>
      <c r="AN538" s="241"/>
      <c r="AO538" s="241"/>
      <c r="AP538" s="241"/>
      <c r="AQ538" s="241"/>
      <c r="AR538" s="241"/>
    </row>
    <row r="539">
      <c r="A539" s="547"/>
      <c r="B539" s="547"/>
      <c r="C539" s="310"/>
      <c r="D539" s="310"/>
      <c r="E539" s="310"/>
      <c r="F539" s="310"/>
      <c r="G539" s="547"/>
      <c r="H539" s="547"/>
      <c r="I539" s="547"/>
      <c r="J539" s="547"/>
      <c r="K539" s="547"/>
      <c r="L539" s="310"/>
      <c r="M539" s="241"/>
      <c r="N539" s="241"/>
      <c r="O539" s="310"/>
      <c r="P539" s="310"/>
      <c r="Q539" s="590"/>
      <c r="R539" s="590"/>
      <c r="S539" s="547"/>
      <c r="T539" s="547"/>
      <c r="U539" s="547"/>
      <c r="V539" s="547"/>
      <c r="W539" s="547"/>
      <c r="X539" s="241"/>
      <c r="Y539" s="241"/>
      <c r="Z539" s="241"/>
      <c r="AA539" s="241"/>
      <c r="AB539" s="241"/>
      <c r="AC539" s="241"/>
      <c r="AD539" s="241"/>
      <c r="AE539" s="241"/>
      <c r="AF539" s="241"/>
      <c r="AG539" s="241"/>
      <c r="AH539" s="241"/>
      <c r="AI539" s="243"/>
      <c r="AJ539" s="243"/>
      <c r="AK539" s="241"/>
      <c r="AL539" s="241"/>
      <c r="AM539" s="241"/>
      <c r="AN539" s="241"/>
      <c r="AO539" s="241"/>
      <c r="AP539" s="241"/>
      <c r="AQ539" s="241"/>
      <c r="AR539" s="241"/>
    </row>
    <row r="540">
      <c r="A540" s="547"/>
      <c r="B540" s="547"/>
      <c r="C540" s="310"/>
      <c r="D540" s="310"/>
      <c r="E540" s="310"/>
      <c r="F540" s="310"/>
      <c r="G540" s="547"/>
      <c r="H540" s="547"/>
      <c r="I540" s="547"/>
      <c r="J540" s="547"/>
      <c r="K540" s="547"/>
      <c r="L540" s="310"/>
      <c r="M540" s="310"/>
      <c r="N540" s="547"/>
      <c r="O540" s="310"/>
      <c r="P540" s="590"/>
      <c r="Q540" s="590"/>
      <c r="R540" s="590"/>
      <c r="S540" s="547"/>
      <c r="T540" s="547"/>
      <c r="U540" s="547"/>
      <c r="V540" s="547"/>
      <c r="W540" s="547"/>
      <c r="X540" s="241"/>
      <c r="Y540" s="241"/>
      <c r="Z540" s="241"/>
      <c r="AA540" s="241"/>
      <c r="AB540" s="241"/>
      <c r="AC540" s="241"/>
      <c r="AD540" s="241"/>
      <c r="AE540" s="241"/>
      <c r="AF540" s="241"/>
      <c r="AG540" s="241"/>
      <c r="AH540" s="241"/>
      <c r="AI540" s="243"/>
      <c r="AJ540" s="243"/>
      <c r="AK540" s="241"/>
      <c r="AL540" s="241"/>
      <c r="AM540" s="241"/>
      <c r="AN540" s="241"/>
      <c r="AO540" s="241"/>
      <c r="AP540" s="241"/>
      <c r="AQ540" s="241"/>
      <c r="AR540" s="241"/>
    </row>
    <row r="541">
      <c r="A541" s="614" t="s">
        <v>718</v>
      </c>
      <c r="B541" s="618">
        <v>1.0</v>
      </c>
      <c r="C541" s="618">
        <v>2.0</v>
      </c>
      <c r="D541" s="618">
        <v>3.0</v>
      </c>
      <c r="E541" s="618">
        <v>4.0</v>
      </c>
      <c r="F541" s="618">
        <v>5.0</v>
      </c>
      <c r="G541" s="618">
        <v>6.0</v>
      </c>
      <c r="H541" s="618">
        <v>7.0</v>
      </c>
      <c r="I541" s="618">
        <v>8.0</v>
      </c>
      <c r="J541" s="618">
        <v>9.0</v>
      </c>
      <c r="K541" s="618">
        <v>10.0</v>
      </c>
      <c r="L541" s="618">
        <v>11.0</v>
      </c>
      <c r="M541" s="618">
        <v>12.0</v>
      </c>
      <c r="N541" s="618">
        <v>13.0</v>
      </c>
      <c r="O541" s="618">
        <v>14.0</v>
      </c>
      <c r="P541" s="618">
        <v>15.0</v>
      </c>
      <c r="Q541" s="618">
        <v>16.0</v>
      </c>
      <c r="R541" s="618">
        <v>17.0</v>
      </c>
      <c r="S541" s="618">
        <v>18.0</v>
      </c>
      <c r="T541" s="618">
        <v>19.0</v>
      </c>
      <c r="U541" s="618">
        <v>20.0</v>
      </c>
      <c r="AA541" s="241"/>
      <c r="AB541" s="241"/>
      <c r="AC541" s="241"/>
      <c r="AD541" s="241"/>
      <c r="AE541" s="241"/>
      <c r="AF541" s="241"/>
      <c r="AG541" s="241"/>
      <c r="AH541" s="241"/>
      <c r="AI541" s="243"/>
      <c r="AJ541" s="243"/>
      <c r="AK541" s="241"/>
      <c r="AL541" s="241"/>
      <c r="AM541" s="241"/>
      <c r="AN541" s="241"/>
      <c r="AO541" s="241"/>
      <c r="AP541" s="241"/>
      <c r="AQ541" s="241"/>
      <c r="AR541" s="241"/>
    </row>
    <row r="542">
      <c r="A542" s="546" t="s">
        <v>719</v>
      </c>
      <c r="B542" s="310">
        <v>3.0</v>
      </c>
      <c r="C542" s="310">
        <v>4.0</v>
      </c>
      <c r="D542" s="310">
        <v>5.0</v>
      </c>
      <c r="E542" s="310">
        <v>6.0</v>
      </c>
      <c r="F542" s="310">
        <v>8.0</v>
      </c>
      <c r="G542" s="310">
        <v>11.0</v>
      </c>
      <c r="H542" s="310">
        <v>15.0</v>
      </c>
      <c r="I542" s="310">
        <v>20.0</v>
      </c>
      <c r="J542" s="310">
        <v>26.0</v>
      </c>
      <c r="K542" s="310">
        <v>32.0</v>
      </c>
      <c r="L542" s="310">
        <v>39.0</v>
      </c>
      <c r="M542" s="310">
        <v>47.0</v>
      </c>
      <c r="N542" s="310">
        <v>56.0</v>
      </c>
      <c r="O542" s="310">
        <v>65.0</v>
      </c>
      <c r="P542" s="310">
        <v>75.0</v>
      </c>
      <c r="Q542" s="310">
        <v>86.0</v>
      </c>
      <c r="R542" s="310">
        <v>98.0</v>
      </c>
      <c r="S542" s="310">
        <v>110.0</v>
      </c>
      <c r="T542" s="310">
        <v>122.0</v>
      </c>
      <c r="U542" s="310">
        <v>135.0</v>
      </c>
      <c r="AA542" s="241"/>
      <c r="AB542" s="241"/>
      <c r="AC542" s="241"/>
      <c r="AD542" s="241"/>
      <c r="AE542" s="241"/>
      <c r="AF542" s="241"/>
      <c r="AG542" s="241"/>
      <c r="AH542" s="241"/>
      <c r="AI542" s="243"/>
      <c r="AJ542" s="243"/>
      <c r="AK542" s="241"/>
      <c r="AL542" s="241"/>
      <c r="AM542" s="241"/>
      <c r="AN542" s="241"/>
      <c r="AO542" s="241"/>
      <c r="AP542" s="241"/>
      <c r="AQ542" s="241"/>
      <c r="AR542" s="241"/>
    </row>
    <row r="543">
      <c r="A543" s="546" t="s">
        <v>720</v>
      </c>
      <c r="B543" s="580">
        <v>2.0</v>
      </c>
      <c r="C543" s="580">
        <v>3.0</v>
      </c>
      <c r="D543" s="580">
        <v>4.0</v>
      </c>
      <c r="E543" s="580">
        <v>5.0</v>
      </c>
      <c r="F543" s="580">
        <v>6.0</v>
      </c>
      <c r="G543" s="580">
        <v>8.0</v>
      </c>
      <c r="H543" s="580">
        <v>10.0</v>
      </c>
      <c r="I543" s="580">
        <v>13.0</v>
      </c>
      <c r="J543" s="580">
        <v>16.0</v>
      </c>
      <c r="K543" s="580">
        <v>20.0</v>
      </c>
      <c r="L543" s="580">
        <v>24.0</v>
      </c>
      <c r="M543" s="580">
        <v>29.0</v>
      </c>
      <c r="N543" s="580">
        <v>34.0</v>
      </c>
      <c r="O543" s="580">
        <v>39.0</v>
      </c>
      <c r="P543" s="580">
        <v>45.0</v>
      </c>
      <c r="Q543" s="580">
        <v>51.0</v>
      </c>
      <c r="R543" s="580">
        <v>57.0</v>
      </c>
      <c r="S543" s="580">
        <v>64.0</v>
      </c>
      <c r="T543" s="580">
        <v>71.0</v>
      </c>
      <c r="U543" s="580">
        <v>79.0</v>
      </c>
      <c r="AA543" s="241"/>
      <c r="AB543" s="241"/>
      <c r="AC543" s="241"/>
      <c r="AD543" s="241"/>
      <c r="AE543" s="241"/>
      <c r="AF543" s="241"/>
      <c r="AG543" s="241"/>
      <c r="AH543" s="241"/>
      <c r="AI543" s="243"/>
      <c r="AJ543" s="243"/>
      <c r="AK543" s="241"/>
      <c r="AL543" s="241"/>
      <c r="AM543" s="241"/>
      <c r="AN543" s="241"/>
      <c r="AO543" s="241"/>
      <c r="AP543" s="241"/>
      <c r="AQ543" s="241"/>
      <c r="AR543" s="241"/>
    </row>
    <row r="544">
      <c r="A544" s="546" t="s">
        <v>721</v>
      </c>
      <c r="B544" s="599" t="s">
        <v>178</v>
      </c>
      <c r="C544" s="599" t="s">
        <v>178</v>
      </c>
      <c r="D544" s="599" t="s">
        <v>178</v>
      </c>
      <c r="E544" s="580">
        <v>1.0</v>
      </c>
      <c r="F544" s="580">
        <v>2.0</v>
      </c>
      <c r="G544" s="580">
        <v>3.0</v>
      </c>
      <c r="H544" s="580">
        <v>4.0</v>
      </c>
      <c r="I544" s="580">
        <v>5.0</v>
      </c>
      <c r="J544" s="580">
        <v>6.0</v>
      </c>
      <c r="K544" s="580">
        <v>7.0</v>
      </c>
      <c r="L544" s="580">
        <v>8.0</v>
      </c>
      <c r="M544" s="580">
        <v>10.0</v>
      </c>
      <c r="N544" s="580">
        <v>12.0</v>
      </c>
      <c r="O544" s="580">
        <v>14.0</v>
      </c>
      <c r="P544" s="580">
        <v>16.0</v>
      </c>
      <c r="Q544" s="580">
        <v>19.0</v>
      </c>
      <c r="R544" s="580">
        <v>22.0</v>
      </c>
      <c r="S544" s="580">
        <v>25.0</v>
      </c>
      <c r="T544" s="580">
        <v>29.0</v>
      </c>
      <c r="U544" s="580">
        <v>33.0</v>
      </c>
      <c r="AA544" s="241"/>
      <c r="AB544" s="241"/>
      <c r="AC544" s="241"/>
      <c r="AD544" s="241"/>
      <c r="AE544" s="241"/>
      <c r="AF544" s="241"/>
      <c r="AG544" s="241"/>
      <c r="AH544" s="241"/>
      <c r="AI544" s="243"/>
      <c r="AJ544" s="243"/>
      <c r="AK544" s="241"/>
      <c r="AL544" s="241"/>
      <c r="AM544" s="241"/>
      <c r="AN544" s="241"/>
      <c r="AO544" s="241"/>
      <c r="AP544" s="241"/>
      <c r="AQ544" s="241"/>
      <c r="AR544" s="241"/>
    </row>
    <row r="545">
      <c r="A545" s="547"/>
      <c r="B545" s="547"/>
      <c r="C545" s="310"/>
      <c r="D545" s="310"/>
      <c r="E545" s="310"/>
      <c r="F545" s="310"/>
      <c r="G545" s="547"/>
      <c r="H545" s="547"/>
      <c r="I545" s="547"/>
      <c r="J545" s="547"/>
      <c r="K545" s="547"/>
      <c r="L545" s="310"/>
      <c r="M545" s="310"/>
      <c r="N545" s="547"/>
      <c r="O545" s="310"/>
      <c r="P545" s="590"/>
      <c r="Z545" s="619"/>
      <c r="AA545" s="241"/>
      <c r="AB545" s="241"/>
      <c r="AC545" s="241"/>
      <c r="AD545" s="241"/>
      <c r="AE545" s="241"/>
      <c r="AF545" s="241"/>
      <c r="AG545" s="241"/>
      <c r="AH545" s="241"/>
      <c r="AI545" s="243"/>
      <c r="AJ545" s="243"/>
      <c r="AK545" s="241"/>
      <c r="AL545" s="241"/>
      <c r="AM545" s="241"/>
      <c r="AN545" s="241"/>
      <c r="AO545" s="241"/>
      <c r="AP545" s="241"/>
      <c r="AQ545" s="241"/>
      <c r="AR545" s="241"/>
    </row>
    <row r="546">
      <c r="A546" s="554" t="s">
        <v>660</v>
      </c>
      <c r="B546" s="555">
        <v>0.0</v>
      </c>
      <c r="C546" s="556">
        <v>1.0</v>
      </c>
      <c r="D546" s="310">
        <v>2.0</v>
      </c>
      <c r="E546" s="310">
        <v>3.0</v>
      </c>
      <c r="F546" s="310">
        <v>4.0</v>
      </c>
      <c r="G546" s="310">
        <v>5.0</v>
      </c>
      <c r="H546" s="310">
        <v>6.0</v>
      </c>
      <c r="I546" s="310">
        <v>7.0</v>
      </c>
      <c r="J546" s="310">
        <v>8.0</v>
      </c>
      <c r="K546" s="310">
        <v>9.0</v>
      </c>
      <c r="L546" s="310"/>
      <c r="M546" s="310"/>
      <c r="N546" s="547"/>
      <c r="O546" s="310"/>
      <c r="P546" s="590"/>
      <c r="R546" s="580">
        <v>1.0</v>
      </c>
      <c r="S546" s="310">
        <v>2.0</v>
      </c>
      <c r="T546" s="310">
        <v>3.0</v>
      </c>
      <c r="U546" s="310">
        <v>4.0</v>
      </c>
      <c r="V546" s="310">
        <v>5.0</v>
      </c>
      <c r="W546" s="310">
        <v>6.0</v>
      </c>
      <c r="X546" s="310">
        <v>7.0</v>
      </c>
      <c r="Y546" s="310">
        <v>8.0</v>
      </c>
      <c r="Z546" s="310">
        <v>9.0</v>
      </c>
      <c r="AA546" s="241"/>
      <c r="AB546" s="241"/>
      <c r="AC546" s="241"/>
      <c r="AD546" s="241"/>
      <c r="AE546" s="241"/>
      <c r="AF546" s="241"/>
      <c r="AG546" s="241"/>
      <c r="AH546" s="241"/>
      <c r="AI546" s="243"/>
      <c r="AJ546" s="243"/>
      <c r="AK546" s="241"/>
      <c r="AL546" s="241"/>
      <c r="AM546" s="241"/>
      <c r="AN546" s="241"/>
      <c r="AO546" s="241"/>
      <c r="AP546" s="241"/>
      <c r="AQ546" s="241"/>
      <c r="AR546" s="241"/>
    </row>
    <row r="547">
      <c r="A547" s="558">
        <v>1.0</v>
      </c>
      <c r="B547" s="547">
        <v>4.0</v>
      </c>
      <c r="C547" s="310">
        <v>3.0</v>
      </c>
      <c r="D547" s="547" t="s">
        <v>178</v>
      </c>
      <c r="E547" s="547" t="s">
        <v>178</v>
      </c>
      <c r="F547" s="547" t="s">
        <v>178</v>
      </c>
      <c r="G547" s="547" t="s">
        <v>178</v>
      </c>
      <c r="H547" s="547" t="s">
        <v>178</v>
      </c>
      <c r="I547" s="555" t="s">
        <v>178</v>
      </c>
      <c r="J547" s="555" t="s">
        <v>178</v>
      </c>
      <c r="K547" s="555" t="s">
        <v>178</v>
      </c>
      <c r="L547" s="310"/>
      <c r="M547" s="310"/>
      <c r="N547" s="547"/>
      <c r="O547" s="310"/>
      <c r="P547" s="590"/>
      <c r="Q547" s="619">
        <v>0.0</v>
      </c>
      <c r="R547" s="619">
        <v>0.0</v>
      </c>
      <c r="S547" s="619">
        <v>0.0</v>
      </c>
      <c r="T547" s="619">
        <v>0.0</v>
      </c>
      <c r="U547" s="619">
        <v>0.0</v>
      </c>
      <c r="V547" s="619">
        <v>0.0</v>
      </c>
      <c r="W547" s="619">
        <v>0.0</v>
      </c>
      <c r="X547" s="619">
        <v>0.0</v>
      </c>
      <c r="Y547" s="619">
        <v>0.0</v>
      </c>
      <c r="Z547" s="619">
        <v>0.0</v>
      </c>
      <c r="AA547" s="241"/>
      <c r="AB547" s="241"/>
      <c r="AC547" s="241"/>
      <c r="AD547" s="241"/>
      <c r="AE547" s="241"/>
      <c r="AF547" s="241"/>
      <c r="AG547" s="241"/>
      <c r="AH547" s="241"/>
      <c r="AI547" s="243"/>
      <c r="AJ547" s="243"/>
      <c r="AK547" s="241"/>
      <c r="AL547" s="241"/>
      <c r="AM547" s="241"/>
      <c r="AN547" s="241"/>
      <c r="AO547" s="241"/>
      <c r="AP547" s="241"/>
      <c r="AQ547" s="241"/>
      <c r="AR547" s="241"/>
    </row>
    <row r="548">
      <c r="A548" s="558">
        <v>2.0</v>
      </c>
      <c r="B548" s="310">
        <f>B547</f>
        <v>4</v>
      </c>
      <c r="C548" s="310">
        <v>5.0</v>
      </c>
      <c r="D548" s="547" t="s">
        <v>178</v>
      </c>
      <c r="E548" s="547" t="s">
        <v>178</v>
      </c>
      <c r="F548" s="547" t="s">
        <v>178</v>
      </c>
      <c r="G548" s="547" t="s">
        <v>178</v>
      </c>
      <c r="H548" s="547" t="s">
        <v>178</v>
      </c>
      <c r="I548" s="555" t="s">
        <v>178</v>
      </c>
      <c r="J548" s="555" t="s">
        <v>178</v>
      </c>
      <c r="K548" s="555" t="s">
        <v>178</v>
      </c>
      <c r="L548" s="310"/>
      <c r="M548" s="310"/>
      <c r="N548" s="547"/>
      <c r="O548" s="310"/>
      <c r="P548" s="590"/>
      <c r="Q548" s="619">
        <v>1.0</v>
      </c>
      <c r="R548" s="619">
        <v>1.0</v>
      </c>
      <c r="S548" s="619">
        <v>1.0</v>
      </c>
      <c r="T548" s="619">
        <v>1.0</v>
      </c>
      <c r="U548" s="619">
        <v>1.0</v>
      </c>
      <c r="V548" s="619">
        <v>1.0</v>
      </c>
      <c r="W548" s="619">
        <v>1.0</v>
      </c>
      <c r="X548" s="619">
        <v>1.0</v>
      </c>
      <c r="Y548" s="619">
        <v>1.0</v>
      </c>
      <c r="Z548" s="619">
        <v>1.0</v>
      </c>
      <c r="AA548" s="241"/>
      <c r="AB548" s="241"/>
      <c r="AC548" s="241"/>
      <c r="AD548" s="241"/>
      <c r="AE548" s="241"/>
      <c r="AF548" s="241"/>
      <c r="AG548" s="241"/>
      <c r="AH548" s="241"/>
      <c r="AI548" s="243"/>
      <c r="AJ548" s="243"/>
      <c r="AK548" s="241"/>
      <c r="AL548" s="241"/>
      <c r="AM548" s="241"/>
      <c r="AN548" s="241"/>
      <c r="AO548" s="241"/>
      <c r="AP548" s="241"/>
      <c r="AQ548" s="241"/>
      <c r="AR548" s="241"/>
    </row>
    <row r="549">
      <c r="A549" s="558">
        <v>3.0</v>
      </c>
      <c r="B549" s="310">
        <f>B548+1</f>
        <v>5</v>
      </c>
      <c r="C549" s="310">
        <v>5.0</v>
      </c>
      <c r="D549" s="310">
        <v>2.0</v>
      </c>
      <c r="E549" s="547" t="s">
        <v>178</v>
      </c>
      <c r="F549" s="547" t="s">
        <v>178</v>
      </c>
      <c r="G549" s="547" t="s">
        <v>178</v>
      </c>
      <c r="H549" s="547" t="s">
        <v>178</v>
      </c>
      <c r="I549" s="547" t="s">
        <v>178</v>
      </c>
      <c r="J549" s="547" t="s">
        <v>178</v>
      </c>
      <c r="K549" s="547" t="s">
        <v>178</v>
      </c>
      <c r="L549" s="310"/>
      <c r="M549" s="310"/>
      <c r="N549" s="547"/>
      <c r="O549" s="310"/>
      <c r="P549" s="590"/>
      <c r="Q549" s="619">
        <v>2.0</v>
      </c>
      <c r="R549" s="619">
        <v>1.0</v>
      </c>
      <c r="S549" s="619">
        <v>3.0</v>
      </c>
      <c r="T549" s="619">
        <v>3.0</v>
      </c>
      <c r="U549" s="619">
        <v>3.0</v>
      </c>
      <c r="V549" s="619">
        <v>3.0</v>
      </c>
      <c r="W549" s="619">
        <v>3.0</v>
      </c>
      <c r="X549" s="619">
        <v>3.0</v>
      </c>
      <c r="Y549" s="619">
        <v>3.0</v>
      </c>
      <c r="Z549" s="619">
        <v>3.0</v>
      </c>
      <c r="AA549" s="241"/>
      <c r="AB549" s="241"/>
      <c r="AC549" s="241"/>
      <c r="AD549" s="241"/>
      <c r="AE549" s="241"/>
      <c r="AF549" s="241"/>
      <c r="AG549" s="241"/>
      <c r="AH549" s="241"/>
      <c r="AI549" s="243"/>
      <c r="AJ549" s="243"/>
      <c r="AK549" s="241"/>
      <c r="AL549" s="241"/>
      <c r="AM549" s="241"/>
      <c r="AN549" s="241"/>
      <c r="AO549" s="241"/>
      <c r="AP549" s="241"/>
      <c r="AQ549" s="241"/>
      <c r="AR549" s="241"/>
    </row>
    <row r="550">
      <c r="A550" s="558">
        <v>4.0</v>
      </c>
      <c r="B550" s="547">
        <f t="shared" ref="B550:B551" si="22">B549</f>
        <v>5</v>
      </c>
      <c r="C550" s="310">
        <v>5.0</v>
      </c>
      <c r="D550" s="310">
        <v>4.0</v>
      </c>
      <c r="E550" s="547" t="s">
        <v>178</v>
      </c>
      <c r="F550" s="547" t="s">
        <v>178</v>
      </c>
      <c r="G550" s="547" t="s">
        <v>178</v>
      </c>
      <c r="H550" s="547" t="s">
        <v>178</v>
      </c>
      <c r="I550" s="547" t="s">
        <v>178</v>
      </c>
      <c r="J550" s="547" t="s">
        <v>178</v>
      </c>
      <c r="K550" s="547" t="s">
        <v>178</v>
      </c>
      <c r="L550" s="310"/>
      <c r="M550" s="310"/>
      <c r="N550" s="547"/>
      <c r="O550" s="310"/>
      <c r="P550" s="590"/>
      <c r="Q550" s="619">
        <v>3.0</v>
      </c>
      <c r="R550" s="619">
        <v>1.0</v>
      </c>
      <c r="S550" s="619">
        <v>3.0</v>
      </c>
      <c r="T550" s="619">
        <v>6.0</v>
      </c>
      <c r="U550" s="619">
        <v>6.0</v>
      </c>
      <c r="V550" s="619">
        <v>6.0</v>
      </c>
      <c r="W550" s="619">
        <v>6.0</v>
      </c>
      <c r="X550" s="619">
        <v>6.0</v>
      </c>
      <c r="Y550" s="619">
        <v>6.0</v>
      </c>
      <c r="Z550" s="619">
        <v>6.0</v>
      </c>
      <c r="AA550" s="241"/>
      <c r="AB550" s="241"/>
      <c r="AC550" s="241"/>
      <c r="AD550" s="241"/>
      <c r="AE550" s="241"/>
      <c r="AF550" s="241"/>
      <c r="AG550" s="241"/>
      <c r="AH550" s="241"/>
      <c r="AI550" s="243"/>
      <c r="AJ550" s="243"/>
      <c r="AK550" s="241"/>
      <c r="AL550" s="241"/>
      <c r="AM550" s="241"/>
      <c r="AN550" s="241"/>
      <c r="AO550" s="241"/>
      <c r="AP550" s="241"/>
      <c r="AQ550" s="241"/>
      <c r="AR550" s="241"/>
    </row>
    <row r="551">
      <c r="A551" s="558">
        <v>5.0</v>
      </c>
      <c r="B551" s="547">
        <f t="shared" si="22"/>
        <v>5</v>
      </c>
      <c r="C551" s="310">
        <v>5.0</v>
      </c>
      <c r="D551" s="310">
        <v>4.0</v>
      </c>
      <c r="E551" s="310">
        <v>2.0</v>
      </c>
      <c r="F551" s="547" t="s">
        <v>178</v>
      </c>
      <c r="G551" s="547" t="s">
        <v>178</v>
      </c>
      <c r="H551" s="547" t="s">
        <v>178</v>
      </c>
      <c r="I551" s="547" t="s">
        <v>178</v>
      </c>
      <c r="J551" s="547" t="s">
        <v>178</v>
      </c>
      <c r="K551" s="547" t="s">
        <v>178</v>
      </c>
      <c r="L551" s="310"/>
      <c r="M551" s="310"/>
      <c r="N551" s="547"/>
      <c r="O551" s="310"/>
      <c r="P551" s="590"/>
      <c r="Q551" s="619">
        <v>4.0</v>
      </c>
      <c r="R551" s="619">
        <v>1.0</v>
      </c>
      <c r="S551" s="619">
        <v>3.0</v>
      </c>
      <c r="T551" s="619">
        <v>6.0</v>
      </c>
      <c r="U551" s="619">
        <v>10.0</v>
      </c>
      <c r="V551" s="619">
        <v>10.0</v>
      </c>
      <c r="W551" s="619">
        <v>10.0</v>
      </c>
      <c r="X551" s="619">
        <v>10.0</v>
      </c>
      <c r="Y551" s="619">
        <v>10.0</v>
      </c>
      <c r="Z551" s="619">
        <v>10.0</v>
      </c>
      <c r="AA551" s="241"/>
      <c r="AB551" s="241"/>
      <c r="AC551" s="241"/>
      <c r="AD551" s="241"/>
      <c r="AE551" s="241"/>
      <c r="AF551" s="241"/>
      <c r="AG551" s="241"/>
      <c r="AH551" s="241"/>
      <c r="AI551" s="243"/>
      <c r="AJ551" s="243"/>
      <c r="AK551" s="241"/>
      <c r="AL551" s="241"/>
      <c r="AM551" s="241"/>
      <c r="AN551" s="241"/>
      <c r="AO551" s="241"/>
      <c r="AP551" s="241"/>
      <c r="AQ551" s="241"/>
      <c r="AR551" s="241"/>
    </row>
    <row r="552">
      <c r="A552" s="558">
        <v>6.0</v>
      </c>
      <c r="B552" s="310">
        <f>B551+1</f>
        <v>6</v>
      </c>
      <c r="C552" s="310">
        <v>5.0</v>
      </c>
      <c r="D552" s="310">
        <v>4.0</v>
      </c>
      <c r="E552" s="310">
        <v>4.0</v>
      </c>
      <c r="F552" s="547" t="s">
        <v>178</v>
      </c>
      <c r="G552" s="547" t="s">
        <v>178</v>
      </c>
      <c r="H552" s="547" t="s">
        <v>178</v>
      </c>
      <c r="I552" s="547" t="s">
        <v>178</v>
      </c>
      <c r="J552" s="547" t="s">
        <v>178</v>
      </c>
      <c r="K552" s="547" t="s">
        <v>178</v>
      </c>
      <c r="L552" s="310"/>
      <c r="M552" s="310"/>
      <c r="N552" s="547"/>
      <c r="O552" s="310"/>
      <c r="P552" s="590"/>
      <c r="Q552" s="619">
        <v>5.0</v>
      </c>
      <c r="R552" s="619">
        <v>2.0</v>
      </c>
      <c r="S552" s="619">
        <v>4.0</v>
      </c>
      <c r="T552" s="619">
        <v>7.0</v>
      </c>
      <c r="U552" s="619">
        <v>11.0</v>
      </c>
      <c r="V552" s="619">
        <v>16.0</v>
      </c>
      <c r="W552" s="619">
        <v>16.0</v>
      </c>
      <c r="X552" s="619">
        <v>16.0</v>
      </c>
      <c r="Y552" s="619">
        <v>16.0</v>
      </c>
      <c r="Z552" s="619">
        <v>16.0</v>
      </c>
      <c r="AA552" s="241"/>
      <c r="AB552" s="241"/>
      <c r="AC552" s="241"/>
      <c r="AD552" s="241"/>
      <c r="AE552" s="241"/>
      <c r="AF552" s="241"/>
      <c r="AG552" s="241"/>
      <c r="AH552" s="241"/>
      <c r="AI552" s="243"/>
      <c r="AJ552" s="243"/>
      <c r="AK552" s="241"/>
      <c r="AL552" s="241"/>
      <c r="AM552" s="241"/>
      <c r="AN552" s="241"/>
      <c r="AO552" s="241"/>
      <c r="AP552" s="241"/>
      <c r="AQ552" s="241"/>
      <c r="AR552" s="241"/>
    </row>
    <row r="553">
      <c r="A553" s="558">
        <v>7.0</v>
      </c>
      <c r="B553" s="547">
        <f t="shared" ref="B553:B554" si="23">B552</f>
        <v>6</v>
      </c>
      <c r="C553" s="310">
        <v>5.0</v>
      </c>
      <c r="D553" s="310">
        <v>4.0</v>
      </c>
      <c r="E553" s="310">
        <v>4.0</v>
      </c>
      <c r="F553" s="310">
        <v>2.0</v>
      </c>
      <c r="G553" s="547" t="s">
        <v>178</v>
      </c>
      <c r="H553" s="547" t="s">
        <v>178</v>
      </c>
      <c r="I553" s="547" t="s">
        <v>178</v>
      </c>
      <c r="J553" s="547" t="s">
        <v>178</v>
      </c>
      <c r="K553" s="547" t="s">
        <v>178</v>
      </c>
      <c r="L553" s="310"/>
      <c r="M553" s="310"/>
      <c r="N553" s="547"/>
      <c r="O553" s="310"/>
      <c r="P553" s="590"/>
      <c r="Q553" s="619">
        <v>6.0</v>
      </c>
      <c r="R553" s="619">
        <v>2.0</v>
      </c>
      <c r="S553" s="619">
        <v>6.0</v>
      </c>
      <c r="T553" s="619">
        <v>9.0</v>
      </c>
      <c r="U553" s="619">
        <v>13.0</v>
      </c>
      <c r="V553" s="619">
        <v>18.0</v>
      </c>
      <c r="W553" s="619">
        <v>24.0</v>
      </c>
      <c r="X553" s="619">
        <v>24.0</v>
      </c>
      <c r="Y553" s="619">
        <v>24.0</v>
      </c>
      <c r="Z553" s="619">
        <v>24.0</v>
      </c>
      <c r="AA553" s="241"/>
      <c r="AB553" s="241"/>
      <c r="AC553" s="241"/>
      <c r="AD553" s="241"/>
      <c r="AE553" s="241"/>
      <c r="AF553" s="241"/>
      <c r="AG553" s="241"/>
      <c r="AH553" s="241"/>
      <c r="AI553" s="243"/>
      <c r="AJ553" s="243"/>
      <c r="AK553" s="241"/>
      <c r="AL553" s="241"/>
      <c r="AM553" s="241"/>
      <c r="AN553" s="241"/>
      <c r="AO553" s="241"/>
      <c r="AP553" s="241"/>
      <c r="AQ553" s="241"/>
      <c r="AR553" s="241"/>
    </row>
    <row r="554">
      <c r="A554" s="558">
        <v>8.0</v>
      </c>
      <c r="B554" s="547">
        <f t="shared" si="23"/>
        <v>6</v>
      </c>
      <c r="C554" s="310">
        <v>5.0</v>
      </c>
      <c r="D554" s="310">
        <v>4.0</v>
      </c>
      <c r="E554" s="310">
        <v>4.0</v>
      </c>
      <c r="F554" s="310">
        <v>4.0</v>
      </c>
      <c r="G554" s="547" t="s">
        <v>178</v>
      </c>
      <c r="H554" s="547" t="s">
        <v>178</v>
      </c>
      <c r="I554" s="547" t="s">
        <v>178</v>
      </c>
      <c r="J554" s="547" t="s">
        <v>178</v>
      </c>
      <c r="K554" s="547" t="s">
        <v>178</v>
      </c>
      <c r="L554" s="310"/>
      <c r="M554" s="310"/>
      <c r="N554" s="547"/>
      <c r="O554" s="310"/>
      <c r="P554" s="590"/>
      <c r="Q554" s="619">
        <v>7.0</v>
      </c>
      <c r="R554" s="619">
        <v>2.0</v>
      </c>
      <c r="S554" s="619">
        <v>6.0</v>
      </c>
      <c r="T554" s="619">
        <v>12.0</v>
      </c>
      <c r="U554" s="619">
        <v>16.0</v>
      </c>
      <c r="V554" s="619">
        <v>21.0</v>
      </c>
      <c r="W554" s="619">
        <v>27.0</v>
      </c>
      <c r="X554" s="619">
        <v>34.0</v>
      </c>
      <c r="Y554" s="619">
        <v>34.0</v>
      </c>
      <c r="Z554" s="619">
        <v>34.0</v>
      </c>
      <c r="AA554" s="241"/>
      <c r="AB554" s="241"/>
      <c r="AC554" s="241"/>
      <c r="AD554" s="241"/>
      <c r="AE554" s="241"/>
      <c r="AF554" s="241"/>
      <c r="AG554" s="241"/>
      <c r="AH554" s="241"/>
      <c r="AI554" s="243"/>
      <c r="AJ554" s="243"/>
      <c r="AK554" s="241"/>
      <c r="AL554" s="241"/>
      <c r="AM554" s="241"/>
      <c r="AN554" s="241"/>
      <c r="AO554" s="241"/>
      <c r="AP554" s="241"/>
      <c r="AQ554" s="241"/>
      <c r="AR554" s="241"/>
    </row>
    <row r="555">
      <c r="A555" s="558">
        <v>9.0</v>
      </c>
      <c r="B555" s="310">
        <f>B554+1</f>
        <v>7</v>
      </c>
      <c r="C555" s="310">
        <v>5.0</v>
      </c>
      <c r="D555" s="310">
        <v>4.0</v>
      </c>
      <c r="E555" s="310">
        <v>4.0</v>
      </c>
      <c r="F555" s="310">
        <v>4.0</v>
      </c>
      <c r="G555" s="310">
        <v>2.0</v>
      </c>
      <c r="H555" s="547" t="s">
        <v>178</v>
      </c>
      <c r="I555" s="547" t="s">
        <v>178</v>
      </c>
      <c r="J555" s="547" t="s">
        <v>178</v>
      </c>
      <c r="K555" s="547" t="s">
        <v>178</v>
      </c>
      <c r="L555" s="310"/>
      <c r="M555" s="310"/>
      <c r="N555" s="547"/>
      <c r="O555" s="310"/>
      <c r="P555" s="590"/>
      <c r="Q555" s="619">
        <v>8.0</v>
      </c>
      <c r="R555" s="619">
        <v>2.0</v>
      </c>
      <c r="S555" s="619">
        <v>6.0</v>
      </c>
      <c r="T555" s="619">
        <v>12.0</v>
      </c>
      <c r="U555" s="619">
        <v>20.0</v>
      </c>
      <c r="V555" s="619">
        <v>25.0</v>
      </c>
      <c r="W555" s="619">
        <v>31.0</v>
      </c>
      <c r="X555" s="619">
        <v>38.0</v>
      </c>
      <c r="Y555" s="619">
        <v>46.0</v>
      </c>
      <c r="Z555" s="619">
        <v>46.0</v>
      </c>
      <c r="AA555" s="241"/>
      <c r="AB555" s="241"/>
      <c r="AC555" s="241"/>
      <c r="AD555" s="241"/>
      <c r="AE555" s="241"/>
      <c r="AF555" s="241"/>
      <c r="AG555" s="241"/>
      <c r="AH555" s="241"/>
      <c r="AI555" s="243"/>
      <c r="AJ555" s="243"/>
      <c r="AK555" s="241"/>
      <c r="AL555" s="241"/>
      <c r="AM555" s="241"/>
      <c r="AN555" s="241"/>
      <c r="AO555" s="241"/>
      <c r="AP555" s="241"/>
      <c r="AQ555" s="241"/>
      <c r="AR555" s="241"/>
    </row>
    <row r="556">
      <c r="A556" s="558">
        <v>10.0</v>
      </c>
      <c r="B556" s="547">
        <f t="shared" ref="B556:B557" si="24">B555</f>
        <v>7</v>
      </c>
      <c r="C556" s="310">
        <v>5.0</v>
      </c>
      <c r="D556" s="310">
        <v>4.0</v>
      </c>
      <c r="E556" s="310">
        <v>4.0</v>
      </c>
      <c r="F556" s="310">
        <v>4.0</v>
      </c>
      <c r="G556" s="310">
        <v>4.0</v>
      </c>
      <c r="H556" s="547" t="s">
        <v>178</v>
      </c>
      <c r="I556" s="547" t="s">
        <v>178</v>
      </c>
      <c r="J556" s="547" t="s">
        <v>178</v>
      </c>
      <c r="K556" s="547" t="s">
        <v>178</v>
      </c>
      <c r="L556" s="310"/>
      <c r="M556" s="310"/>
      <c r="N556" s="547"/>
      <c r="O556" s="310"/>
      <c r="P556" s="590"/>
      <c r="Q556" s="619">
        <v>9.0</v>
      </c>
      <c r="R556" s="619">
        <v>3.0</v>
      </c>
      <c r="S556" s="619">
        <v>7.0</v>
      </c>
      <c r="T556" s="619">
        <v>13.0</v>
      </c>
      <c r="U556" s="619">
        <v>21.0</v>
      </c>
      <c r="V556" s="619">
        <v>31.0</v>
      </c>
      <c r="W556" s="619">
        <v>37.0</v>
      </c>
      <c r="X556" s="619">
        <v>44.0</v>
      </c>
      <c r="Y556" s="619">
        <v>52.0</v>
      </c>
      <c r="Z556" s="619">
        <v>61.0</v>
      </c>
      <c r="AA556" s="241"/>
      <c r="AB556" s="241"/>
      <c r="AC556" s="241"/>
      <c r="AD556" s="241"/>
      <c r="AE556" s="241"/>
      <c r="AF556" s="241"/>
      <c r="AG556" s="241"/>
      <c r="AH556" s="241"/>
      <c r="AI556" s="243"/>
      <c r="AJ556" s="243"/>
      <c r="AK556" s="241"/>
      <c r="AL556" s="241"/>
      <c r="AM556" s="241"/>
      <c r="AN556" s="241"/>
      <c r="AO556" s="241"/>
      <c r="AP556" s="241"/>
      <c r="AQ556" s="241"/>
      <c r="AR556" s="241"/>
    </row>
    <row r="557">
      <c r="A557" s="558">
        <v>11.0</v>
      </c>
      <c r="B557" s="547">
        <f t="shared" si="24"/>
        <v>7</v>
      </c>
      <c r="C557" s="310">
        <v>5.0</v>
      </c>
      <c r="D557" s="310">
        <v>4.0</v>
      </c>
      <c r="E557" s="310">
        <v>4.0</v>
      </c>
      <c r="F557" s="310">
        <v>4.0</v>
      </c>
      <c r="G557" s="310">
        <v>4.0</v>
      </c>
      <c r="H557" s="310">
        <v>2.0</v>
      </c>
      <c r="I557" s="547" t="s">
        <v>178</v>
      </c>
      <c r="J557" s="547" t="s">
        <v>178</v>
      </c>
      <c r="K557" s="547" t="s">
        <v>178</v>
      </c>
      <c r="L557" s="310"/>
      <c r="M557" s="310"/>
      <c r="N557" s="547"/>
      <c r="O557" s="310"/>
      <c r="P557" s="590"/>
      <c r="Q557" s="619">
        <v>10.0</v>
      </c>
      <c r="R557" s="619">
        <v>3.0</v>
      </c>
      <c r="S557" s="619">
        <v>9.0</v>
      </c>
      <c r="T557" s="619">
        <v>15.0</v>
      </c>
      <c r="U557" s="619">
        <v>23.0</v>
      </c>
      <c r="V557" s="619">
        <v>33.0</v>
      </c>
      <c r="W557" s="619">
        <v>45.0</v>
      </c>
      <c r="X557" s="619">
        <v>52.0</v>
      </c>
      <c r="Y557" s="619">
        <v>60.0</v>
      </c>
      <c r="Z557" s="619">
        <v>69.0</v>
      </c>
      <c r="AA557" s="241"/>
      <c r="AB557" s="241"/>
      <c r="AC557" s="241"/>
      <c r="AD557" s="241"/>
      <c r="AE557" s="241"/>
      <c r="AF557" s="241"/>
      <c r="AG557" s="241"/>
      <c r="AH557" s="241"/>
      <c r="AI557" s="243"/>
      <c r="AJ557" s="243"/>
      <c r="AK557" s="241"/>
      <c r="AL557" s="241"/>
      <c r="AM557" s="241"/>
      <c r="AN557" s="241"/>
      <c r="AO557" s="241"/>
      <c r="AP557" s="241"/>
      <c r="AQ557" s="241"/>
      <c r="AR557" s="241"/>
    </row>
    <row r="558">
      <c r="A558" s="558">
        <v>12.0</v>
      </c>
      <c r="B558" s="310">
        <f>B557+1</f>
        <v>8</v>
      </c>
      <c r="C558" s="310">
        <v>5.0</v>
      </c>
      <c r="D558" s="310">
        <v>4.0</v>
      </c>
      <c r="E558" s="310">
        <v>4.0</v>
      </c>
      <c r="F558" s="310">
        <v>4.0</v>
      </c>
      <c r="G558" s="310">
        <v>4.0</v>
      </c>
      <c r="H558" s="310">
        <v>4.0</v>
      </c>
      <c r="I558" s="547" t="s">
        <v>178</v>
      </c>
      <c r="J558" s="547" t="s">
        <v>178</v>
      </c>
      <c r="K558" s="547" t="s">
        <v>178</v>
      </c>
      <c r="L558" s="310"/>
      <c r="M558" s="310"/>
      <c r="N558" s="547"/>
      <c r="O558" s="310"/>
      <c r="P558" s="590"/>
      <c r="Q558" s="619">
        <v>11.0</v>
      </c>
      <c r="R558" s="619">
        <v>3.0</v>
      </c>
      <c r="S558" s="619">
        <v>9.0</v>
      </c>
      <c r="T558" s="619">
        <v>18.0</v>
      </c>
      <c r="U558" s="619">
        <v>26.0</v>
      </c>
      <c r="V558" s="619">
        <v>36.0</v>
      </c>
      <c r="W558" s="619">
        <v>48.0</v>
      </c>
      <c r="X558" s="619">
        <v>62.0</v>
      </c>
      <c r="Y558" s="619">
        <v>70.0</v>
      </c>
      <c r="Z558" s="619">
        <v>79.0</v>
      </c>
      <c r="AA558" s="241"/>
      <c r="AB558" s="241"/>
      <c r="AC558" s="241"/>
      <c r="AD558" s="241"/>
      <c r="AE558" s="241"/>
      <c r="AF558" s="241"/>
      <c r="AG558" s="241"/>
      <c r="AH558" s="241"/>
      <c r="AI558" s="243"/>
      <c r="AJ558" s="243"/>
      <c r="AK558" s="241"/>
      <c r="AL558" s="241"/>
      <c r="AM558" s="241"/>
      <c r="AN558" s="241"/>
      <c r="AO558" s="241"/>
      <c r="AP558" s="241"/>
      <c r="AQ558" s="241"/>
      <c r="AR558" s="241"/>
    </row>
    <row r="559">
      <c r="A559" s="558">
        <v>13.0</v>
      </c>
      <c r="B559" s="547">
        <f t="shared" ref="B559:B560" si="25">B558</f>
        <v>8</v>
      </c>
      <c r="C559" s="310">
        <v>5.0</v>
      </c>
      <c r="D559" s="310">
        <v>4.0</v>
      </c>
      <c r="E559" s="547">
        <v>4.0</v>
      </c>
      <c r="F559" s="310">
        <v>4.0</v>
      </c>
      <c r="G559" s="310">
        <v>4.0</v>
      </c>
      <c r="H559" s="310">
        <v>4.0</v>
      </c>
      <c r="I559" s="310">
        <v>2.0</v>
      </c>
      <c r="J559" s="547" t="s">
        <v>178</v>
      </c>
      <c r="K559" s="547" t="s">
        <v>178</v>
      </c>
      <c r="L559" s="310"/>
      <c r="M559" s="310"/>
      <c r="N559" s="547"/>
      <c r="O559" s="310"/>
      <c r="P559" s="590"/>
      <c r="Q559" s="619">
        <v>12.0</v>
      </c>
      <c r="R559" s="619">
        <v>3.0</v>
      </c>
      <c r="S559" s="619">
        <v>9.0</v>
      </c>
      <c r="T559" s="619">
        <v>18.0</v>
      </c>
      <c r="U559" s="619">
        <v>30.0</v>
      </c>
      <c r="V559" s="619">
        <v>40.0</v>
      </c>
      <c r="W559" s="619">
        <v>52.0</v>
      </c>
      <c r="X559" s="619">
        <v>66.0</v>
      </c>
      <c r="Y559" s="619">
        <v>82.0</v>
      </c>
      <c r="Z559" s="619">
        <v>91.0</v>
      </c>
      <c r="AA559" s="241"/>
      <c r="AB559" s="241"/>
      <c r="AC559" s="241"/>
      <c r="AD559" s="241"/>
      <c r="AE559" s="241"/>
      <c r="AF559" s="241"/>
      <c r="AG559" s="241"/>
      <c r="AH559" s="241"/>
      <c r="AI559" s="243"/>
      <c r="AJ559" s="243"/>
      <c r="AK559" s="241"/>
      <c r="AL559" s="241"/>
      <c r="AM559" s="241"/>
      <c r="AN559" s="241"/>
      <c r="AO559" s="241"/>
      <c r="AP559" s="241"/>
      <c r="AQ559" s="241"/>
      <c r="AR559" s="241"/>
    </row>
    <row r="560">
      <c r="A560" s="558">
        <v>14.0</v>
      </c>
      <c r="B560" s="547">
        <f t="shared" si="25"/>
        <v>8</v>
      </c>
      <c r="C560" s="310">
        <v>5.0</v>
      </c>
      <c r="D560" s="310">
        <v>4.0</v>
      </c>
      <c r="E560" s="547">
        <v>4.0</v>
      </c>
      <c r="F560" s="310">
        <v>4.0</v>
      </c>
      <c r="G560" s="310">
        <v>4.0</v>
      </c>
      <c r="H560" s="310">
        <v>4.0</v>
      </c>
      <c r="I560" s="310">
        <v>4.0</v>
      </c>
      <c r="J560" s="547" t="s">
        <v>178</v>
      </c>
      <c r="K560" s="547" t="s">
        <v>178</v>
      </c>
      <c r="L560" s="310"/>
      <c r="M560" s="310"/>
      <c r="N560" s="547"/>
      <c r="O560" s="310"/>
      <c r="P560" s="590"/>
      <c r="Q560" s="619">
        <v>13.0</v>
      </c>
      <c r="R560" s="619">
        <v>4.0</v>
      </c>
      <c r="S560" s="619">
        <v>10.0</v>
      </c>
      <c r="T560" s="619">
        <v>19.0</v>
      </c>
      <c r="U560" s="619">
        <v>31.0</v>
      </c>
      <c r="V560" s="619">
        <v>46.0</v>
      </c>
      <c r="W560" s="619">
        <v>58.0</v>
      </c>
      <c r="X560" s="619">
        <v>72.0</v>
      </c>
      <c r="Y560" s="619">
        <v>88.0</v>
      </c>
      <c r="Z560" s="619">
        <v>106.0</v>
      </c>
      <c r="AA560" s="241"/>
      <c r="AB560" s="241"/>
      <c r="AC560" s="241"/>
      <c r="AD560" s="241"/>
      <c r="AE560" s="241"/>
      <c r="AF560" s="241"/>
      <c r="AG560" s="241"/>
      <c r="AH560" s="241"/>
      <c r="AI560" s="243"/>
      <c r="AJ560" s="243"/>
      <c r="AK560" s="241"/>
      <c r="AL560" s="241"/>
      <c r="AM560" s="241"/>
      <c r="AN560" s="241"/>
      <c r="AO560" s="241"/>
      <c r="AP560" s="241"/>
      <c r="AQ560" s="241"/>
      <c r="AR560" s="241"/>
    </row>
    <row r="561">
      <c r="A561" s="558">
        <v>15.0</v>
      </c>
      <c r="B561" s="310">
        <f>B560+1</f>
        <v>9</v>
      </c>
      <c r="C561" s="310">
        <v>5.0</v>
      </c>
      <c r="D561" s="310">
        <v>4.0</v>
      </c>
      <c r="E561" s="547">
        <v>4.0</v>
      </c>
      <c r="F561" s="310">
        <v>4.0</v>
      </c>
      <c r="G561" s="310">
        <v>4.0</v>
      </c>
      <c r="H561" s="310">
        <v>4.0</v>
      </c>
      <c r="I561" s="310">
        <v>4.0</v>
      </c>
      <c r="J561" s="310">
        <v>2.0</v>
      </c>
      <c r="K561" s="547" t="s">
        <v>178</v>
      </c>
      <c r="L561" s="310"/>
      <c r="M561" s="310"/>
      <c r="N561" s="547"/>
      <c r="O561" s="310"/>
      <c r="P561" s="590"/>
      <c r="Q561" s="619">
        <v>14.0</v>
      </c>
      <c r="R561" s="619">
        <v>4.0</v>
      </c>
      <c r="S561" s="619">
        <v>12.0</v>
      </c>
      <c r="T561" s="619">
        <v>21.0</v>
      </c>
      <c r="U561" s="619">
        <v>33.0</v>
      </c>
      <c r="V561" s="619">
        <v>48.0</v>
      </c>
      <c r="W561" s="619">
        <v>66.0</v>
      </c>
      <c r="X561" s="619">
        <v>80.0</v>
      </c>
      <c r="Y561" s="619">
        <v>96.0</v>
      </c>
      <c r="Z561" s="619">
        <v>114.0</v>
      </c>
      <c r="AA561" s="241"/>
      <c r="AB561" s="241"/>
      <c r="AC561" s="241"/>
      <c r="AD561" s="241"/>
      <c r="AE561" s="241"/>
      <c r="AF561" s="241"/>
      <c r="AG561" s="241"/>
      <c r="AH561" s="241"/>
      <c r="AI561" s="243"/>
      <c r="AJ561" s="243"/>
      <c r="AK561" s="241"/>
      <c r="AL561" s="241"/>
      <c r="AM561" s="241"/>
      <c r="AN561" s="241"/>
      <c r="AO561" s="241"/>
      <c r="AP561" s="241"/>
      <c r="AQ561" s="241"/>
      <c r="AR561" s="241"/>
    </row>
    <row r="562">
      <c r="A562" s="558">
        <v>16.0</v>
      </c>
      <c r="B562" s="547">
        <f t="shared" ref="B562:B563" si="26">B561</f>
        <v>9</v>
      </c>
      <c r="C562" s="310">
        <v>5.0</v>
      </c>
      <c r="D562" s="310">
        <v>4.0</v>
      </c>
      <c r="E562" s="547">
        <v>4.0</v>
      </c>
      <c r="F562" s="310">
        <v>4.0</v>
      </c>
      <c r="G562" s="310">
        <v>4.0</v>
      </c>
      <c r="H562" s="310">
        <v>4.0</v>
      </c>
      <c r="I562" s="310">
        <v>4.0</v>
      </c>
      <c r="J562" s="310">
        <v>4.0</v>
      </c>
      <c r="K562" s="547" t="s">
        <v>178</v>
      </c>
      <c r="L562" s="310"/>
      <c r="M562" s="310"/>
      <c r="N562" s="547"/>
      <c r="O562" s="310"/>
      <c r="P562" s="590"/>
      <c r="Q562" s="619">
        <v>15.0</v>
      </c>
      <c r="R562" s="619">
        <v>4.0</v>
      </c>
      <c r="S562" s="619">
        <v>12.0</v>
      </c>
      <c r="T562" s="619">
        <v>24.0</v>
      </c>
      <c r="U562" s="619">
        <v>36.0</v>
      </c>
      <c r="V562" s="619">
        <v>51.0</v>
      </c>
      <c r="W562" s="619">
        <v>69.0</v>
      </c>
      <c r="X562" s="619">
        <v>90.0</v>
      </c>
      <c r="Y562" s="619">
        <v>106.0</v>
      </c>
      <c r="Z562" s="619">
        <v>124.0</v>
      </c>
      <c r="AA562" s="241"/>
      <c r="AB562" s="241"/>
      <c r="AC562" s="241"/>
      <c r="AD562" s="241"/>
      <c r="AE562" s="241"/>
      <c r="AF562" s="241"/>
      <c r="AG562" s="241"/>
      <c r="AH562" s="241"/>
      <c r="AI562" s="243"/>
      <c r="AJ562" s="243"/>
      <c r="AK562" s="241"/>
      <c r="AL562" s="241"/>
      <c r="AM562" s="241"/>
      <c r="AN562" s="241"/>
      <c r="AO562" s="241"/>
      <c r="AP562" s="241"/>
      <c r="AQ562" s="241"/>
      <c r="AR562" s="241"/>
    </row>
    <row r="563">
      <c r="A563" s="558">
        <v>17.0</v>
      </c>
      <c r="B563" s="547">
        <f t="shared" si="26"/>
        <v>9</v>
      </c>
      <c r="C563" s="310">
        <v>5.0</v>
      </c>
      <c r="D563" s="310">
        <v>4.0</v>
      </c>
      <c r="E563" s="547">
        <v>4.0</v>
      </c>
      <c r="F563" s="310">
        <v>4.0</v>
      </c>
      <c r="G563" s="310">
        <v>4.0</v>
      </c>
      <c r="H563" s="310">
        <v>4.0</v>
      </c>
      <c r="I563" s="310">
        <v>4.0</v>
      </c>
      <c r="J563" s="310">
        <v>4.0</v>
      </c>
      <c r="K563" s="310">
        <v>2.0</v>
      </c>
      <c r="L563" s="310"/>
      <c r="M563" s="310"/>
      <c r="N563" s="547"/>
      <c r="O563" s="310"/>
      <c r="P563" s="590"/>
      <c r="Q563" s="619">
        <v>16.0</v>
      </c>
      <c r="R563" s="619">
        <v>4.0</v>
      </c>
      <c r="S563" s="619">
        <v>12.0</v>
      </c>
      <c r="T563" s="619">
        <v>24.0</v>
      </c>
      <c r="U563" s="619">
        <v>40.0</v>
      </c>
      <c r="V563" s="619">
        <v>55.0</v>
      </c>
      <c r="W563" s="619">
        <v>73.0</v>
      </c>
      <c r="X563" s="619">
        <v>94.0</v>
      </c>
      <c r="Y563" s="619">
        <v>118.0</v>
      </c>
      <c r="Z563" s="619">
        <v>136.0</v>
      </c>
      <c r="AA563" s="241"/>
      <c r="AB563" s="241"/>
      <c r="AC563" s="241"/>
      <c r="AD563" s="241"/>
      <c r="AE563" s="241"/>
      <c r="AF563" s="241"/>
      <c r="AG563" s="241"/>
      <c r="AH563" s="241"/>
      <c r="AI563" s="243"/>
      <c r="AJ563" s="243"/>
      <c r="AK563" s="241"/>
      <c r="AL563" s="241"/>
      <c r="AM563" s="241"/>
      <c r="AN563" s="241"/>
      <c r="AO563" s="241"/>
      <c r="AP563" s="241"/>
      <c r="AQ563" s="241"/>
      <c r="AR563" s="241"/>
    </row>
    <row r="564">
      <c r="A564" s="558">
        <v>18.0</v>
      </c>
      <c r="B564" s="310">
        <f>B563+1</f>
        <v>10</v>
      </c>
      <c r="C564" s="310">
        <v>5.0</v>
      </c>
      <c r="D564" s="310">
        <v>4.0</v>
      </c>
      <c r="E564" s="547">
        <v>4.0</v>
      </c>
      <c r="F564" s="547">
        <v>4.0</v>
      </c>
      <c r="G564" s="310">
        <v>4.0</v>
      </c>
      <c r="H564" s="310">
        <v>4.0</v>
      </c>
      <c r="I564" s="310">
        <v>4.0</v>
      </c>
      <c r="J564" s="310">
        <v>4.0</v>
      </c>
      <c r="K564" s="310">
        <v>4.0</v>
      </c>
      <c r="L564" s="310"/>
      <c r="M564" s="310"/>
      <c r="N564" s="547"/>
      <c r="O564" s="310"/>
      <c r="P564" s="590"/>
      <c r="Q564" s="619">
        <v>17.0</v>
      </c>
      <c r="R564" s="619">
        <v>5.0</v>
      </c>
      <c r="S564" s="619">
        <v>13.0</v>
      </c>
      <c r="T564" s="619">
        <v>25.0</v>
      </c>
      <c r="U564" s="619">
        <v>41.0</v>
      </c>
      <c r="V564" s="619">
        <v>61.0</v>
      </c>
      <c r="W564" s="619">
        <v>79.0</v>
      </c>
      <c r="X564" s="619">
        <v>100.0</v>
      </c>
      <c r="Y564" s="619">
        <v>124.0</v>
      </c>
      <c r="Z564" s="619">
        <v>151.0</v>
      </c>
      <c r="AA564" s="241"/>
      <c r="AB564" s="241"/>
      <c r="AC564" s="241"/>
      <c r="AD564" s="241"/>
      <c r="AE564" s="241"/>
      <c r="AF564" s="241"/>
      <c r="AG564" s="241"/>
      <c r="AH564" s="241"/>
      <c r="AI564" s="243"/>
      <c r="AJ564" s="243"/>
      <c r="AK564" s="241"/>
      <c r="AL564" s="241"/>
      <c r="AM564" s="241"/>
      <c r="AN564" s="241"/>
      <c r="AO564" s="241"/>
      <c r="AP564" s="241"/>
      <c r="AQ564" s="241"/>
      <c r="AR564" s="241"/>
    </row>
    <row r="565">
      <c r="A565" s="558">
        <v>19.0</v>
      </c>
      <c r="B565" s="547">
        <f t="shared" ref="B565:B566" si="27">B564</f>
        <v>10</v>
      </c>
      <c r="C565" s="310">
        <v>5.0</v>
      </c>
      <c r="D565" s="310">
        <v>4.0</v>
      </c>
      <c r="E565" s="547">
        <v>4.0</v>
      </c>
      <c r="F565" s="547">
        <v>4.0</v>
      </c>
      <c r="G565" s="310">
        <v>4.0</v>
      </c>
      <c r="H565" s="310">
        <v>4.0</v>
      </c>
      <c r="I565" s="310">
        <v>4.0</v>
      </c>
      <c r="J565" s="310">
        <v>4.0</v>
      </c>
      <c r="K565" s="310">
        <v>6.0</v>
      </c>
      <c r="L565" s="310"/>
      <c r="M565" s="310"/>
      <c r="N565" s="547"/>
      <c r="O565" s="310"/>
      <c r="P565" s="590"/>
      <c r="Q565" s="310"/>
      <c r="R565" s="590"/>
      <c r="S565" s="547"/>
      <c r="T565" s="547"/>
      <c r="U565" s="547"/>
      <c r="V565" s="547"/>
      <c r="W565" s="547"/>
      <c r="X565" s="241"/>
      <c r="Y565" s="241"/>
      <c r="Z565" s="241"/>
      <c r="AA565" s="241"/>
      <c r="AB565" s="241"/>
      <c r="AC565" s="241"/>
      <c r="AD565" s="241"/>
      <c r="AE565" s="241"/>
      <c r="AF565" s="241"/>
      <c r="AG565" s="241"/>
      <c r="AH565" s="241"/>
      <c r="AI565" s="243"/>
      <c r="AJ565" s="243"/>
      <c r="AK565" s="241"/>
      <c r="AL565" s="241"/>
      <c r="AM565" s="241"/>
      <c r="AN565" s="241"/>
      <c r="AO565" s="241"/>
      <c r="AP565" s="241"/>
      <c r="AQ565" s="241"/>
      <c r="AR565" s="241"/>
    </row>
    <row r="566">
      <c r="A566" s="558">
        <v>20.0</v>
      </c>
      <c r="B566" s="547">
        <f t="shared" si="27"/>
        <v>10</v>
      </c>
      <c r="C566" s="310">
        <v>5.0</v>
      </c>
      <c r="D566" s="310">
        <v>4.0</v>
      </c>
      <c r="E566" s="547">
        <v>4.0</v>
      </c>
      <c r="F566" s="547">
        <v>4.0</v>
      </c>
      <c r="G566" s="310">
        <v>4.0</v>
      </c>
      <c r="H566" s="310">
        <v>4.0</v>
      </c>
      <c r="I566" s="310">
        <v>4.0</v>
      </c>
      <c r="J566" s="310">
        <v>4.0</v>
      </c>
      <c r="K566" s="310">
        <v>8.0</v>
      </c>
      <c r="L566" s="310"/>
      <c r="M566" s="310"/>
      <c r="N566" s="547"/>
      <c r="O566" s="310"/>
      <c r="P566" s="590"/>
      <c r="Q566" s="310"/>
      <c r="R566" s="590"/>
      <c r="S566" s="547"/>
      <c r="T566" s="547"/>
      <c r="U566" s="547"/>
      <c r="V566" s="547"/>
      <c r="W566" s="547"/>
      <c r="X566" s="241"/>
      <c r="Y566" s="241"/>
      <c r="Z566" s="241"/>
      <c r="AA566" s="241"/>
      <c r="AB566" s="241"/>
      <c r="AC566" s="241"/>
      <c r="AD566" s="241"/>
      <c r="AE566" s="241"/>
      <c r="AF566" s="241"/>
      <c r="AG566" s="241"/>
      <c r="AH566" s="241"/>
      <c r="AI566" s="243"/>
      <c r="AJ566" s="243"/>
      <c r="AK566" s="241"/>
      <c r="AL566" s="241"/>
      <c r="AM566" s="241"/>
      <c r="AN566" s="241"/>
      <c r="AO566" s="241"/>
      <c r="AP566" s="241"/>
      <c r="AQ566" s="241"/>
      <c r="AR566" s="241"/>
    </row>
    <row r="567">
      <c r="B567" s="547"/>
      <c r="C567" s="310"/>
      <c r="D567" s="310"/>
      <c r="E567" s="310"/>
      <c r="F567" s="310"/>
      <c r="G567" s="547"/>
      <c r="H567" s="547"/>
      <c r="I567" s="547"/>
      <c r="J567" s="547"/>
      <c r="K567" s="547"/>
      <c r="L567" s="310"/>
      <c r="M567" s="310"/>
      <c r="N567" s="547"/>
      <c r="O567" s="310"/>
      <c r="P567" s="590"/>
      <c r="Q567" s="590"/>
      <c r="R567" s="590"/>
      <c r="S567" s="547"/>
      <c r="T567" s="547"/>
      <c r="U567" s="547"/>
      <c r="V567" s="547"/>
      <c r="W567" s="547"/>
      <c r="X567" s="241"/>
      <c r="Y567" s="241"/>
      <c r="Z567" s="241"/>
      <c r="AA567" s="241"/>
      <c r="AB567" s="241"/>
      <c r="AC567" s="241"/>
      <c r="AD567" s="241"/>
      <c r="AE567" s="241"/>
      <c r="AF567" s="241"/>
      <c r="AG567" s="241"/>
      <c r="AH567" s="241"/>
      <c r="AI567" s="243"/>
      <c r="AJ567" s="243"/>
      <c r="AK567" s="241"/>
      <c r="AL567" s="241"/>
      <c r="AM567" s="241"/>
      <c r="AN567" s="241"/>
      <c r="AO567" s="241"/>
      <c r="AP567" s="241"/>
      <c r="AQ567" s="241"/>
      <c r="AR567" s="241"/>
    </row>
    <row r="568">
      <c r="A568" s="554" t="s">
        <v>660</v>
      </c>
      <c r="B568" s="555">
        <v>0.0</v>
      </c>
      <c r="C568" s="556">
        <v>1.0</v>
      </c>
      <c r="D568" s="310">
        <v>2.0</v>
      </c>
      <c r="E568" s="310">
        <v>3.0</v>
      </c>
      <c r="F568" s="310">
        <v>4.0</v>
      </c>
      <c r="G568" s="310">
        <v>5.0</v>
      </c>
      <c r="H568" s="310">
        <v>6.0</v>
      </c>
      <c r="I568" s="310">
        <v>7.0</v>
      </c>
      <c r="J568" s="310">
        <v>8.0</v>
      </c>
      <c r="K568" s="310">
        <v>9.0</v>
      </c>
      <c r="L568" s="310"/>
      <c r="M568" s="310"/>
      <c r="N568" s="547"/>
      <c r="O568" s="310"/>
      <c r="P568" s="590"/>
      <c r="Q568" s="590"/>
      <c r="R568" s="590"/>
      <c r="S568" s="547"/>
      <c r="T568" s="547"/>
      <c r="U568" s="547"/>
      <c r="V568" s="547"/>
      <c r="W568" s="547"/>
      <c r="X568" s="241"/>
      <c r="Y568" s="241"/>
      <c r="Z568" s="241"/>
      <c r="AA568" s="241"/>
      <c r="AB568" s="241"/>
      <c r="AC568" s="241"/>
      <c r="AD568" s="241"/>
      <c r="AE568" s="241"/>
      <c r="AF568" s="241"/>
      <c r="AG568" s="241"/>
      <c r="AH568" s="241"/>
      <c r="AI568" s="243"/>
      <c r="AJ568" s="243"/>
      <c r="AK568" s="241"/>
      <c r="AL568" s="241"/>
      <c r="AM568" s="241"/>
      <c r="AN568" s="241"/>
      <c r="AO568" s="241"/>
      <c r="AP568" s="241"/>
      <c r="AQ568" s="241"/>
      <c r="AR568" s="241"/>
    </row>
    <row r="569">
      <c r="A569" s="558">
        <v>1.0</v>
      </c>
      <c r="B569" s="310">
        <v>2.0</v>
      </c>
      <c r="C569" s="310">
        <v>3.0</v>
      </c>
      <c r="D569" s="547" t="s">
        <v>178</v>
      </c>
      <c r="E569" s="547" t="s">
        <v>178</v>
      </c>
      <c r="F569" s="547" t="s">
        <v>178</v>
      </c>
      <c r="G569" s="547" t="s">
        <v>178</v>
      </c>
      <c r="H569" s="547" t="s">
        <v>178</v>
      </c>
      <c r="I569" s="555" t="s">
        <v>178</v>
      </c>
      <c r="J569" s="555" t="s">
        <v>178</v>
      </c>
      <c r="K569" s="555" t="s">
        <v>178</v>
      </c>
      <c r="L569" s="310"/>
      <c r="M569" s="310"/>
      <c r="N569" s="547"/>
      <c r="O569" s="310"/>
      <c r="P569" s="590"/>
      <c r="Q569" s="313"/>
      <c r="R569" s="590"/>
      <c r="S569" s="547"/>
      <c r="T569" s="547"/>
      <c r="U569" s="547"/>
      <c r="V569" s="547"/>
      <c r="W569" s="547"/>
      <c r="X569" s="241"/>
      <c r="Y569" s="241"/>
      <c r="Z569" s="241"/>
      <c r="AA569" s="241"/>
      <c r="AB569" s="241"/>
      <c r="AC569" s="241"/>
      <c r="AD569" s="241"/>
      <c r="AE569" s="241"/>
      <c r="AF569" s="241"/>
      <c r="AG569" s="241"/>
      <c r="AH569" s="241"/>
      <c r="AI569" s="243"/>
      <c r="AJ569" s="243"/>
      <c r="AK569" s="241"/>
      <c r="AL569" s="241"/>
      <c r="AM569" s="241"/>
      <c r="AN569" s="241"/>
      <c r="AO569" s="241"/>
      <c r="AP569" s="241"/>
      <c r="AQ569" s="241"/>
      <c r="AR569" s="241"/>
    </row>
    <row r="570">
      <c r="A570" s="558">
        <v>2.0</v>
      </c>
      <c r="B570" s="310">
        <f t="shared" ref="B570:B571" si="28">B569</f>
        <v>2</v>
      </c>
      <c r="C570" s="310">
        <v>5.0</v>
      </c>
      <c r="D570" s="547" t="s">
        <v>178</v>
      </c>
      <c r="E570" s="547" t="s">
        <v>178</v>
      </c>
      <c r="F570" s="547" t="s">
        <v>178</v>
      </c>
      <c r="G570" s="547" t="s">
        <v>178</v>
      </c>
      <c r="H570" s="547" t="s">
        <v>178</v>
      </c>
      <c r="I570" s="555" t="s">
        <v>178</v>
      </c>
      <c r="J570" s="555" t="s">
        <v>178</v>
      </c>
      <c r="K570" s="555" t="s">
        <v>178</v>
      </c>
      <c r="L570" s="310"/>
      <c r="M570" s="310"/>
      <c r="N570" s="547"/>
      <c r="O570" s="310"/>
      <c r="P570" s="590"/>
      <c r="Q570" s="310"/>
      <c r="R570" s="590"/>
      <c r="S570" s="547"/>
      <c r="T570" s="547"/>
      <c r="U570" s="547"/>
      <c r="V570" s="547"/>
      <c r="W570" s="547"/>
      <c r="X570" s="241"/>
      <c r="Y570" s="241"/>
      <c r="Z570" s="241"/>
      <c r="AA570" s="241"/>
      <c r="AB570" s="241"/>
      <c r="AC570" s="241"/>
      <c r="AD570" s="241"/>
      <c r="AE570" s="241"/>
      <c r="AF570" s="241"/>
      <c r="AG570" s="241"/>
      <c r="AH570" s="241"/>
      <c r="AI570" s="243"/>
      <c r="AJ570" s="243"/>
      <c r="AK570" s="241"/>
      <c r="AL570" s="241"/>
      <c r="AM570" s="241"/>
      <c r="AN570" s="241"/>
      <c r="AO570" s="241"/>
      <c r="AP570" s="241"/>
      <c r="AQ570" s="241"/>
      <c r="AR570" s="241"/>
    </row>
    <row r="571">
      <c r="A571" s="558">
        <v>3.0</v>
      </c>
      <c r="B571" s="310">
        <f t="shared" si="28"/>
        <v>2</v>
      </c>
      <c r="C571" s="310">
        <v>7.0</v>
      </c>
      <c r="D571" s="547" t="s">
        <v>178</v>
      </c>
      <c r="E571" s="547" t="s">
        <v>178</v>
      </c>
      <c r="F571" s="547" t="s">
        <v>178</v>
      </c>
      <c r="G571" s="547" t="s">
        <v>178</v>
      </c>
      <c r="H571" s="547" t="s">
        <v>178</v>
      </c>
      <c r="I571" s="547" t="s">
        <v>178</v>
      </c>
      <c r="J571" s="547" t="s">
        <v>178</v>
      </c>
      <c r="K571" s="547" t="s">
        <v>178</v>
      </c>
      <c r="L571" s="310"/>
      <c r="M571" s="310"/>
      <c r="N571" s="547"/>
      <c r="O571" s="310"/>
      <c r="P571" s="590"/>
      <c r="Q571" s="310"/>
      <c r="R571" s="590"/>
      <c r="S571" s="547"/>
      <c r="T571" s="547"/>
      <c r="U571" s="547"/>
      <c r="V571" s="547"/>
      <c r="W571" s="547"/>
      <c r="X571" s="241"/>
      <c r="Y571" s="241"/>
      <c r="Z571" s="241"/>
      <c r="AA571" s="241"/>
      <c r="AB571" s="241"/>
      <c r="AC571" s="241"/>
      <c r="AD571" s="241"/>
      <c r="AE571" s="241"/>
      <c r="AF571" s="241"/>
      <c r="AG571" s="241"/>
      <c r="AH571" s="241"/>
      <c r="AI571" s="243"/>
      <c r="AJ571" s="243"/>
      <c r="AK571" s="241"/>
      <c r="AL571" s="241"/>
      <c r="AM571" s="241"/>
      <c r="AN571" s="241"/>
      <c r="AO571" s="241"/>
      <c r="AP571" s="241"/>
      <c r="AQ571" s="241"/>
      <c r="AR571" s="241"/>
    </row>
    <row r="572">
      <c r="A572" s="558">
        <v>4.0</v>
      </c>
      <c r="B572" s="310">
        <f>B571+1</f>
        <v>3</v>
      </c>
      <c r="C572" s="310">
        <v>7.0</v>
      </c>
      <c r="D572" s="310">
        <v>2.0</v>
      </c>
      <c r="E572" s="547" t="s">
        <v>178</v>
      </c>
      <c r="F572" s="547" t="s">
        <v>178</v>
      </c>
      <c r="G572" s="547" t="s">
        <v>178</v>
      </c>
      <c r="H572" s="547" t="s">
        <v>178</v>
      </c>
      <c r="I572" s="547" t="s">
        <v>178</v>
      </c>
      <c r="J572" s="547" t="s">
        <v>178</v>
      </c>
      <c r="K572" s="547" t="s">
        <v>178</v>
      </c>
      <c r="L572" s="310"/>
      <c r="M572" s="310"/>
      <c r="N572" s="547"/>
      <c r="O572" s="310"/>
      <c r="P572" s="590"/>
      <c r="Q572" s="310"/>
      <c r="R572" s="590"/>
      <c r="S572" s="547"/>
      <c r="T572" s="547"/>
      <c r="U572" s="547"/>
      <c r="V572" s="547"/>
      <c r="W572" s="547"/>
      <c r="X572" s="241"/>
      <c r="Y572" s="241"/>
      <c r="Z572" s="241"/>
      <c r="AA572" s="241"/>
      <c r="AB572" s="241"/>
      <c r="AC572" s="241"/>
      <c r="AD572" s="241"/>
      <c r="AE572" s="241"/>
      <c r="AF572" s="241"/>
      <c r="AG572" s="241"/>
      <c r="AH572" s="241"/>
      <c r="AI572" s="243"/>
      <c r="AJ572" s="243"/>
      <c r="AK572" s="241"/>
      <c r="AL572" s="241"/>
      <c r="AM572" s="241"/>
      <c r="AN572" s="241"/>
      <c r="AO572" s="241"/>
      <c r="AP572" s="241"/>
      <c r="AQ572" s="241"/>
      <c r="AR572" s="241"/>
    </row>
    <row r="573">
      <c r="A573" s="558">
        <v>5.0</v>
      </c>
      <c r="B573" s="310">
        <f t="shared" ref="B573:B575" si="29">B572</f>
        <v>3</v>
      </c>
      <c r="C573" s="310">
        <v>7.0</v>
      </c>
      <c r="D573" s="310">
        <v>4.0</v>
      </c>
      <c r="E573" s="547" t="s">
        <v>178</v>
      </c>
      <c r="F573" s="547" t="s">
        <v>178</v>
      </c>
      <c r="G573" s="547" t="s">
        <v>178</v>
      </c>
      <c r="H573" s="547" t="s">
        <v>178</v>
      </c>
      <c r="I573" s="547" t="s">
        <v>178</v>
      </c>
      <c r="J573" s="547" t="s">
        <v>178</v>
      </c>
      <c r="K573" s="547" t="s">
        <v>178</v>
      </c>
      <c r="L573" s="310"/>
      <c r="M573" s="310"/>
      <c r="N573" s="547"/>
      <c r="O573" s="310"/>
      <c r="P573" s="590"/>
      <c r="Q573" s="310"/>
      <c r="R573" s="590"/>
      <c r="S573" s="547"/>
      <c r="T573" s="547"/>
      <c r="U573" s="547"/>
      <c r="V573" s="547"/>
      <c r="W573" s="547"/>
      <c r="X573" s="241"/>
      <c r="Y573" s="241"/>
      <c r="Z573" s="241"/>
      <c r="AA573" s="241"/>
      <c r="AB573" s="241"/>
      <c r="AC573" s="241"/>
      <c r="AD573" s="241"/>
      <c r="AE573" s="241"/>
      <c r="AF573" s="241"/>
      <c r="AG573" s="241"/>
      <c r="AH573" s="241"/>
      <c r="AI573" s="243"/>
      <c r="AJ573" s="243"/>
      <c r="AK573" s="241"/>
      <c r="AL573" s="241"/>
      <c r="AM573" s="241"/>
      <c r="AN573" s="241"/>
      <c r="AO573" s="241"/>
      <c r="AP573" s="241"/>
      <c r="AQ573" s="241"/>
      <c r="AR573" s="241"/>
    </row>
    <row r="574">
      <c r="A574" s="558">
        <v>6.0</v>
      </c>
      <c r="B574" s="310">
        <f t="shared" si="29"/>
        <v>3</v>
      </c>
      <c r="C574" s="310">
        <v>7.0</v>
      </c>
      <c r="D574" s="310">
        <v>6.0</v>
      </c>
      <c r="E574" s="547" t="s">
        <v>178</v>
      </c>
      <c r="F574" s="547" t="s">
        <v>178</v>
      </c>
      <c r="G574" s="547" t="s">
        <v>178</v>
      </c>
      <c r="H574" s="547" t="s">
        <v>178</v>
      </c>
      <c r="I574" s="547" t="s">
        <v>178</v>
      </c>
      <c r="J574" s="547" t="s">
        <v>178</v>
      </c>
      <c r="K574" s="547" t="s">
        <v>178</v>
      </c>
      <c r="L574" s="310"/>
      <c r="M574" s="310"/>
      <c r="N574" s="547"/>
      <c r="O574" s="310"/>
      <c r="P574" s="590"/>
      <c r="Q574" s="310"/>
      <c r="R574" s="590"/>
      <c r="S574" s="547"/>
      <c r="T574" s="547"/>
      <c r="U574" s="547"/>
      <c r="V574" s="547"/>
      <c r="W574" s="547"/>
      <c r="X574" s="241"/>
      <c r="Y574" s="241"/>
      <c r="Z574" s="241"/>
      <c r="AA574" s="241"/>
      <c r="AB574" s="241"/>
      <c r="AC574" s="241"/>
      <c r="AD574" s="241"/>
      <c r="AE574" s="241"/>
      <c r="AF574" s="241"/>
      <c r="AG574" s="241"/>
      <c r="AH574" s="241"/>
      <c r="AI574" s="243"/>
      <c r="AJ574" s="243"/>
      <c r="AK574" s="241"/>
      <c r="AL574" s="241"/>
      <c r="AM574" s="241"/>
      <c r="AN574" s="241"/>
      <c r="AO574" s="241"/>
      <c r="AP574" s="241"/>
      <c r="AQ574" s="241"/>
      <c r="AR574" s="241"/>
    </row>
    <row r="575">
      <c r="A575" s="558">
        <v>7.0</v>
      </c>
      <c r="B575" s="310">
        <f t="shared" si="29"/>
        <v>3</v>
      </c>
      <c r="C575" s="310">
        <v>7.0</v>
      </c>
      <c r="D575" s="310">
        <v>6.0</v>
      </c>
      <c r="E575" s="547">
        <v>2.0</v>
      </c>
      <c r="F575" s="547" t="s">
        <v>178</v>
      </c>
      <c r="G575" s="547" t="s">
        <v>178</v>
      </c>
      <c r="H575" s="547" t="s">
        <v>178</v>
      </c>
      <c r="I575" s="547" t="s">
        <v>178</v>
      </c>
      <c r="J575" s="547" t="s">
        <v>178</v>
      </c>
      <c r="K575" s="547" t="s">
        <v>178</v>
      </c>
      <c r="L575" s="310"/>
      <c r="M575" s="310"/>
      <c r="N575" s="547"/>
      <c r="O575" s="310"/>
      <c r="P575" s="590"/>
      <c r="Q575" s="310"/>
      <c r="R575" s="590"/>
      <c r="S575" s="547"/>
      <c r="T575" s="547"/>
      <c r="U575" s="547"/>
      <c r="V575" s="547"/>
      <c r="W575" s="547"/>
      <c r="X575" s="241"/>
      <c r="Y575" s="241"/>
      <c r="Z575" s="241"/>
      <c r="AA575" s="241"/>
      <c r="AB575" s="241"/>
      <c r="AC575" s="241"/>
      <c r="AD575" s="241"/>
      <c r="AE575" s="241"/>
      <c r="AF575" s="241"/>
      <c r="AG575" s="241"/>
      <c r="AH575" s="241"/>
      <c r="AI575" s="243"/>
      <c r="AJ575" s="243"/>
      <c r="AK575" s="241"/>
      <c r="AL575" s="241"/>
      <c r="AM575" s="241"/>
      <c r="AN575" s="241"/>
      <c r="AO575" s="241"/>
      <c r="AP575" s="241"/>
      <c r="AQ575" s="241"/>
      <c r="AR575" s="241"/>
    </row>
    <row r="576">
      <c r="A576" s="558">
        <v>8.0</v>
      </c>
      <c r="B576" s="310">
        <f>B575+1</f>
        <v>4</v>
      </c>
      <c r="C576" s="310">
        <v>7.0</v>
      </c>
      <c r="D576" s="310">
        <v>6.0</v>
      </c>
      <c r="E576" s="310">
        <v>4.0</v>
      </c>
      <c r="F576" s="547" t="s">
        <v>178</v>
      </c>
      <c r="G576" s="547" t="s">
        <v>178</v>
      </c>
      <c r="H576" s="547" t="s">
        <v>178</v>
      </c>
      <c r="I576" s="547" t="s">
        <v>178</v>
      </c>
      <c r="J576" s="547" t="s">
        <v>178</v>
      </c>
      <c r="K576" s="547" t="s">
        <v>178</v>
      </c>
      <c r="L576" s="310"/>
      <c r="M576" s="310"/>
      <c r="N576" s="547"/>
      <c r="O576" s="310"/>
      <c r="P576" s="590"/>
      <c r="Q576" s="310"/>
      <c r="R576" s="590"/>
      <c r="S576" s="547"/>
      <c r="T576" s="547"/>
      <c r="U576" s="547"/>
      <c r="V576" s="547"/>
      <c r="W576" s="547"/>
      <c r="X576" s="241"/>
      <c r="Y576" s="241"/>
      <c r="Z576" s="241"/>
      <c r="AA576" s="241"/>
      <c r="AB576" s="241"/>
      <c r="AC576" s="241"/>
      <c r="AD576" s="241"/>
      <c r="AE576" s="241"/>
      <c r="AF576" s="241"/>
      <c r="AG576" s="241"/>
      <c r="AH576" s="241"/>
      <c r="AI576" s="243"/>
      <c r="AJ576" s="243"/>
      <c r="AK576" s="241"/>
      <c r="AL576" s="241"/>
      <c r="AM576" s="241"/>
      <c r="AN576" s="241"/>
      <c r="AO576" s="241"/>
      <c r="AP576" s="241"/>
      <c r="AQ576" s="241"/>
      <c r="AR576" s="241"/>
    </row>
    <row r="577">
      <c r="A577" s="558">
        <v>9.0</v>
      </c>
      <c r="B577" s="310">
        <f t="shared" ref="B577:B579" si="30">B576</f>
        <v>4</v>
      </c>
      <c r="C577" s="310">
        <v>7.0</v>
      </c>
      <c r="D577" s="310">
        <v>6.0</v>
      </c>
      <c r="E577" s="310">
        <v>6.0</v>
      </c>
      <c r="F577" s="547" t="s">
        <v>178</v>
      </c>
      <c r="G577" s="547" t="s">
        <v>178</v>
      </c>
      <c r="H577" s="547" t="s">
        <v>178</v>
      </c>
      <c r="I577" s="547" t="s">
        <v>178</v>
      </c>
      <c r="J577" s="547" t="s">
        <v>178</v>
      </c>
      <c r="K577" s="547" t="s">
        <v>178</v>
      </c>
      <c r="L577" s="310"/>
      <c r="M577" s="310"/>
      <c r="N577" s="547"/>
      <c r="O577" s="310"/>
      <c r="P577" s="590"/>
      <c r="Q577" s="310"/>
      <c r="R577" s="590"/>
      <c r="S577" s="547"/>
      <c r="T577" s="547"/>
      <c r="U577" s="547"/>
      <c r="V577" s="547"/>
      <c r="W577" s="547"/>
      <c r="X577" s="241"/>
      <c r="Y577" s="241"/>
      <c r="Z577" s="241"/>
      <c r="AA577" s="241"/>
      <c r="AB577" s="241"/>
      <c r="AC577" s="241"/>
      <c r="AD577" s="241"/>
      <c r="AE577" s="241"/>
      <c r="AF577" s="241"/>
      <c r="AG577" s="241"/>
      <c r="AH577" s="241"/>
      <c r="AI577" s="243"/>
      <c r="AJ577" s="243"/>
      <c r="AK577" s="241"/>
      <c r="AL577" s="241"/>
      <c r="AM577" s="241"/>
      <c r="AN577" s="241"/>
      <c r="AO577" s="241"/>
      <c r="AP577" s="241"/>
      <c r="AQ577" s="241"/>
      <c r="AR577" s="241"/>
    </row>
    <row r="578">
      <c r="A578" s="558">
        <v>10.0</v>
      </c>
      <c r="B578" s="310">
        <f t="shared" si="30"/>
        <v>4</v>
      </c>
      <c r="C578" s="310">
        <v>7.0</v>
      </c>
      <c r="D578" s="310">
        <v>6.0</v>
      </c>
      <c r="E578" s="310">
        <v>6.0</v>
      </c>
      <c r="F578" s="547">
        <v>2.0</v>
      </c>
      <c r="G578" s="547" t="s">
        <v>178</v>
      </c>
      <c r="H578" s="547" t="s">
        <v>178</v>
      </c>
      <c r="I578" s="547" t="s">
        <v>178</v>
      </c>
      <c r="J578" s="547" t="s">
        <v>178</v>
      </c>
      <c r="K578" s="547" t="s">
        <v>178</v>
      </c>
      <c r="L578" s="310"/>
      <c r="M578" s="310"/>
      <c r="N578" s="547"/>
      <c r="O578" s="310"/>
      <c r="P578" s="590"/>
      <c r="Q578" s="310"/>
      <c r="R578" s="590"/>
      <c r="S578" s="547"/>
      <c r="T578" s="547"/>
      <c r="U578" s="547"/>
      <c r="V578" s="547"/>
      <c r="W578" s="547"/>
      <c r="X578" s="241"/>
      <c r="Y578" s="241"/>
      <c r="Z578" s="241"/>
      <c r="AA578" s="241"/>
      <c r="AB578" s="241"/>
      <c r="AC578" s="241"/>
      <c r="AD578" s="241"/>
      <c r="AE578" s="241"/>
      <c r="AF578" s="241"/>
      <c r="AG578" s="241"/>
      <c r="AH578" s="241"/>
      <c r="AI578" s="243"/>
      <c r="AJ578" s="243"/>
      <c r="AK578" s="241"/>
      <c r="AL578" s="241"/>
      <c r="AM578" s="241"/>
      <c r="AN578" s="241"/>
      <c r="AO578" s="241"/>
      <c r="AP578" s="241"/>
      <c r="AQ578" s="241"/>
      <c r="AR578" s="241"/>
    </row>
    <row r="579">
      <c r="A579" s="558">
        <v>11.0</v>
      </c>
      <c r="B579" s="310">
        <f t="shared" si="30"/>
        <v>4</v>
      </c>
      <c r="C579" s="310">
        <v>7.0</v>
      </c>
      <c r="D579" s="310">
        <v>6.0</v>
      </c>
      <c r="E579" s="310">
        <v>6.0</v>
      </c>
      <c r="F579" s="310">
        <v>4.0</v>
      </c>
      <c r="G579" s="547" t="s">
        <v>178</v>
      </c>
      <c r="H579" s="547" t="s">
        <v>178</v>
      </c>
      <c r="I579" s="547" t="s">
        <v>178</v>
      </c>
      <c r="J579" s="547" t="s">
        <v>178</v>
      </c>
      <c r="K579" s="547" t="s">
        <v>178</v>
      </c>
      <c r="L579" s="310"/>
      <c r="M579" s="310"/>
      <c r="N579" s="547"/>
      <c r="O579" s="310"/>
      <c r="P579" s="590"/>
      <c r="Q579" s="310"/>
      <c r="R579" s="590"/>
      <c r="S579" s="547"/>
      <c r="T579" s="547"/>
      <c r="U579" s="547"/>
      <c r="V579" s="547"/>
      <c r="W579" s="547"/>
      <c r="X579" s="241"/>
      <c r="Y579" s="241"/>
      <c r="Z579" s="241"/>
      <c r="AA579" s="241"/>
      <c r="AB579" s="241"/>
      <c r="AC579" s="241"/>
      <c r="AD579" s="241"/>
      <c r="AE579" s="241"/>
      <c r="AF579" s="241"/>
      <c r="AG579" s="241"/>
      <c r="AH579" s="241"/>
      <c r="AI579" s="243"/>
      <c r="AJ579" s="243"/>
      <c r="AK579" s="241"/>
      <c r="AL579" s="241"/>
      <c r="AM579" s="241"/>
      <c r="AN579" s="241"/>
      <c r="AO579" s="241"/>
      <c r="AP579" s="241"/>
      <c r="AQ579" s="241"/>
      <c r="AR579" s="241"/>
    </row>
    <row r="580">
      <c r="A580" s="558">
        <v>12.0</v>
      </c>
      <c r="B580" s="310">
        <f>B579+1</f>
        <v>5</v>
      </c>
      <c r="C580" s="310">
        <v>7.0</v>
      </c>
      <c r="D580" s="310">
        <v>6.0</v>
      </c>
      <c r="E580" s="310">
        <v>6.0</v>
      </c>
      <c r="F580" s="310">
        <v>6.0</v>
      </c>
      <c r="G580" s="547" t="s">
        <v>178</v>
      </c>
      <c r="H580" s="547" t="s">
        <v>178</v>
      </c>
      <c r="I580" s="547" t="s">
        <v>178</v>
      </c>
      <c r="J580" s="547" t="s">
        <v>178</v>
      </c>
      <c r="K580" s="547" t="s">
        <v>178</v>
      </c>
      <c r="L580" s="310"/>
      <c r="M580" s="310"/>
      <c r="N580" s="547"/>
      <c r="O580" s="310"/>
      <c r="P580" s="590"/>
      <c r="Q580" s="310"/>
      <c r="R580" s="590"/>
      <c r="S580" s="547"/>
      <c r="T580" s="547"/>
      <c r="U580" s="547"/>
      <c r="V580" s="547"/>
      <c r="W580" s="547"/>
      <c r="X580" s="241"/>
      <c r="Y580" s="241"/>
      <c r="Z580" s="241"/>
      <c r="AA580" s="241"/>
      <c r="AB580" s="241"/>
      <c r="AC580" s="241"/>
      <c r="AD580" s="241"/>
      <c r="AE580" s="241"/>
      <c r="AF580" s="241"/>
      <c r="AG580" s="241"/>
      <c r="AH580" s="241"/>
      <c r="AI580" s="243"/>
      <c r="AJ580" s="243"/>
      <c r="AK580" s="241"/>
      <c r="AL580" s="241"/>
      <c r="AM580" s="241"/>
      <c r="AN580" s="241"/>
      <c r="AO580" s="241"/>
      <c r="AP580" s="241"/>
      <c r="AQ580" s="241"/>
      <c r="AR580" s="241"/>
    </row>
    <row r="581">
      <c r="A581" s="558">
        <v>13.0</v>
      </c>
      <c r="B581" s="310">
        <f t="shared" ref="B581:B583" si="31">B580</f>
        <v>5</v>
      </c>
      <c r="C581" s="310">
        <v>7.0</v>
      </c>
      <c r="D581" s="310">
        <v>6.0</v>
      </c>
      <c r="E581" s="310">
        <v>6.0</v>
      </c>
      <c r="F581" s="310">
        <v>6.0</v>
      </c>
      <c r="G581" s="310">
        <v>2.0</v>
      </c>
      <c r="H581" s="547" t="s">
        <v>178</v>
      </c>
      <c r="I581" s="547" t="s">
        <v>178</v>
      </c>
      <c r="J581" s="547" t="s">
        <v>178</v>
      </c>
      <c r="K581" s="547" t="s">
        <v>178</v>
      </c>
      <c r="L581" s="310"/>
      <c r="M581" s="310"/>
      <c r="N581" s="547"/>
      <c r="O581" s="310"/>
      <c r="P581" s="590"/>
      <c r="Q581" s="310"/>
      <c r="R581" s="590"/>
      <c r="S581" s="547"/>
      <c r="T581" s="547"/>
      <c r="U581" s="547"/>
      <c r="V581" s="547"/>
      <c r="W581" s="547"/>
      <c r="X581" s="241"/>
      <c r="Y581" s="241"/>
      <c r="Z581" s="241"/>
      <c r="AA581" s="241"/>
      <c r="AB581" s="241"/>
      <c r="AC581" s="241"/>
      <c r="AD581" s="241"/>
      <c r="AE581" s="241"/>
      <c r="AF581" s="241"/>
      <c r="AG581" s="241"/>
      <c r="AH581" s="241"/>
      <c r="AI581" s="243"/>
      <c r="AJ581" s="243"/>
      <c r="AK581" s="241"/>
      <c r="AL581" s="241"/>
      <c r="AM581" s="241"/>
      <c r="AN581" s="241"/>
      <c r="AO581" s="241"/>
      <c r="AP581" s="241"/>
      <c r="AQ581" s="241"/>
      <c r="AR581" s="241"/>
    </row>
    <row r="582">
      <c r="A582" s="558">
        <v>14.0</v>
      </c>
      <c r="B582" s="310">
        <f t="shared" si="31"/>
        <v>5</v>
      </c>
      <c r="C582" s="310">
        <v>7.0</v>
      </c>
      <c r="D582" s="310">
        <v>6.0</v>
      </c>
      <c r="E582" s="310">
        <v>6.0</v>
      </c>
      <c r="F582" s="310">
        <v>6.0</v>
      </c>
      <c r="G582" s="310">
        <v>4.0</v>
      </c>
      <c r="H582" s="547" t="s">
        <v>178</v>
      </c>
      <c r="I582" s="547" t="s">
        <v>178</v>
      </c>
      <c r="J582" s="547" t="s">
        <v>178</v>
      </c>
      <c r="K582" s="547" t="s">
        <v>178</v>
      </c>
      <c r="L582" s="310"/>
      <c r="M582" s="310"/>
      <c r="N582" s="547"/>
      <c r="O582" s="310"/>
      <c r="P582" s="590"/>
      <c r="Q582" s="310"/>
      <c r="R582" s="590"/>
      <c r="S582" s="547"/>
      <c r="T582" s="547"/>
      <c r="U582" s="547"/>
      <c r="V582" s="547"/>
      <c r="W582" s="547"/>
      <c r="X582" s="241"/>
      <c r="Y582" s="241"/>
      <c r="Z582" s="241"/>
      <c r="AA582" s="241"/>
      <c r="AB582" s="241"/>
      <c r="AC582" s="241"/>
      <c r="AD582" s="241"/>
      <c r="AE582" s="241"/>
      <c r="AF582" s="241"/>
      <c r="AG582" s="241"/>
      <c r="AH582" s="241"/>
      <c r="AI582" s="243"/>
      <c r="AJ582" s="243"/>
      <c r="AK582" s="241"/>
      <c r="AL582" s="241"/>
      <c r="AM582" s="241"/>
      <c r="AN582" s="241"/>
      <c r="AO582" s="241"/>
      <c r="AP582" s="241"/>
      <c r="AQ582" s="241"/>
      <c r="AR582" s="241"/>
    </row>
    <row r="583">
      <c r="A583" s="558">
        <v>15.0</v>
      </c>
      <c r="B583" s="310">
        <f t="shared" si="31"/>
        <v>5</v>
      </c>
      <c r="C583" s="310">
        <v>7.0</v>
      </c>
      <c r="D583" s="310">
        <v>6.0</v>
      </c>
      <c r="E583" s="310">
        <v>6.0</v>
      </c>
      <c r="F583" s="310">
        <v>6.0</v>
      </c>
      <c r="G583" s="310">
        <v>6.0</v>
      </c>
      <c r="H583" s="547" t="s">
        <v>178</v>
      </c>
      <c r="I583" s="547" t="s">
        <v>178</v>
      </c>
      <c r="J583" s="547" t="s">
        <v>178</v>
      </c>
      <c r="K583" s="547" t="s">
        <v>178</v>
      </c>
      <c r="L583" s="310"/>
      <c r="M583" s="310"/>
      <c r="N583" s="547"/>
      <c r="O583" s="310"/>
      <c r="P583" s="590"/>
      <c r="Q583" s="310"/>
      <c r="R583" s="590"/>
      <c r="S583" s="547"/>
      <c r="T583" s="547"/>
      <c r="U583" s="547"/>
      <c r="V583" s="547"/>
      <c r="W583" s="547"/>
      <c r="X583" s="241"/>
      <c r="Y583" s="241"/>
      <c r="Z583" s="241"/>
      <c r="AA583" s="241"/>
      <c r="AB583" s="241"/>
      <c r="AC583" s="241"/>
      <c r="AD583" s="241"/>
      <c r="AE583" s="241"/>
      <c r="AF583" s="241"/>
      <c r="AG583" s="241"/>
      <c r="AH583" s="241"/>
      <c r="AI583" s="243"/>
      <c r="AJ583" s="243"/>
      <c r="AK583" s="241"/>
      <c r="AL583" s="241"/>
      <c r="AM583" s="241"/>
      <c r="AN583" s="241"/>
      <c r="AO583" s="241"/>
      <c r="AP583" s="241"/>
      <c r="AQ583" s="241"/>
      <c r="AR583" s="241"/>
    </row>
    <row r="584">
      <c r="A584" s="558">
        <v>16.0</v>
      </c>
      <c r="B584" s="310">
        <f>B583+1</f>
        <v>6</v>
      </c>
      <c r="C584" s="310">
        <v>7.0</v>
      </c>
      <c r="D584" s="310">
        <v>6.0</v>
      </c>
      <c r="E584" s="310">
        <v>6.0</v>
      </c>
      <c r="F584" s="310">
        <v>6.0</v>
      </c>
      <c r="G584" s="310">
        <v>6.0</v>
      </c>
      <c r="H584" s="310">
        <v>2.0</v>
      </c>
      <c r="I584" s="547" t="s">
        <v>178</v>
      </c>
      <c r="J584" s="547" t="s">
        <v>178</v>
      </c>
      <c r="K584" s="547" t="s">
        <v>178</v>
      </c>
      <c r="L584" s="310"/>
      <c r="M584" s="310"/>
      <c r="N584" s="547"/>
      <c r="O584" s="310"/>
      <c r="P584" s="590"/>
      <c r="Q584" s="310"/>
      <c r="R584" s="590"/>
      <c r="S584" s="547"/>
      <c r="T584" s="547"/>
      <c r="U584" s="547"/>
      <c r="V584" s="547"/>
      <c r="W584" s="547"/>
      <c r="X584" s="241"/>
      <c r="Y584" s="241"/>
      <c r="Z584" s="241"/>
      <c r="AA584" s="241"/>
      <c r="AB584" s="241"/>
      <c r="AC584" s="241"/>
      <c r="AD584" s="241"/>
      <c r="AE584" s="241"/>
      <c r="AF584" s="241"/>
      <c r="AG584" s="241"/>
      <c r="AH584" s="241"/>
      <c r="AI584" s="243"/>
      <c r="AJ584" s="243"/>
      <c r="AK584" s="241"/>
      <c r="AL584" s="241"/>
      <c r="AM584" s="241"/>
      <c r="AN584" s="241"/>
      <c r="AO584" s="241"/>
      <c r="AP584" s="241"/>
      <c r="AQ584" s="241"/>
      <c r="AR584" s="241"/>
    </row>
    <row r="585">
      <c r="A585" s="558">
        <v>17.0</v>
      </c>
      <c r="B585" s="310">
        <f t="shared" ref="B585:B587" si="32">B584</f>
        <v>6</v>
      </c>
      <c r="C585" s="310">
        <v>7.0</v>
      </c>
      <c r="D585" s="310">
        <v>6.0</v>
      </c>
      <c r="E585" s="310">
        <v>6.0</v>
      </c>
      <c r="F585" s="310">
        <v>6.0</v>
      </c>
      <c r="G585" s="310">
        <v>6.0</v>
      </c>
      <c r="H585" s="310">
        <v>4.0</v>
      </c>
      <c r="I585" s="547" t="s">
        <v>178</v>
      </c>
      <c r="J585" s="547" t="s">
        <v>178</v>
      </c>
      <c r="K585" s="547" t="s">
        <v>178</v>
      </c>
      <c r="L585" s="310"/>
      <c r="M585" s="310"/>
      <c r="N585" s="547"/>
      <c r="O585" s="310"/>
      <c r="P585" s="590"/>
      <c r="Q585" s="310"/>
      <c r="R585" s="590"/>
      <c r="S585" s="547"/>
      <c r="T585" s="547"/>
      <c r="U585" s="547"/>
      <c r="V585" s="547"/>
      <c r="W585" s="547"/>
      <c r="X585" s="241"/>
      <c r="Y585" s="241"/>
      <c r="Z585" s="241"/>
      <c r="AA585" s="241"/>
      <c r="AB585" s="241"/>
      <c r="AC585" s="241"/>
      <c r="AD585" s="241"/>
      <c r="AE585" s="241"/>
      <c r="AF585" s="241"/>
      <c r="AG585" s="241"/>
      <c r="AH585" s="241"/>
      <c r="AI585" s="243"/>
      <c r="AJ585" s="243"/>
      <c r="AK585" s="241"/>
      <c r="AL585" s="241"/>
      <c r="AM585" s="241"/>
      <c r="AN585" s="241"/>
      <c r="AO585" s="241"/>
      <c r="AP585" s="241"/>
      <c r="AQ585" s="241"/>
      <c r="AR585" s="241"/>
    </row>
    <row r="586">
      <c r="A586" s="558">
        <v>18.0</v>
      </c>
      <c r="B586" s="310">
        <f t="shared" si="32"/>
        <v>6</v>
      </c>
      <c r="C586" s="310">
        <v>7.0</v>
      </c>
      <c r="D586" s="310">
        <v>6.0</v>
      </c>
      <c r="E586" s="310">
        <v>6.0</v>
      </c>
      <c r="F586" s="310">
        <v>6.0</v>
      </c>
      <c r="G586" s="310">
        <v>6.0</v>
      </c>
      <c r="H586" s="310">
        <v>6.0</v>
      </c>
      <c r="I586" s="547" t="s">
        <v>178</v>
      </c>
      <c r="J586" s="547" t="s">
        <v>178</v>
      </c>
      <c r="K586" s="547" t="s">
        <v>178</v>
      </c>
      <c r="L586" s="310"/>
      <c r="M586" s="310"/>
      <c r="N586" s="547"/>
      <c r="O586" s="310"/>
      <c r="P586" s="590"/>
      <c r="Q586" s="310"/>
      <c r="R586" s="590"/>
      <c r="S586" s="547"/>
      <c r="T586" s="547"/>
      <c r="U586" s="547"/>
      <c r="V586" s="547"/>
      <c r="W586" s="547"/>
      <c r="X586" s="241"/>
      <c r="Y586" s="241"/>
      <c r="Z586" s="241"/>
      <c r="AA586" s="241"/>
      <c r="AB586" s="241"/>
      <c r="AC586" s="241"/>
      <c r="AD586" s="241"/>
      <c r="AE586" s="241"/>
      <c r="AF586" s="241"/>
      <c r="AG586" s="241"/>
      <c r="AH586" s="241"/>
      <c r="AI586" s="243"/>
      <c r="AJ586" s="243"/>
      <c r="AK586" s="241"/>
      <c r="AL586" s="241"/>
      <c r="AM586" s="241"/>
      <c r="AN586" s="241"/>
      <c r="AO586" s="241"/>
      <c r="AP586" s="241"/>
      <c r="AQ586" s="241"/>
      <c r="AR586" s="241"/>
    </row>
    <row r="587">
      <c r="A587" s="558">
        <v>19.0</v>
      </c>
      <c r="B587" s="310">
        <f t="shared" si="32"/>
        <v>6</v>
      </c>
      <c r="C587" s="310">
        <v>7.0</v>
      </c>
      <c r="D587" s="310">
        <v>6.0</v>
      </c>
      <c r="E587" s="310">
        <v>6.0</v>
      </c>
      <c r="F587" s="310">
        <v>6.0</v>
      </c>
      <c r="G587" s="310">
        <v>6.0</v>
      </c>
      <c r="H587" s="310">
        <v>8.0</v>
      </c>
      <c r="I587" s="547" t="s">
        <v>178</v>
      </c>
      <c r="J587" s="547" t="s">
        <v>178</v>
      </c>
      <c r="K587" s="547" t="s">
        <v>178</v>
      </c>
      <c r="L587" s="310"/>
      <c r="M587" s="310"/>
      <c r="N587" s="547"/>
      <c r="O587" s="310"/>
      <c r="P587" s="590"/>
      <c r="Q587" s="310"/>
      <c r="R587" s="590"/>
      <c r="S587" s="547"/>
      <c r="T587" s="547"/>
      <c r="U587" s="547"/>
      <c r="V587" s="547"/>
      <c r="W587" s="547"/>
      <c r="X587" s="241"/>
      <c r="Y587" s="241"/>
      <c r="Z587" s="241"/>
      <c r="AA587" s="241"/>
      <c r="AB587" s="241"/>
      <c r="AC587" s="241"/>
      <c r="AD587" s="241"/>
      <c r="AE587" s="241"/>
      <c r="AF587" s="241"/>
      <c r="AG587" s="241"/>
      <c r="AH587" s="241"/>
      <c r="AI587" s="243"/>
      <c r="AJ587" s="243"/>
      <c r="AK587" s="241"/>
      <c r="AL587" s="241"/>
      <c r="AM587" s="241"/>
      <c r="AN587" s="241"/>
      <c r="AO587" s="241"/>
      <c r="AP587" s="241"/>
      <c r="AQ587" s="241"/>
      <c r="AR587" s="241"/>
    </row>
    <row r="588">
      <c r="A588" s="558">
        <v>20.0</v>
      </c>
      <c r="B588" s="310">
        <f>B587+1</f>
        <v>7</v>
      </c>
      <c r="C588" s="310">
        <v>7.0</v>
      </c>
      <c r="D588" s="310">
        <v>6.0</v>
      </c>
      <c r="E588" s="310">
        <v>6.0</v>
      </c>
      <c r="F588" s="310">
        <v>6.0</v>
      </c>
      <c r="G588" s="310">
        <v>6.0</v>
      </c>
      <c r="H588" s="310">
        <v>10.0</v>
      </c>
      <c r="I588" s="547" t="s">
        <v>178</v>
      </c>
      <c r="J588" s="547" t="s">
        <v>178</v>
      </c>
      <c r="K588" s="547" t="s">
        <v>178</v>
      </c>
      <c r="L588" s="310"/>
      <c r="M588" s="310"/>
      <c r="N588" s="547"/>
      <c r="O588" s="310"/>
      <c r="P588" s="590"/>
      <c r="Q588" s="310"/>
      <c r="R588" s="590"/>
      <c r="S588" s="547"/>
      <c r="T588" s="547"/>
      <c r="U588" s="547"/>
      <c r="V588" s="547"/>
      <c r="W588" s="547"/>
      <c r="X588" s="241"/>
      <c r="Y588" s="241"/>
      <c r="Z588" s="241"/>
      <c r="AA588" s="241"/>
      <c r="AB588" s="241"/>
      <c r="AC588" s="241"/>
      <c r="AD588" s="241"/>
      <c r="AE588" s="241"/>
      <c r="AF588" s="241"/>
      <c r="AG588" s="241"/>
      <c r="AH588" s="241"/>
      <c r="AI588" s="243"/>
      <c r="AJ588" s="243"/>
      <c r="AK588" s="241"/>
      <c r="AL588" s="241"/>
      <c r="AM588" s="241"/>
      <c r="AN588" s="241"/>
      <c r="AO588" s="241"/>
      <c r="AP588" s="241"/>
      <c r="AQ588" s="241"/>
      <c r="AR588" s="241"/>
    </row>
    <row r="589">
      <c r="B589" s="547"/>
      <c r="C589" s="310"/>
      <c r="D589" s="310"/>
      <c r="E589" s="310"/>
      <c r="F589" s="310"/>
      <c r="G589" s="547"/>
      <c r="H589" s="547"/>
      <c r="I589" s="547"/>
      <c r="J589" s="547"/>
      <c r="K589" s="547"/>
      <c r="L589" s="310"/>
      <c r="M589" s="310"/>
      <c r="N589" s="547"/>
      <c r="O589" s="310"/>
      <c r="P589" s="590"/>
      <c r="Q589" s="590"/>
      <c r="R589" s="590"/>
      <c r="S589" s="547"/>
      <c r="T589" s="547"/>
      <c r="U589" s="547"/>
      <c r="V589" s="547"/>
      <c r="W589" s="547"/>
      <c r="X589" s="241"/>
      <c r="Y589" s="241"/>
      <c r="Z589" s="241"/>
      <c r="AA589" s="241"/>
      <c r="AB589" s="241"/>
      <c r="AC589" s="241"/>
      <c r="AD589" s="241"/>
      <c r="AE589" s="241"/>
      <c r="AF589" s="241"/>
      <c r="AG589" s="241"/>
      <c r="AH589" s="241"/>
      <c r="AI589" s="243"/>
      <c r="AJ589" s="243"/>
      <c r="AK589" s="241"/>
      <c r="AL589" s="241"/>
      <c r="AM589" s="241"/>
      <c r="AN589" s="241"/>
      <c r="AO589" s="241"/>
      <c r="AP589" s="241"/>
      <c r="AQ589" s="241"/>
      <c r="AR589" s="241"/>
    </row>
    <row r="590">
      <c r="A590" s="554" t="s">
        <v>660</v>
      </c>
      <c r="B590" s="555">
        <v>0.0</v>
      </c>
      <c r="C590" s="556">
        <v>1.0</v>
      </c>
      <c r="D590" s="310">
        <v>2.0</v>
      </c>
      <c r="E590" s="310">
        <v>3.0</v>
      </c>
      <c r="F590" s="310">
        <v>4.0</v>
      </c>
      <c r="G590" s="310">
        <v>5.0</v>
      </c>
      <c r="H590" s="310">
        <v>6.0</v>
      </c>
      <c r="I590" s="310">
        <v>7.0</v>
      </c>
      <c r="J590" s="310">
        <v>8.0</v>
      </c>
      <c r="K590" s="310">
        <v>9.0</v>
      </c>
      <c r="L590" s="310"/>
      <c r="M590" s="310"/>
      <c r="N590" s="547"/>
      <c r="O590" s="310"/>
      <c r="P590" s="590"/>
      <c r="Q590" s="590"/>
      <c r="R590" s="590"/>
      <c r="S590" s="547"/>
      <c r="T590" s="547"/>
      <c r="U590" s="547"/>
      <c r="V590" s="547"/>
      <c r="W590" s="547"/>
      <c r="X590" s="241"/>
      <c r="Y590" s="241"/>
      <c r="Z590" s="241"/>
      <c r="AA590" s="241"/>
      <c r="AB590" s="241"/>
      <c r="AC590" s="241"/>
      <c r="AD590" s="241"/>
      <c r="AE590" s="241"/>
      <c r="AF590" s="241"/>
      <c r="AG590" s="241"/>
      <c r="AH590" s="241"/>
      <c r="AI590" s="243"/>
      <c r="AJ590" s="243"/>
      <c r="AK590" s="241"/>
      <c r="AL590" s="241"/>
      <c r="AM590" s="241"/>
      <c r="AN590" s="241"/>
      <c r="AO590" s="241"/>
      <c r="AP590" s="241"/>
      <c r="AQ590" s="241"/>
      <c r="AR590" s="241"/>
    </row>
    <row r="591">
      <c r="A591" s="558">
        <v>1.0</v>
      </c>
      <c r="B591" s="547" t="s">
        <v>178</v>
      </c>
      <c r="C591" s="547" t="s">
        <v>178</v>
      </c>
      <c r="D591" s="547" t="s">
        <v>178</v>
      </c>
      <c r="E591" s="547" t="s">
        <v>178</v>
      </c>
      <c r="F591" s="547" t="s">
        <v>178</v>
      </c>
      <c r="G591" s="547" t="s">
        <v>178</v>
      </c>
      <c r="H591" s="547" t="s">
        <v>178</v>
      </c>
      <c r="I591" s="555" t="s">
        <v>178</v>
      </c>
      <c r="J591" s="555" t="s">
        <v>178</v>
      </c>
      <c r="K591" s="555" t="s">
        <v>178</v>
      </c>
      <c r="L591" s="310"/>
      <c r="M591" s="310"/>
      <c r="N591" s="547"/>
      <c r="O591" s="310"/>
      <c r="P591" s="590"/>
      <c r="Q591" s="599"/>
      <c r="R591" s="590"/>
      <c r="S591" s="547"/>
      <c r="T591" s="547"/>
      <c r="U591" s="547"/>
      <c r="V591" s="547"/>
      <c r="W591" s="547"/>
      <c r="X591" s="241"/>
      <c r="Y591" s="241"/>
      <c r="Z591" s="241"/>
      <c r="AA591" s="241"/>
      <c r="AB591" s="241"/>
      <c r="AC591" s="241"/>
      <c r="AD591" s="241"/>
      <c r="AE591" s="241"/>
      <c r="AF591" s="241"/>
      <c r="AG591" s="241"/>
      <c r="AH591" s="241"/>
      <c r="AI591" s="243"/>
      <c r="AJ591" s="243"/>
      <c r="AK591" s="241"/>
      <c r="AL591" s="241"/>
      <c r="AM591" s="241"/>
      <c r="AN591" s="241"/>
      <c r="AO591" s="241"/>
      <c r="AP591" s="241"/>
      <c r="AQ591" s="241"/>
      <c r="AR591" s="241"/>
    </row>
    <row r="592">
      <c r="A592" s="558">
        <v>2.0</v>
      </c>
      <c r="B592" s="547" t="s">
        <v>178</v>
      </c>
      <c r="C592" s="547" t="s">
        <v>178</v>
      </c>
      <c r="D592" s="547" t="s">
        <v>178</v>
      </c>
      <c r="E592" s="547" t="s">
        <v>178</v>
      </c>
      <c r="F592" s="547" t="s">
        <v>178</v>
      </c>
      <c r="G592" s="547" t="s">
        <v>178</v>
      </c>
      <c r="H592" s="547" t="s">
        <v>178</v>
      </c>
      <c r="I592" s="555" t="s">
        <v>178</v>
      </c>
      <c r="J592" s="555" t="s">
        <v>178</v>
      </c>
      <c r="K592" s="555" t="s">
        <v>178</v>
      </c>
      <c r="L592" s="310"/>
      <c r="M592" s="310"/>
      <c r="N592" s="547"/>
      <c r="O592" s="310"/>
      <c r="P592" s="590"/>
      <c r="Q592" s="599"/>
      <c r="R592" s="590"/>
      <c r="S592" s="547"/>
      <c r="T592" s="547"/>
      <c r="U592" s="547"/>
      <c r="V592" s="547"/>
      <c r="W592" s="547"/>
      <c r="X592" s="241"/>
      <c r="Y592" s="241"/>
      <c r="Z592" s="241"/>
      <c r="AA592" s="241"/>
      <c r="AB592" s="241"/>
      <c r="AC592" s="241"/>
      <c r="AD592" s="241"/>
      <c r="AE592" s="241"/>
      <c r="AF592" s="241"/>
      <c r="AG592" s="241"/>
      <c r="AH592" s="241"/>
      <c r="AI592" s="243"/>
      <c r="AJ592" s="243"/>
      <c r="AK592" s="241"/>
      <c r="AL592" s="241"/>
      <c r="AM592" s="241"/>
      <c r="AN592" s="241"/>
      <c r="AO592" s="241"/>
      <c r="AP592" s="241"/>
      <c r="AQ592" s="241"/>
      <c r="AR592" s="241"/>
    </row>
    <row r="593">
      <c r="A593" s="558">
        <v>3.0</v>
      </c>
      <c r="B593" s="547" t="s">
        <v>178</v>
      </c>
      <c r="C593" s="547" t="s">
        <v>178</v>
      </c>
      <c r="D593" s="547" t="s">
        <v>178</v>
      </c>
      <c r="E593" s="547" t="s">
        <v>178</v>
      </c>
      <c r="F593" s="547" t="s">
        <v>178</v>
      </c>
      <c r="G593" s="547" t="s">
        <v>178</v>
      </c>
      <c r="H593" s="547" t="s">
        <v>178</v>
      </c>
      <c r="I593" s="547" t="s">
        <v>178</v>
      </c>
      <c r="J593" s="547" t="s">
        <v>178</v>
      </c>
      <c r="K593" s="547" t="s">
        <v>178</v>
      </c>
      <c r="L593" s="310"/>
      <c r="M593" s="310"/>
      <c r="N593" s="547"/>
      <c r="O593" s="310"/>
      <c r="P593" s="590"/>
      <c r="Q593" s="599"/>
      <c r="R593" s="590"/>
      <c r="S593" s="547"/>
      <c r="T593" s="547"/>
      <c r="U593" s="547"/>
      <c r="V593" s="547"/>
      <c r="W593" s="547"/>
      <c r="X593" s="241"/>
      <c r="Y593" s="241"/>
      <c r="Z593" s="241"/>
      <c r="AA593" s="241"/>
      <c r="AB593" s="241"/>
      <c r="AC593" s="241"/>
      <c r="AD593" s="241"/>
      <c r="AE593" s="241"/>
      <c r="AF593" s="241"/>
      <c r="AG593" s="241"/>
      <c r="AH593" s="241"/>
      <c r="AI593" s="243"/>
      <c r="AJ593" s="243"/>
      <c r="AK593" s="241"/>
      <c r="AL593" s="241"/>
      <c r="AM593" s="241"/>
      <c r="AN593" s="241"/>
      <c r="AO593" s="241"/>
      <c r="AP593" s="241"/>
      <c r="AQ593" s="241"/>
      <c r="AR593" s="241"/>
    </row>
    <row r="594">
      <c r="A594" s="558">
        <v>4.0</v>
      </c>
      <c r="B594" s="547" t="s">
        <v>178</v>
      </c>
      <c r="C594" s="310">
        <v>1.0</v>
      </c>
      <c r="D594" s="547" t="s">
        <v>178</v>
      </c>
      <c r="E594" s="547" t="s">
        <v>178</v>
      </c>
      <c r="F594" s="547" t="s">
        <v>178</v>
      </c>
      <c r="G594" s="547" t="s">
        <v>178</v>
      </c>
      <c r="H594" s="547" t="s">
        <v>178</v>
      </c>
      <c r="I594" s="547" t="s">
        <v>178</v>
      </c>
      <c r="J594" s="547" t="s">
        <v>178</v>
      </c>
      <c r="K594" s="547" t="s">
        <v>178</v>
      </c>
      <c r="L594" s="310"/>
      <c r="M594" s="310"/>
      <c r="N594" s="547"/>
      <c r="O594" s="310"/>
      <c r="P594" s="590"/>
      <c r="Q594" s="580"/>
      <c r="R594" s="590"/>
      <c r="S594" s="547"/>
      <c r="T594" s="547"/>
      <c r="U594" s="547"/>
      <c r="V594" s="547"/>
      <c r="W594" s="547"/>
      <c r="X594" s="241"/>
      <c r="Y594" s="241"/>
      <c r="Z594" s="241"/>
      <c r="AA594" s="241"/>
      <c r="AB594" s="241"/>
      <c r="AC594" s="241"/>
      <c r="AD594" s="241"/>
      <c r="AE594" s="241"/>
      <c r="AF594" s="241"/>
      <c r="AG594" s="241"/>
      <c r="AH594" s="241"/>
      <c r="AI594" s="243"/>
      <c r="AJ594" s="243"/>
      <c r="AK594" s="241"/>
      <c r="AL594" s="241"/>
      <c r="AM594" s="241"/>
      <c r="AN594" s="241"/>
      <c r="AO594" s="241"/>
      <c r="AP594" s="241"/>
      <c r="AQ594" s="241"/>
      <c r="AR594" s="241"/>
    </row>
    <row r="595">
      <c r="A595" s="558">
        <v>5.0</v>
      </c>
      <c r="B595" s="547" t="s">
        <v>178</v>
      </c>
      <c r="C595" s="310">
        <v>2.0</v>
      </c>
      <c r="D595" s="547" t="s">
        <v>178</v>
      </c>
      <c r="E595" s="547" t="s">
        <v>178</v>
      </c>
      <c r="F595" s="547" t="s">
        <v>178</v>
      </c>
      <c r="G595" s="547" t="s">
        <v>178</v>
      </c>
      <c r="H595" s="547" t="s">
        <v>178</v>
      </c>
      <c r="I595" s="547" t="s">
        <v>178</v>
      </c>
      <c r="J595" s="547" t="s">
        <v>178</v>
      </c>
      <c r="K595" s="547" t="s">
        <v>178</v>
      </c>
      <c r="L595" s="310"/>
      <c r="M595" s="310"/>
      <c r="N595" s="547"/>
      <c r="O595" s="310"/>
      <c r="P595" s="590"/>
      <c r="Q595" s="580"/>
      <c r="R595" s="590"/>
      <c r="S595" s="547"/>
      <c r="T595" s="547"/>
      <c r="U595" s="547"/>
      <c r="V595" s="547"/>
      <c r="W595" s="547"/>
      <c r="X595" s="241"/>
      <c r="Y595" s="241"/>
      <c r="Z595" s="241"/>
      <c r="AA595" s="241"/>
      <c r="AB595" s="241"/>
      <c r="AC595" s="241"/>
      <c r="AD595" s="241"/>
      <c r="AE595" s="241"/>
      <c r="AF595" s="241"/>
      <c r="AG595" s="241"/>
      <c r="AH595" s="241"/>
      <c r="AI595" s="243"/>
      <c r="AJ595" s="243"/>
      <c r="AK595" s="241"/>
      <c r="AL595" s="241"/>
      <c r="AM595" s="241"/>
      <c r="AN595" s="241"/>
      <c r="AO595" s="241"/>
      <c r="AP595" s="241"/>
      <c r="AQ595" s="241"/>
      <c r="AR595" s="241"/>
    </row>
    <row r="596">
      <c r="A596" s="558">
        <v>6.0</v>
      </c>
      <c r="B596" s="547" t="s">
        <v>178</v>
      </c>
      <c r="C596" s="310">
        <v>3.0</v>
      </c>
      <c r="D596" s="547" t="s">
        <v>178</v>
      </c>
      <c r="E596" s="547" t="s">
        <v>178</v>
      </c>
      <c r="F596" s="547" t="s">
        <v>178</v>
      </c>
      <c r="G596" s="547" t="s">
        <v>178</v>
      </c>
      <c r="H596" s="547" t="s">
        <v>178</v>
      </c>
      <c r="I596" s="547" t="s">
        <v>178</v>
      </c>
      <c r="J596" s="547" t="s">
        <v>178</v>
      </c>
      <c r="K596" s="547" t="s">
        <v>178</v>
      </c>
      <c r="L596" s="310"/>
      <c r="M596" s="310"/>
      <c r="N596" s="547"/>
      <c r="O596" s="310"/>
      <c r="P596" s="590"/>
      <c r="Q596" s="580"/>
      <c r="R596" s="590"/>
      <c r="S596" s="547"/>
      <c r="T596" s="547"/>
      <c r="U596" s="547"/>
      <c r="V596" s="547"/>
      <c r="W596" s="547"/>
      <c r="X596" s="241"/>
      <c r="Y596" s="241"/>
      <c r="Z596" s="241"/>
      <c r="AA596" s="241"/>
      <c r="AB596" s="241"/>
      <c r="AC596" s="241"/>
      <c r="AD596" s="241"/>
      <c r="AE596" s="241"/>
      <c r="AF596" s="241"/>
      <c r="AG596" s="241"/>
      <c r="AH596" s="241"/>
      <c r="AI596" s="243"/>
      <c r="AJ596" s="243"/>
      <c r="AK596" s="241"/>
      <c r="AL596" s="241"/>
      <c r="AM596" s="241"/>
      <c r="AN596" s="241"/>
      <c r="AO596" s="241"/>
      <c r="AP596" s="241"/>
      <c r="AQ596" s="241"/>
      <c r="AR596" s="241"/>
    </row>
    <row r="597">
      <c r="A597" s="558">
        <v>7.0</v>
      </c>
      <c r="B597" s="547" t="s">
        <v>178</v>
      </c>
      <c r="C597" s="310">
        <v>3.0</v>
      </c>
      <c r="D597" s="310">
        <v>1.0</v>
      </c>
      <c r="E597" s="547" t="s">
        <v>178</v>
      </c>
      <c r="F597" s="547" t="s">
        <v>178</v>
      </c>
      <c r="G597" s="547" t="s">
        <v>178</v>
      </c>
      <c r="H597" s="547" t="s">
        <v>178</v>
      </c>
      <c r="I597" s="547" t="s">
        <v>178</v>
      </c>
      <c r="J597" s="547" t="s">
        <v>178</v>
      </c>
      <c r="K597" s="547" t="s">
        <v>178</v>
      </c>
      <c r="L597" s="310"/>
      <c r="M597" s="310"/>
      <c r="N597" s="547"/>
      <c r="O597" s="310"/>
      <c r="P597" s="590"/>
      <c r="Q597" s="580"/>
      <c r="R597" s="590"/>
      <c r="S597" s="547"/>
      <c r="T597" s="547"/>
      <c r="U597" s="547"/>
      <c r="V597" s="547"/>
      <c r="W597" s="547"/>
      <c r="X597" s="241"/>
      <c r="Y597" s="241"/>
      <c r="Z597" s="241"/>
      <c r="AA597" s="241"/>
      <c r="AB597" s="241"/>
      <c r="AC597" s="241"/>
      <c r="AD597" s="241"/>
      <c r="AE597" s="241"/>
      <c r="AF597" s="241"/>
      <c r="AG597" s="241"/>
      <c r="AH597" s="241"/>
      <c r="AI597" s="243"/>
      <c r="AJ597" s="243"/>
      <c r="AK597" s="241"/>
      <c r="AL597" s="241"/>
      <c r="AM597" s="241"/>
      <c r="AN597" s="241"/>
      <c r="AO597" s="241"/>
      <c r="AP597" s="241"/>
      <c r="AQ597" s="241"/>
      <c r="AR597" s="241"/>
    </row>
    <row r="598">
      <c r="A598" s="558">
        <v>8.0</v>
      </c>
      <c r="B598" s="547" t="s">
        <v>178</v>
      </c>
      <c r="C598" s="310">
        <v>3.0</v>
      </c>
      <c r="D598" s="310">
        <v>2.0</v>
      </c>
      <c r="E598" s="547" t="s">
        <v>178</v>
      </c>
      <c r="F598" s="547" t="s">
        <v>178</v>
      </c>
      <c r="G598" s="547" t="s">
        <v>178</v>
      </c>
      <c r="H598" s="547" t="s">
        <v>178</v>
      </c>
      <c r="I598" s="547" t="s">
        <v>178</v>
      </c>
      <c r="J598" s="547" t="s">
        <v>178</v>
      </c>
      <c r="K598" s="547" t="s">
        <v>178</v>
      </c>
      <c r="L598" s="310"/>
      <c r="M598" s="310"/>
      <c r="N598" s="547"/>
      <c r="O598" s="310"/>
      <c r="P598" s="590"/>
      <c r="Q598" s="580"/>
      <c r="R598" s="590"/>
      <c r="S598" s="547"/>
      <c r="T598" s="547"/>
      <c r="U598" s="547"/>
      <c r="V598" s="547"/>
      <c r="W598" s="547"/>
      <c r="X598" s="241"/>
      <c r="Y598" s="241"/>
      <c r="Z598" s="241"/>
      <c r="AA598" s="241"/>
      <c r="AB598" s="241"/>
      <c r="AC598" s="241"/>
      <c r="AD598" s="241"/>
      <c r="AE598" s="241"/>
      <c r="AF598" s="241"/>
      <c r="AG598" s="241"/>
      <c r="AH598" s="241"/>
      <c r="AI598" s="243"/>
      <c r="AJ598" s="243"/>
      <c r="AK598" s="241"/>
      <c r="AL598" s="241"/>
      <c r="AM598" s="241"/>
      <c r="AN598" s="241"/>
      <c r="AO598" s="241"/>
      <c r="AP598" s="241"/>
      <c r="AQ598" s="241"/>
      <c r="AR598" s="241"/>
    </row>
    <row r="599">
      <c r="A599" s="558">
        <v>9.0</v>
      </c>
      <c r="B599" s="547" t="s">
        <v>178</v>
      </c>
      <c r="C599" s="310">
        <v>3.0</v>
      </c>
      <c r="D599" s="310">
        <v>3.0</v>
      </c>
      <c r="E599" s="547" t="s">
        <v>178</v>
      </c>
      <c r="F599" s="547" t="s">
        <v>178</v>
      </c>
      <c r="G599" s="547" t="s">
        <v>178</v>
      </c>
      <c r="H599" s="547" t="s">
        <v>178</v>
      </c>
      <c r="I599" s="547" t="s">
        <v>178</v>
      </c>
      <c r="J599" s="547" t="s">
        <v>178</v>
      </c>
      <c r="K599" s="547" t="s">
        <v>178</v>
      </c>
      <c r="L599" s="310"/>
      <c r="M599" s="310"/>
      <c r="N599" s="547"/>
      <c r="O599" s="310"/>
      <c r="P599" s="590"/>
      <c r="Q599" s="580"/>
      <c r="R599" s="590"/>
      <c r="S599" s="547"/>
      <c r="T599" s="547"/>
      <c r="U599" s="547"/>
      <c r="V599" s="547"/>
      <c r="W599" s="547"/>
      <c r="X599" s="241"/>
      <c r="Y599" s="241"/>
      <c r="Z599" s="241"/>
      <c r="AA599" s="241"/>
      <c r="AB599" s="241"/>
      <c r="AC599" s="241"/>
      <c r="AD599" s="241"/>
      <c r="AE599" s="241"/>
      <c r="AF599" s="241"/>
      <c r="AG599" s="241"/>
      <c r="AH599" s="241"/>
      <c r="AI599" s="243"/>
      <c r="AJ599" s="243"/>
      <c r="AK599" s="241"/>
      <c r="AL599" s="241"/>
      <c r="AM599" s="241"/>
      <c r="AN599" s="241"/>
      <c r="AO599" s="241"/>
      <c r="AP599" s="241"/>
      <c r="AQ599" s="241"/>
      <c r="AR599" s="241"/>
    </row>
    <row r="600">
      <c r="A600" s="558">
        <v>10.0</v>
      </c>
      <c r="B600" s="547" t="s">
        <v>178</v>
      </c>
      <c r="C600" s="310">
        <v>3.0</v>
      </c>
      <c r="D600" s="310">
        <v>3.0</v>
      </c>
      <c r="E600" s="310">
        <v>1.0</v>
      </c>
      <c r="F600" s="547" t="s">
        <v>178</v>
      </c>
      <c r="G600" s="547" t="s">
        <v>178</v>
      </c>
      <c r="H600" s="547" t="s">
        <v>178</v>
      </c>
      <c r="I600" s="547" t="s">
        <v>178</v>
      </c>
      <c r="J600" s="547" t="s">
        <v>178</v>
      </c>
      <c r="K600" s="547" t="s">
        <v>178</v>
      </c>
      <c r="L600" s="310"/>
      <c r="M600" s="310"/>
      <c r="N600" s="547"/>
      <c r="O600" s="310"/>
      <c r="P600" s="590"/>
      <c r="Q600" s="580"/>
      <c r="R600" s="590"/>
      <c r="S600" s="547"/>
      <c r="T600" s="547"/>
      <c r="U600" s="547"/>
      <c r="V600" s="547"/>
      <c r="W600" s="547"/>
      <c r="X600" s="241"/>
      <c r="Y600" s="241"/>
      <c r="Z600" s="241"/>
      <c r="AA600" s="241"/>
      <c r="AB600" s="241"/>
      <c r="AC600" s="241"/>
      <c r="AD600" s="241"/>
      <c r="AE600" s="241"/>
      <c r="AF600" s="241"/>
      <c r="AG600" s="241"/>
      <c r="AH600" s="241"/>
      <c r="AI600" s="243"/>
      <c r="AJ600" s="243"/>
      <c r="AK600" s="241"/>
      <c r="AL600" s="241"/>
      <c r="AM600" s="241"/>
      <c r="AN600" s="241"/>
      <c r="AO600" s="241"/>
      <c r="AP600" s="241"/>
      <c r="AQ600" s="241"/>
      <c r="AR600" s="241"/>
    </row>
    <row r="601">
      <c r="A601" s="558">
        <v>11.0</v>
      </c>
      <c r="B601" s="547" t="s">
        <v>178</v>
      </c>
      <c r="C601" s="310">
        <v>3.0</v>
      </c>
      <c r="D601" s="310">
        <v>3.0</v>
      </c>
      <c r="E601" s="310">
        <v>2.0</v>
      </c>
      <c r="F601" s="547" t="s">
        <v>178</v>
      </c>
      <c r="G601" s="547" t="s">
        <v>178</v>
      </c>
      <c r="H601" s="547" t="s">
        <v>178</v>
      </c>
      <c r="I601" s="547" t="s">
        <v>178</v>
      </c>
      <c r="J601" s="547" t="s">
        <v>178</v>
      </c>
      <c r="K601" s="547" t="s">
        <v>178</v>
      </c>
      <c r="L601" s="310"/>
      <c r="M601" s="310"/>
      <c r="N601" s="547"/>
      <c r="O601" s="310"/>
      <c r="P601" s="590"/>
      <c r="Q601" s="580"/>
      <c r="R601" s="590"/>
      <c r="S601" s="547"/>
      <c r="T601" s="547"/>
      <c r="U601" s="547"/>
      <c r="V601" s="547"/>
      <c r="W601" s="547"/>
      <c r="X601" s="241"/>
      <c r="Y601" s="241"/>
      <c r="Z601" s="241"/>
      <c r="AA601" s="241"/>
      <c r="AB601" s="241"/>
      <c r="AC601" s="241"/>
      <c r="AD601" s="241"/>
      <c r="AE601" s="241"/>
      <c r="AF601" s="241"/>
      <c r="AG601" s="241"/>
      <c r="AH601" s="241"/>
      <c r="AI601" s="243"/>
      <c r="AJ601" s="243"/>
      <c r="AK601" s="241"/>
      <c r="AL601" s="241"/>
      <c r="AM601" s="241"/>
      <c r="AN601" s="241"/>
      <c r="AO601" s="241"/>
      <c r="AP601" s="241"/>
      <c r="AQ601" s="241"/>
      <c r="AR601" s="241"/>
    </row>
    <row r="602">
      <c r="A602" s="558">
        <v>12.0</v>
      </c>
      <c r="B602" s="547" t="s">
        <v>178</v>
      </c>
      <c r="C602" s="310">
        <v>3.0</v>
      </c>
      <c r="D602" s="310">
        <v>3.0</v>
      </c>
      <c r="E602" s="310">
        <v>3.0</v>
      </c>
      <c r="F602" s="547" t="s">
        <v>178</v>
      </c>
      <c r="G602" s="547" t="s">
        <v>178</v>
      </c>
      <c r="H602" s="547" t="s">
        <v>178</v>
      </c>
      <c r="I602" s="547" t="s">
        <v>178</v>
      </c>
      <c r="J602" s="547" t="s">
        <v>178</v>
      </c>
      <c r="K602" s="547" t="s">
        <v>178</v>
      </c>
      <c r="L602" s="310"/>
      <c r="M602" s="310"/>
      <c r="N602" s="547"/>
      <c r="O602" s="310"/>
      <c r="P602" s="590"/>
      <c r="Q602" s="580"/>
      <c r="R602" s="590"/>
      <c r="S602" s="547"/>
      <c r="T602" s="547"/>
      <c r="U602" s="547"/>
      <c r="V602" s="547"/>
      <c r="W602" s="547"/>
      <c r="X602" s="241"/>
      <c r="Y602" s="241"/>
      <c r="Z602" s="241"/>
      <c r="AA602" s="241"/>
      <c r="AB602" s="241"/>
      <c r="AC602" s="241"/>
      <c r="AD602" s="241"/>
      <c r="AE602" s="241"/>
      <c r="AF602" s="241"/>
      <c r="AG602" s="241"/>
      <c r="AH602" s="241"/>
      <c r="AI602" s="243"/>
      <c r="AJ602" s="243"/>
      <c r="AK602" s="241"/>
      <c r="AL602" s="241"/>
      <c r="AM602" s="241"/>
      <c r="AN602" s="241"/>
      <c r="AO602" s="241"/>
      <c r="AP602" s="241"/>
      <c r="AQ602" s="241"/>
      <c r="AR602" s="241"/>
    </row>
    <row r="603">
      <c r="A603" s="558">
        <v>13.0</v>
      </c>
      <c r="B603" s="547" t="s">
        <v>178</v>
      </c>
      <c r="C603" s="310">
        <v>3.0</v>
      </c>
      <c r="D603" s="310">
        <v>3.0</v>
      </c>
      <c r="E603" s="310">
        <v>3.0</v>
      </c>
      <c r="F603" s="310">
        <v>1.0</v>
      </c>
      <c r="G603" s="547" t="s">
        <v>178</v>
      </c>
      <c r="H603" s="547" t="s">
        <v>178</v>
      </c>
      <c r="I603" s="547" t="s">
        <v>178</v>
      </c>
      <c r="J603" s="547" t="s">
        <v>178</v>
      </c>
      <c r="K603" s="547" t="s">
        <v>178</v>
      </c>
      <c r="L603" s="310"/>
      <c r="M603" s="310"/>
      <c r="N603" s="547"/>
      <c r="O603" s="310"/>
      <c r="P603" s="590"/>
      <c r="Q603" s="580"/>
      <c r="R603" s="590"/>
      <c r="S603" s="547"/>
      <c r="T603" s="547"/>
      <c r="U603" s="547"/>
      <c r="V603" s="547"/>
      <c r="W603" s="547"/>
      <c r="X603" s="241"/>
      <c r="Y603" s="241"/>
      <c r="Z603" s="241"/>
      <c r="AA603" s="241"/>
      <c r="AB603" s="241"/>
      <c r="AC603" s="241"/>
      <c r="AD603" s="241"/>
      <c r="AE603" s="241"/>
      <c r="AF603" s="241"/>
      <c r="AG603" s="241"/>
      <c r="AH603" s="241"/>
      <c r="AI603" s="243"/>
      <c r="AJ603" s="243"/>
      <c r="AK603" s="241"/>
      <c r="AL603" s="241"/>
      <c r="AM603" s="241"/>
      <c r="AN603" s="241"/>
      <c r="AO603" s="241"/>
      <c r="AP603" s="241"/>
      <c r="AQ603" s="241"/>
      <c r="AR603" s="241"/>
    </row>
    <row r="604">
      <c r="A604" s="558">
        <v>14.0</v>
      </c>
      <c r="B604" s="547" t="s">
        <v>178</v>
      </c>
      <c r="C604" s="310">
        <v>3.0</v>
      </c>
      <c r="D604" s="310">
        <v>3.0</v>
      </c>
      <c r="E604" s="310">
        <v>3.0</v>
      </c>
      <c r="F604" s="310">
        <v>2.0</v>
      </c>
      <c r="G604" s="547" t="s">
        <v>178</v>
      </c>
      <c r="H604" s="547" t="s">
        <v>178</v>
      </c>
      <c r="I604" s="547" t="s">
        <v>178</v>
      </c>
      <c r="J604" s="547" t="s">
        <v>178</v>
      </c>
      <c r="K604" s="547" t="s">
        <v>178</v>
      </c>
      <c r="L604" s="310"/>
      <c r="M604" s="310"/>
      <c r="N604" s="547"/>
      <c r="O604" s="310"/>
      <c r="P604" s="590"/>
      <c r="Q604" s="580"/>
      <c r="R604" s="590"/>
      <c r="S604" s="547"/>
      <c r="T604" s="547"/>
      <c r="U604" s="547"/>
      <c r="V604" s="547"/>
      <c r="W604" s="547"/>
      <c r="X604" s="241"/>
      <c r="Y604" s="241"/>
      <c r="Z604" s="241"/>
      <c r="AA604" s="241"/>
      <c r="AB604" s="241"/>
      <c r="AC604" s="241"/>
      <c r="AD604" s="241"/>
      <c r="AE604" s="241"/>
      <c r="AF604" s="241"/>
      <c r="AG604" s="241"/>
      <c r="AH604" s="241"/>
      <c r="AI604" s="243"/>
      <c r="AJ604" s="243"/>
      <c r="AK604" s="241"/>
      <c r="AL604" s="241"/>
      <c r="AM604" s="241"/>
      <c r="AN604" s="241"/>
      <c r="AO604" s="241"/>
      <c r="AP604" s="241"/>
      <c r="AQ604" s="241"/>
      <c r="AR604" s="241"/>
    </row>
    <row r="605">
      <c r="A605" s="558">
        <v>15.0</v>
      </c>
      <c r="B605" s="547" t="s">
        <v>178</v>
      </c>
      <c r="C605" s="310">
        <v>3.0</v>
      </c>
      <c r="D605" s="310">
        <v>3.0</v>
      </c>
      <c r="E605" s="310">
        <v>3.0</v>
      </c>
      <c r="F605" s="310">
        <v>3.0</v>
      </c>
      <c r="G605" s="547" t="s">
        <v>178</v>
      </c>
      <c r="H605" s="547" t="s">
        <v>178</v>
      </c>
      <c r="I605" s="547" t="s">
        <v>178</v>
      </c>
      <c r="J605" s="547" t="s">
        <v>178</v>
      </c>
      <c r="K605" s="547" t="s">
        <v>178</v>
      </c>
      <c r="L605" s="310"/>
      <c r="M605" s="310"/>
      <c r="N605" s="547"/>
      <c r="O605" s="310"/>
      <c r="P605" s="590"/>
      <c r="Q605" s="580"/>
      <c r="R605" s="590"/>
      <c r="S605" s="547"/>
      <c r="T605" s="547"/>
      <c r="U605" s="547"/>
      <c r="V605" s="547"/>
      <c r="W605" s="547"/>
      <c r="X605" s="241"/>
      <c r="Y605" s="241"/>
      <c r="Z605" s="241"/>
      <c r="AA605" s="241"/>
      <c r="AB605" s="241"/>
      <c r="AC605" s="241"/>
      <c r="AD605" s="241"/>
      <c r="AE605" s="241"/>
      <c r="AF605" s="241"/>
      <c r="AG605" s="241"/>
      <c r="AH605" s="241"/>
      <c r="AI605" s="243"/>
      <c r="AJ605" s="243"/>
      <c r="AK605" s="241"/>
      <c r="AL605" s="241"/>
      <c r="AM605" s="241"/>
      <c r="AN605" s="241"/>
      <c r="AO605" s="241"/>
      <c r="AP605" s="241"/>
      <c r="AQ605" s="241"/>
      <c r="AR605" s="241"/>
    </row>
    <row r="606">
      <c r="A606" s="558">
        <v>16.0</v>
      </c>
      <c r="B606" s="547" t="s">
        <v>178</v>
      </c>
      <c r="C606" s="310">
        <v>3.0</v>
      </c>
      <c r="D606" s="310">
        <v>3.0</v>
      </c>
      <c r="E606" s="310">
        <v>3.0</v>
      </c>
      <c r="F606" s="547">
        <v>4.0</v>
      </c>
      <c r="G606" s="547" t="s">
        <v>178</v>
      </c>
      <c r="H606" s="547" t="s">
        <v>178</v>
      </c>
      <c r="I606" s="547" t="s">
        <v>178</v>
      </c>
      <c r="J606" s="547" t="s">
        <v>178</v>
      </c>
      <c r="K606" s="547" t="s">
        <v>178</v>
      </c>
      <c r="L606" s="310"/>
      <c r="M606" s="310"/>
      <c r="N606" s="547"/>
      <c r="O606" s="310"/>
      <c r="P606" s="590"/>
      <c r="Q606" s="580"/>
      <c r="R606" s="590"/>
      <c r="S606" s="547"/>
      <c r="T606" s="547"/>
      <c r="U606" s="547"/>
      <c r="V606" s="547"/>
      <c r="W606" s="547"/>
      <c r="X606" s="241"/>
      <c r="Y606" s="241"/>
      <c r="Z606" s="241"/>
      <c r="AA606" s="241"/>
      <c r="AB606" s="241"/>
      <c r="AC606" s="241"/>
      <c r="AD606" s="241"/>
      <c r="AE606" s="241"/>
      <c r="AF606" s="241"/>
      <c r="AG606" s="241"/>
      <c r="AH606" s="241"/>
      <c r="AI606" s="243"/>
      <c r="AJ606" s="243"/>
      <c r="AK606" s="241"/>
      <c r="AL606" s="241"/>
      <c r="AM606" s="241"/>
      <c r="AN606" s="241"/>
      <c r="AO606" s="241"/>
      <c r="AP606" s="241"/>
      <c r="AQ606" s="241"/>
      <c r="AR606" s="241"/>
    </row>
    <row r="607">
      <c r="A607" s="558">
        <v>17.0</v>
      </c>
      <c r="B607" s="547" t="s">
        <v>178</v>
      </c>
      <c r="C607" s="310">
        <v>3.0</v>
      </c>
      <c r="D607" s="310">
        <v>3.0</v>
      </c>
      <c r="E607" s="310">
        <v>3.0</v>
      </c>
      <c r="F607" s="310">
        <v>5.0</v>
      </c>
      <c r="G607" s="547" t="s">
        <v>178</v>
      </c>
      <c r="H607" s="547" t="s">
        <v>178</v>
      </c>
      <c r="I607" s="547" t="s">
        <v>178</v>
      </c>
      <c r="J607" s="547" t="s">
        <v>178</v>
      </c>
      <c r="K607" s="547" t="s">
        <v>178</v>
      </c>
      <c r="L607" s="310"/>
      <c r="M607" s="310"/>
      <c r="N607" s="547"/>
      <c r="O607" s="310"/>
      <c r="P607" s="590"/>
      <c r="Q607" s="580"/>
      <c r="R607" s="590"/>
      <c r="S607" s="547"/>
      <c r="T607" s="547"/>
      <c r="U607" s="547"/>
      <c r="V607" s="547"/>
      <c r="W607" s="547"/>
      <c r="X607" s="241"/>
      <c r="Y607" s="241"/>
      <c r="Z607" s="241"/>
      <c r="AA607" s="241"/>
      <c r="AB607" s="241"/>
      <c r="AC607" s="241"/>
      <c r="AD607" s="241"/>
      <c r="AE607" s="241"/>
      <c r="AF607" s="241"/>
      <c r="AG607" s="241"/>
      <c r="AH607" s="241"/>
      <c r="AI607" s="243"/>
      <c r="AJ607" s="243"/>
      <c r="AK607" s="241"/>
      <c r="AL607" s="241"/>
      <c r="AM607" s="241"/>
      <c r="AN607" s="241"/>
      <c r="AO607" s="241"/>
      <c r="AP607" s="241"/>
      <c r="AQ607" s="241"/>
      <c r="AR607" s="241"/>
    </row>
    <row r="608">
      <c r="A608" s="558">
        <v>18.0</v>
      </c>
      <c r="B608" s="547" t="s">
        <v>178</v>
      </c>
      <c r="C608" s="310">
        <v>3.0</v>
      </c>
      <c r="D608" s="310">
        <v>3.0</v>
      </c>
      <c r="E608" s="310">
        <v>3.0</v>
      </c>
      <c r="F608" s="310">
        <v>6.0</v>
      </c>
      <c r="G608" s="547" t="s">
        <v>178</v>
      </c>
      <c r="H608" s="547" t="s">
        <v>178</v>
      </c>
      <c r="I608" s="547" t="s">
        <v>178</v>
      </c>
      <c r="J608" s="547" t="s">
        <v>178</v>
      </c>
      <c r="K608" s="547" t="s">
        <v>178</v>
      </c>
      <c r="L608" s="310"/>
      <c r="M608" s="310"/>
      <c r="N608" s="547"/>
      <c r="O608" s="310"/>
      <c r="P608" s="590"/>
      <c r="Q608" s="580"/>
      <c r="R608" s="590"/>
      <c r="S608" s="547"/>
      <c r="T608" s="547"/>
      <c r="U608" s="547"/>
      <c r="V608" s="547"/>
      <c r="W608" s="547"/>
      <c r="X608" s="241"/>
      <c r="Y608" s="241"/>
      <c r="Z608" s="241"/>
      <c r="AA608" s="241"/>
      <c r="AB608" s="241"/>
      <c r="AC608" s="241"/>
      <c r="AD608" s="241"/>
      <c r="AE608" s="241"/>
      <c r="AF608" s="241"/>
      <c r="AG608" s="241"/>
      <c r="AH608" s="241"/>
      <c r="AI608" s="243"/>
      <c r="AJ608" s="243"/>
      <c r="AK608" s="241"/>
      <c r="AL608" s="241"/>
      <c r="AM608" s="241"/>
      <c r="AN608" s="241"/>
      <c r="AO608" s="241"/>
      <c r="AP608" s="241"/>
      <c r="AQ608" s="241"/>
      <c r="AR608" s="241"/>
    </row>
    <row r="609">
      <c r="A609" s="558">
        <v>19.0</v>
      </c>
      <c r="B609" s="547" t="s">
        <v>178</v>
      </c>
      <c r="C609" s="310">
        <v>3.0</v>
      </c>
      <c r="D609" s="310">
        <v>3.0</v>
      </c>
      <c r="E609" s="310">
        <v>3.0</v>
      </c>
      <c r="F609" s="310">
        <v>7.0</v>
      </c>
      <c r="G609" s="547" t="s">
        <v>178</v>
      </c>
      <c r="H609" s="547" t="s">
        <v>178</v>
      </c>
      <c r="I609" s="547" t="s">
        <v>178</v>
      </c>
      <c r="J609" s="547" t="s">
        <v>178</v>
      </c>
      <c r="K609" s="547" t="s">
        <v>178</v>
      </c>
      <c r="L609" s="310"/>
      <c r="M609" s="310"/>
      <c r="N609" s="547"/>
      <c r="O609" s="310"/>
      <c r="P609" s="590"/>
      <c r="Q609" s="580"/>
      <c r="R609" s="590"/>
      <c r="S609" s="547"/>
      <c r="T609" s="547"/>
      <c r="U609" s="547"/>
      <c r="V609" s="547"/>
      <c r="W609" s="547"/>
      <c r="X609" s="241"/>
      <c r="Y609" s="241"/>
      <c r="Z609" s="241"/>
      <c r="AA609" s="241"/>
      <c r="AB609" s="241"/>
      <c r="AC609" s="241"/>
      <c r="AD609" s="241"/>
      <c r="AE609" s="241"/>
      <c r="AF609" s="241"/>
      <c r="AG609" s="241"/>
      <c r="AH609" s="241"/>
      <c r="AI609" s="243"/>
      <c r="AJ609" s="243"/>
      <c r="AK609" s="241"/>
      <c r="AL609" s="241"/>
      <c r="AM609" s="241"/>
      <c r="AN609" s="241"/>
      <c r="AO609" s="241"/>
      <c r="AP609" s="241"/>
      <c r="AQ609" s="241"/>
      <c r="AR609" s="241"/>
    </row>
    <row r="610">
      <c r="A610" s="558">
        <v>20.0</v>
      </c>
      <c r="B610" s="547" t="s">
        <v>178</v>
      </c>
      <c r="C610" s="310">
        <v>3.0</v>
      </c>
      <c r="D610" s="310">
        <v>3.0</v>
      </c>
      <c r="E610" s="310">
        <v>3.0</v>
      </c>
      <c r="F610" s="310">
        <v>8.0</v>
      </c>
      <c r="G610" s="547" t="s">
        <v>178</v>
      </c>
      <c r="H610" s="547" t="s">
        <v>178</v>
      </c>
      <c r="I610" s="547" t="s">
        <v>178</v>
      </c>
      <c r="J610" s="547" t="s">
        <v>178</v>
      </c>
      <c r="K610" s="547" t="s">
        <v>178</v>
      </c>
      <c r="L610" s="310"/>
      <c r="M610" s="310"/>
      <c r="N610" s="547"/>
      <c r="O610" s="310"/>
      <c r="P610" s="590"/>
      <c r="Q610" s="580"/>
      <c r="R610" s="590"/>
      <c r="S610" s="547"/>
      <c r="T610" s="547"/>
      <c r="U610" s="547"/>
      <c r="V610" s="547"/>
      <c r="W610" s="547"/>
      <c r="X610" s="241"/>
      <c r="Y610" s="241"/>
      <c r="Z610" s="241"/>
      <c r="AA610" s="241"/>
      <c r="AB610" s="241"/>
      <c r="AC610" s="241"/>
      <c r="AD610" s="241"/>
      <c r="AE610" s="241"/>
      <c r="AF610" s="241"/>
      <c r="AG610" s="241"/>
      <c r="AH610" s="241"/>
      <c r="AI610" s="243"/>
      <c r="AJ610" s="243"/>
      <c r="AK610" s="241"/>
      <c r="AL610" s="241"/>
      <c r="AM610" s="241"/>
      <c r="AN610" s="241"/>
      <c r="AO610" s="241"/>
      <c r="AP610" s="241"/>
      <c r="AQ610" s="241"/>
      <c r="AR610" s="241"/>
    </row>
    <row r="611">
      <c r="B611" s="547"/>
      <c r="C611" s="310"/>
      <c r="D611" s="310"/>
      <c r="E611" s="310"/>
      <c r="F611" s="310"/>
      <c r="G611" s="547"/>
      <c r="H611" s="547"/>
      <c r="I611" s="547"/>
      <c r="J611" s="547"/>
      <c r="K611" s="547"/>
      <c r="L611" s="310"/>
      <c r="M611" s="310"/>
      <c r="N611" s="547"/>
      <c r="O611" s="310"/>
      <c r="P611" s="590"/>
      <c r="Q611" s="590"/>
      <c r="R611" s="590"/>
      <c r="S611" s="547"/>
      <c r="T611" s="547"/>
      <c r="U611" s="547"/>
      <c r="V611" s="547"/>
      <c r="W611" s="547"/>
      <c r="X611" s="241"/>
      <c r="Y611" s="241"/>
      <c r="Z611" s="241"/>
      <c r="AA611" s="241"/>
      <c r="AB611" s="241"/>
      <c r="AC611" s="241"/>
      <c r="AD611" s="241"/>
      <c r="AE611" s="241"/>
      <c r="AF611" s="241"/>
      <c r="AG611" s="241"/>
      <c r="AH611" s="241"/>
      <c r="AI611" s="243"/>
      <c r="AJ611" s="243"/>
      <c r="AK611" s="241"/>
      <c r="AL611" s="241"/>
      <c r="AM611" s="241"/>
      <c r="AN611" s="241"/>
      <c r="AO611" s="241"/>
      <c r="AP611" s="241"/>
      <c r="AQ611" s="241"/>
      <c r="AR611" s="241"/>
    </row>
    <row r="612">
      <c r="A612" s="554" t="s">
        <v>660</v>
      </c>
      <c r="B612" s="555">
        <v>0.0</v>
      </c>
      <c r="C612" s="556">
        <v>1.0</v>
      </c>
      <c r="D612" s="310">
        <v>2.0</v>
      </c>
      <c r="E612" s="310">
        <v>3.0</v>
      </c>
      <c r="F612" s="310">
        <v>4.0</v>
      </c>
      <c r="G612" s="310">
        <v>5.0</v>
      </c>
      <c r="H612" s="310">
        <v>6.0</v>
      </c>
      <c r="I612" s="310">
        <v>7.0</v>
      </c>
      <c r="J612" s="310">
        <v>8.0</v>
      </c>
      <c r="K612" s="310">
        <v>9.0</v>
      </c>
      <c r="L612" s="310"/>
      <c r="M612" s="310"/>
      <c r="N612" s="547"/>
      <c r="O612" s="310"/>
      <c r="P612" s="590"/>
      <c r="Q612" s="590"/>
      <c r="R612" s="590"/>
      <c r="S612" s="547"/>
      <c r="T612" s="547"/>
      <c r="U612" s="547"/>
      <c r="V612" s="547"/>
      <c r="W612" s="547"/>
      <c r="X612" s="241"/>
      <c r="Y612" s="241"/>
      <c r="Z612" s="241"/>
      <c r="AA612" s="241"/>
      <c r="AB612" s="241"/>
      <c r="AC612" s="241"/>
      <c r="AD612" s="241"/>
      <c r="AE612" s="241"/>
      <c r="AF612" s="241"/>
      <c r="AG612" s="241"/>
      <c r="AH612" s="241"/>
      <c r="AI612" s="243"/>
      <c r="AJ612" s="243"/>
      <c r="AK612" s="241"/>
      <c r="AL612" s="241"/>
      <c r="AM612" s="241"/>
      <c r="AN612" s="241"/>
      <c r="AO612" s="241"/>
      <c r="AP612" s="241"/>
      <c r="AQ612" s="241"/>
      <c r="AR612" s="241"/>
    </row>
    <row r="613">
      <c r="A613" s="558">
        <v>1.0</v>
      </c>
      <c r="B613" s="547" t="s">
        <v>178</v>
      </c>
      <c r="C613" s="310">
        <v>2.0</v>
      </c>
      <c r="D613" s="547" t="s">
        <v>178</v>
      </c>
      <c r="E613" s="547" t="s">
        <v>178</v>
      </c>
      <c r="F613" s="547" t="s">
        <v>178</v>
      </c>
      <c r="G613" s="547" t="s">
        <v>178</v>
      </c>
      <c r="H613" s="547" t="s">
        <v>178</v>
      </c>
      <c r="I613" s="555" t="s">
        <v>178</v>
      </c>
      <c r="J613" s="555" t="s">
        <v>178</v>
      </c>
      <c r="K613" s="555" t="s">
        <v>178</v>
      </c>
      <c r="L613" s="310"/>
      <c r="M613" s="310"/>
      <c r="N613" s="547"/>
      <c r="O613" s="310"/>
      <c r="P613" s="590"/>
      <c r="Q613" s="310"/>
      <c r="R613" s="590"/>
      <c r="S613" s="547"/>
      <c r="T613" s="547"/>
      <c r="U613" s="547"/>
      <c r="V613" s="547"/>
      <c r="W613" s="547"/>
      <c r="X613" s="241"/>
      <c r="Y613" s="241"/>
      <c r="Z613" s="241"/>
      <c r="AA613" s="241"/>
      <c r="AB613" s="241"/>
      <c r="AC613" s="241"/>
      <c r="AD613" s="241"/>
      <c r="AE613" s="241"/>
      <c r="AF613" s="241"/>
      <c r="AG613" s="241"/>
      <c r="AH613" s="241"/>
      <c r="AI613" s="243"/>
      <c r="AJ613" s="243"/>
      <c r="AK613" s="241"/>
      <c r="AL613" s="241"/>
      <c r="AM613" s="241"/>
      <c r="AN613" s="241"/>
      <c r="AO613" s="241"/>
      <c r="AP613" s="241"/>
      <c r="AQ613" s="241"/>
      <c r="AR613" s="241"/>
    </row>
    <row r="614">
      <c r="A614" s="558">
        <v>2.0</v>
      </c>
      <c r="B614" s="547" t="s">
        <v>178</v>
      </c>
      <c r="C614" s="310">
        <v>3.0</v>
      </c>
      <c r="D614" s="547" t="s">
        <v>178</v>
      </c>
      <c r="E614" s="547" t="s">
        <v>178</v>
      </c>
      <c r="F614" s="547" t="s">
        <v>178</v>
      </c>
      <c r="G614" s="547" t="s">
        <v>178</v>
      </c>
      <c r="H614" s="547" t="s">
        <v>178</v>
      </c>
      <c r="I614" s="555" t="s">
        <v>178</v>
      </c>
      <c r="J614" s="555" t="s">
        <v>178</v>
      </c>
      <c r="K614" s="555" t="s">
        <v>178</v>
      </c>
      <c r="L614" s="310"/>
      <c r="M614" s="310"/>
      <c r="N614" s="547"/>
      <c r="O614" s="310"/>
      <c r="P614" s="590"/>
      <c r="Q614" s="310"/>
      <c r="R614" s="590"/>
      <c r="S614" s="547"/>
      <c r="T614" s="547"/>
      <c r="U614" s="547"/>
      <c r="V614" s="547"/>
      <c r="W614" s="547"/>
      <c r="X614" s="241"/>
      <c r="Y614" s="241"/>
      <c r="Z614" s="241"/>
      <c r="AA614" s="241"/>
      <c r="AB614" s="241"/>
      <c r="AC614" s="241"/>
      <c r="AD614" s="241"/>
      <c r="AE614" s="241"/>
      <c r="AF614" s="241"/>
      <c r="AG614" s="241"/>
      <c r="AH614" s="241"/>
      <c r="AI614" s="243"/>
      <c r="AJ614" s="243"/>
      <c r="AK614" s="241"/>
      <c r="AL614" s="241"/>
      <c r="AM614" s="241"/>
      <c r="AN614" s="241"/>
      <c r="AO614" s="241"/>
      <c r="AP614" s="241"/>
      <c r="AQ614" s="241"/>
      <c r="AR614" s="241"/>
    </row>
    <row r="615">
      <c r="A615" s="558">
        <v>3.0</v>
      </c>
      <c r="B615" s="547" t="s">
        <v>178</v>
      </c>
      <c r="C615" s="310">
        <v>4.0</v>
      </c>
      <c r="D615" s="547" t="s">
        <v>178</v>
      </c>
      <c r="E615" s="547" t="s">
        <v>178</v>
      </c>
      <c r="F615" s="547" t="s">
        <v>178</v>
      </c>
      <c r="G615" s="547" t="s">
        <v>178</v>
      </c>
      <c r="H615" s="547" t="s">
        <v>178</v>
      </c>
      <c r="I615" s="547" t="s">
        <v>178</v>
      </c>
      <c r="J615" s="547" t="s">
        <v>178</v>
      </c>
      <c r="K615" s="547" t="s">
        <v>178</v>
      </c>
      <c r="L615" s="310"/>
      <c r="M615" s="310"/>
      <c r="N615" s="547"/>
      <c r="O615" s="310"/>
      <c r="P615" s="590"/>
      <c r="Q615" s="310"/>
      <c r="R615" s="590"/>
      <c r="S615" s="547"/>
      <c r="T615" s="547"/>
      <c r="U615" s="547"/>
      <c r="V615" s="547"/>
      <c r="W615" s="547"/>
      <c r="X615" s="241"/>
      <c r="Y615" s="241"/>
      <c r="Z615" s="241"/>
      <c r="AA615" s="241"/>
      <c r="AB615" s="241"/>
      <c r="AC615" s="241"/>
      <c r="AD615" s="241"/>
      <c r="AE615" s="241"/>
      <c r="AF615" s="241"/>
      <c r="AG615" s="241"/>
      <c r="AH615" s="241"/>
      <c r="AI615" s="243"/>
      <c r="AJ615" s="243"/>
      <c r="AK615" s="241"/>
      <c r="AL615" s="241"/>
      <c r="AM615" s="241"/>
      <c r="AN615" s="241"/>
      <c r="AO615" s="241"/>
      <c r="AP615" s="241"/>
      <c r="AQ615" s="241"/>
      <c r="AR615" s="241"/>
    </row>
    <row r="616">
      <c r="A616" s="558">
        <v>4.0</v>
      </c>
      <c r="B616" s="547" t="s">
        <v>178</v>
      </c>
      <c r="C616" s="310">
        <v>4.0</v>
      </c>
      <c r="D616" s="547">
        <v>1.0</v>
      </c>
      <c r="E616" s="547" t="s">
        <v>178</v>
      </c>
      <c r="F616" s="547" t="s">
        <v>178</v>
      </c>
      <c r="G616" s="547" t="s">
        <v>178</v>
      </c>
      <c r="H616" s="547" t="s">
        <v>178</v>
      </c>
      <c r="I616" s="547" t="s">
        <v>178</v>
      </c>
      <c r="J616" s="547" t="s">
        <v>178</v>
      </c>
      <c r="K616" s="547" t="s">
        <v>178</v>
      </c>
      <c r="L616" s="310"/>
      <c r="M616" s="310"/>
      <c r="N616" s="547"/>
      <c r="O616" s="310"/>
      <c r="P616" s="590"/>
      <c r="Q616" s="310"/>
      <c r="R616" s="590"/>
      <c r="S616" s="547"/>
      <c r="T616" s="547"/>
      <c r="U616" s="547"/>
      <c r="V616" s="547"/>
      <c r="W616" s="547"/>
      <c r="X616" s="241"/>
      <c r="Y616" s="241"/>
      <c r="Z616" s="241"/>
      <c r="AA616" s="241"/>
      <c r="AB616" s="241"/>
      <c r="AC616" s="241"/>
      <c r="AD616" s="241"/>
      <c r="AE616" s="241"/>
      <c r="AF616" s="241"/>
      <c r="AG616" s="241"/>
      <c r="AH616" s="241"/>
      <c r="AI616" s="243"/>
      <c r="AJ616" s="243"/>
      <c r="AK616" s="241"/>
      <c r="AL616" s="241"/>
      <c r="AM616" s="241"/>
      <c r="AN616" s="241"/>
      <c r="AO616" s="241"/>
      <c r="AP616" s="241"/>
      <c r="AQ616" s="241"/>
      <c r="AR616" s="241"/>
    </row>
    <row r="617">
      <c r="A617" s="558">
        <v>5.0</v>
      </c>
      <c r="B617" s="547" t="s">
        <v>178</v>
      </c>
      <c r="C617" s="310">
        <v>4.0</v>
      </c>
      <c r="D617" s="547">
        <v>2.0</v>
      </c>
      <c r="E617" s="547" t="s">
        <v>178</v>
      </c>
      <c r="F617" s="547" t="s">
        <v>178</v>
      </c>
      <c r="G617" s="547" t="s">
        <v>178</v>
      </c>
      <c r="H617" s="547" t="s">
        <v>178</v>
      </c>
      <c r="I617" s="547" t="s">
        <v>178</v>
      </c>
      <c r="J617" s="547" t="s">
        <v>178</v>
      </c>
      <c r="K617" s="547" t="s">
        <v>178</v>
      </c>
      <c r="L617" s="310"/>
      <c r="M617" s="310"/>
      <c r="N617" s="547"/>
      <c r="O617" s="310"/>
      <c r="P617" s="590"/>
      <c r="Q617" s="310"/>
      <c r="R617" s="590"/>
      <c r="S617" s="547"/>
      <c r="T617" s="547"/>
      <c r="U617" s="547"/>
      <c r="V617" s="547"/>
      <c r="W617" s="547"/>
      <c r="X617" s="241"/>
      <c r="Y617" s="241"/>
      <c r="Z617" s="241"/>
      <c r="AA617" s="241"/>
      <c r="AB617" s="241"/>
      <c r="AC617" s="241"/>
      <c r="AD617" s="241"/>
      <c r="AE617" s="241"/>
      <c r="AF617" s="241"/>
      <c r="AG617" s="241"/>
      <c r="AH617" s="241"/>
      <c r="AI617" s="243"/>
      <c r="AJ617" s="243"/>
      <c r="AK617" s="241"/>
      <c r="AL617" s="241"/>
      <c r="AM617" s="241"/>
      <c r="AN617" s="241"/>
      <c r="AO617" s="241"/>
      <c r="AP617" s="241"/>
      <c r="AQ617" s="241"/>
      <c r="AR617" s="241"/>
    </row>
    <row r="618">
      <c r="A618" s="558">
        <v>6.0</v>
      </c>
      <c r="B618" s="547" t="s">
        <v>178</v>
      </c>
      <c r="C618" s="310">
        <v>4.0</v>
      </c>
      <c r="D618" s="310">
        <v>3.0</v>
      </c>
      <c r="E618" s="547" t="s">
        <v>178</v>
      </c>
      <c r="F618" s="547" t="s">
        <v>178</v>
      </c>
      <c r="G618" s="547" t="s">
        <v>178</v>
      </c>
      <c r="H618" s="547" t="s">
        <v>178</v>
      </c>
      <c r="I618" s="547" t="s">
        <v>178</v>
      </c>
      <c r="J618" s="547" t="s">
        <v>178</v>
      </c>
      <c r="K618" s="547" t="s">
        <v>178</v>
      </c>
      <c r="L618" s="310"/>
      <c r="M618" s="310"/>
      <c r="N618" s="547"/>
      <c r="O618" s="310"/>
      <c r="P618" s="590"/>
      <c r="Q618" s="310"/>
      <c r="R618" s="590"/>
      <c r="S618" s="547"/>
      <c r="T618" s="547"/>
      <c r="U618" s="547"/>
      <c r="V618" s="547"/>
      <c r="W618" s="547"/>
      <c r="X618" s="241"/>
      <c r="Y618" s="241"/>
      <c r="Z618" s="241"/>
      <c r="AA618" s="241"/>
      <c r="AB618" s="241"/>
      <c r="AC618" s="241"/>
      <c r="AD618" s="241"/>
      <c r="AE618" s="241"/>
      <c r="AF618" s="241"/>
      <c r="AG618" s="241"/>
      <c r="AH618" s="241"/>
      <c r="AI618" s="243"/>
      <c r="AJ618" s="243"/>
      <c r="AK618" s="241"/>
      <c r="AL618" s="241"/>
      <c r="AM618" s="241"/>
      <c r="AN618" s="241"/>
      <c r="AO618" s="241"/>
      <c r="AP618" s="241"/>
      <c r="AQ618" s="241"/>
      <c r="AR618" s="241"/>
    </row>
    <row r="619">
      <c r="A619" s="558">
        <v>7.0</v>
      </c>
      <c r="B619" s="547" t="s">
        <v>178</v>
      </c>
      <c r="C619" s="310">
        <v>4.0</v>
      </c>
      <c r="D619" s="547">
        <v>3.0</v>
      </c>
      <c r="E619" s="310">
        <v>1.0</v>
      </c>
      <c r="F619" s="547" t="s">
        <v>178</v>
      </c>
      <c r="G619" s="547" t="s">
        <v>178</v>
      </c>
      <c r="H619" s="547" t="s">
        <v>178</v>
      </c>
      <c r="I619" s="547" t="s">
        <v>178</v>
      </c>
      <c r="J619" s="547" t="s">
        <v>178</v>
      </c>
      <c r="K619" s="547" t="s">
        <v>178</v>
      </c>
      <c r="L619" s="310"/>
      <c r="M619" s="310"/>
      <c r="N619" s="547"/>
      <c r="O619" s="310"/>
      <c r="P619" s="590"/>
      <c r="Q619" s="310"/>
      <c r="R619" s="590"/>
      <c r="S619" s="547"/>
      <c r="T619" s="547"/>
      <c r="U619" s="547"/>
      <c r="V619" s="547"/>
      <c r="W619" s="547"/>
      <c r="X619" s="241"/>
      <c r="Y619" s="241"/>
      <c r="Z619" s="241"/>
      <c r="AA619" s="241"/>
      <c r="AB619" s="241"/>
      <c r="AC619" s="241"/>
      <c r="AD619" s="241"/>
      <c r="AE619" s="241"/>
      <c r="AF619" s="241"/>
      <c r="AG619" s="241"/>
      <c r="AH619" s="241"/>
      <c r="AI619" s="243"/>
      <c r="AJ619" s="243"/>
      <c r="AK619" s="241"/>
      <c r="AL619" s="241"/>
      <c r="AM619" s="241"/>
      <c r="AN619" s="241"/>
      <c r="AO619" s="241"/>
      <c r="AP619" s="241"/>
      <c r="AQ619" s="241"/>
      <c r="AR619" s="241"/>
    </row>
    <row r="620">
      <c r="A620" s="558">
        <v>8.0</v>
      </c>
      <c r="B620" s="547" t="s">
        <v>178</v>
      </c>
      <c r="C620" s="310">
        <v>4.0</v>
      </c>
      <c r="D620" s="547">
        <v>3.0</v>
      </c>
      <c r="E620" s="547">
        <v>2.0</v>
      </c>
      <c r="F620" s="547" t="s">
        <v>178</v>
      </c>
      <c r="G620" s="547" t="s">
        <v>178</v>
      </c>
      <c r="H620" s="547" t="s">
        <v>178</v>
      </c>
      <c r="I620" s="547" t="s">
        <v>178</v>
      </c>
      <c r="J620" s="547" t="s">
        <v>178</v>
      </c>
      <c r="K620" s="547" t="s">
        <v>178</v>
      </c>
      <c r="L620" s="310"/>
      <c r="M620" s="310"/>
      <c r="N620" s="547"/>
      <c r="O620" s="310"/>
      <c r="P620" s="590"/>
      <c r="Q620" s="310"/>
      <c r="R620" s="590"/>
      <c r="S620" s="547"/>
      <c r="T620" s="547"/>
      <c r="U620" s="547"/>
      <c r="V620" s="547"/>
      <c r="W620" s="547"/>
      <c r="X620" s="241"/>
      <c r="Y620" s="241"/>
      <c r="Z620" s="241"/>
      <c r="AA620" s="241"/>
      <c r="AB620" s="241"/>
      <c r="AC620" s="241"/>
      <c r="AD620" s="241"/>
      <c r="AE620" s="241"/>
      <c r="AF620" s="241"/>
      <c r="AG620" s="241"/>
      <c r="AH620" s="241"/>
      <c r="AI620" s="243"/>
      <c r="AJ620" s="243"/>
      <c r="AK620" s="241"/>
      <c r="AL620" s="241"/>
      <c r="AM620" s="241"/>
      <c r="AN620" s="241"/>
      <c r="AO620" s="241"/>
      <c r="AP620" s="241"/>
      <c r="AQ620" s="241"/>
      <c r="AR620" s="241"/>
    </row>
    <row r="621">
      <c r="A621" s="558">
        <v>9.0</v>
      </c>
      <c r="B621" s="547" t="s">
        <v>178</v>
      </c>
      <c r="C621" s="310">
        <v>4.0</v>
      </c>
      <c r="D621" s="547">
        <v>3.0</v>
      </c>
      <c r="E621" s="547">
        <v>3.0</v>
      </c>
      <c r="F621" s="547" t="s">
        <v>178</v>
      </c>
      <c r="G621" s="547" t="s">
        <v>178</v>
      </c>
      <c r="H621" s="547" t="s">
        <v>178</v>
      </c>
      <c r="I621" s="547" t="s">
        <v>178</v>
      </c>
      <c r="J621" s="547" t="s">
        <v>178</v>
      </c>
      <c r="K621" s="547" t="s">
        <v>178</v>
      </c>
      <c r="L621" s="310"/>
      <c r="M621" s="310"/>
      <c r="N621" s="547"/>
      <c r="O621" s="310"/>
      <c r="P621" s="590"/>
      <c r="Q621" s="310"/>
      <c r="R621" s="590"/>
      <c r="S621" s="547"/>
      <c r="T621" s="547"/>
      <c r="U621" s="547"/>
      <c r="V621" s="547"/>
      <c r="W621" s="547"/>
      <c r="X621" s="241"/>
      <c r="Y621" s="241"/>
      <c r="Z621" s="241"/>
      <c r="AA621" s="241"/>
      <c r="AB621" s="241"/>
      <c r="AC621" s="241"/>
      <c r="AD621" s="241"/>
      <c r="AE621" s="241"/>
      <c r="AF621" s="241"/>
      <c r="AG621" s="241"/>
      <c r="AH621" s="241"/>
      <c r="AI621" s="243"/>
      <c r="AJ621" s="243"/>
      <c r="AK621" s="241"/>
      <c r="AL621" s="241"/>
      <c r="AM621" s="241"/>
      <c r="AN621" s="241"/>
      <c r="AO621" s="241"/>
      <c r="AP621" s="241"/>
      <c r="AQ621" s="241"/>
      <c r="AR621" s="241"/>
    </row>
    <row r="622">
      <c r="A622" s="558">
        <v>10.0</v>
      </c>
      <c r="B622" s="547" t="s">
        <v>178</v>
      </c>
      <c r="C622" s="310">
        <v>4.0</v>
      </c>
      <c r="D622" s="547">
        <v>3.0</v>
      </c>
      <c r="E622" s="547">
        <v>3.0</v>
      </c>
      <c r="F622" s="310">
        <v>1.0</v>
      </c>
      <c r="G622" s="547" t="s">
        <v>178</v>
      </c>
      <c r="H622" s="547" t="s">
        <v>178</v>
      </c>
      <c r="I622" s="547" t="s">
        <v>178</v>
      </c>
      <c r="J622" s="547" t="s">
        <v>178</v>
      </c>
      <c r="K622" s="547" t="s">
        <v>178</v>
      </c>
      <c r="L622" s="310"/>
      <c r="M622" s="310"/>
      <c r="N622" s="547"/>
      <c r="O622" s="310"/>
      <c r="P622" s="590"/>
      <c r="Q622" s="310"/>
      <c r="R622" s="590"/>
      <c r="S622" s="547"/>
      <c r="T622" s="547"/>
      <c r="U622" s="547"/>
      <c r="V622" s="547"/>
      <c r="W622" s="547"/>
      <c r="X622" s="241"/>
      <c r="Y622" s="241"/>
      <c r="Z622" s="241"/>
      <c r="AA622" s="241"/>
      <c r="AB622" s="241"/>
      <c r="AC622" s="241"/>
      <c r="AD622" s="241"/>
      <c r="AE622" s="241"/>
      <c r="AF622" s="241"/>
      <c r="AG622" s="241"/>
      <c r="AH622" s="241"/>
      <c r="AI622" s="243"/>
      <c r="AJ622" s="243"/>
      <c r="AK622" s="241"/>
      <c r="AL622" s="241"/>
      <c r="AM622" s="241"/>
      <c r="AN622" s="241"/>
      <c r="AO622" s="241"/>
      <c r="AP622" s="241"/>
      <c r="AQ622" s="241"/>
      <c r="AR622" s="241"/>
    </row>
    <row r="623">
      <c r="A623" s="558">
        <v>11.0</v>
      </c>
      <c r="B623" s="547" t="s">
        <v>178</v>
      </c>
      <c r="C623" s="310">
        <v>4.0</v>
      </c>
      <c r="D623" s="547">
        <v>3.0</v>
      </c>
      <c r="E623" s="547">
        <v>3.0</v>
      </c>
      <c r="F623" s="310">
        <v>2.0</v>
      </c>
      <c r="G623" s="547" t="s">
        <v>178</v>
      </c>
      <c r="H623" s="547" t="s">
        <v>178</v>
      </c>
      <c r="I623" s="547" t="s">
        <v>178</v>
      </c>
      <c r="J623" s="547" t="s">
        <v>178</v>
      </c>
      <c r="K623" s="547" t="s">
        <v>178</v>
      </c>
      <c r="L623" s="310"/>
      <c r="M623" s="310"/>
      <c r="N623" s="547"/>
      <c r="O623" s="310"/>
      <c r="P623" s="590"/>
      <c r="Q623" s="310"/>
      <c r="R623" s="590"/>
      <c r="S623" s="547"/>
      <c r="T623" s="547"/>
      <c r="U623" s="547"/>
      <c r="V623" s="547"/>
      <c r="W623" s="547"/>
      <c r="X623" s="241"/>
      <c r="Y623" s="241"/>
      <c r="Z623" s="241"/>
      <c r="AA623" s="241"/>
      <c r="AB623" s="241"/>
      <c r="AC623" s="241"/>
      <c r="AD623" s="241"/>
      <c r="AE623" s="241"/>
      <c r="AF623" s="241"/>
      <c r="AG623" s="241"/>
      <c r="AH623" s="241"/>
      <c r="AI623" s="243"/>
      <c r="AJ623" s="243"/>
      <c r="AK623" s="241"/>
      <c r="AL623" s="241"/>
      <c r="AM623" s="241"/>
      <c r="AN623" s="241"/>
      <c r="AO623" s="241"/>
      <c r="AP623" s="241"/>
      <c r="AQ623" s="241"/>
      <c r="AR623" s="241"/>
    </row>
    <row r="624">
      <c r="A624" s="558">
        <v>12.0</v>
      </c>
      <c r="B624" s="547" t="s">
        <v>178</v>
      </c>
      <c r="C624" s="310">
        <v>4.0</v>
      </c>
      <c r="D624" s="547">
        <v>3.0</v>
      </c>
      <c r="E624" s="547">
        <v>3.0</v>
      </c>
      <c r="F624" s="547">
        <v>3.0</v>
      </c>
      <c r="G624" s="547" t="s">
        <v>178</v>
      </c>
      <c r="H624" s="547" t="s">
        <v>178</v>
      </c>
      <c r="I624" s="547" t="s">
        <v>178</v>
      </c>
      <c r="J624" s="547" t="s">
        <v>178</v>
      </c>
      <c r="K624" s="547" t="s">
        <v>178</v>
      </c>
      <c r="L624" s="310"/>
      <c r="M624" s="310"/>
      <c r="N624" s="547"/>
      <c r="O624" s="310"/>
      <c r="P624" s="590"/>
      <c r="Q624" s="310"/>
      <c r="R624" s="590"/>
      <c r="S624" s="547"/>
      <c r="T624" s="547"/>
      <c r="U624" s="547"/>
      <c r="V624" s="547"/>
      <c r="W624" s="547"/>
      <c r="X624" s="241"/>
      <c r="Y624" s="241"/>
      <c r="Z624" s="241"/>
      <c r="AA624" s="241"/>
      <c r="AB624" s="241"/>
      <c r="AC624" s="241"/>
      <c r="AD624" s="241"/>
      <c r="AE624" s="241"/>
      <c r="AF624" s="241"/>
      <c r="AG624" s="241"/>
      <c r="AH624" s="241"/>
      <c r="AI624" s="243"/>
      <c r="AJ624" s="243"/>
      <c r="AK624" s="241"/>
      <c r="AL624" s="241"/>
      <c r="AM624" s="241"/>
      <c r="AN624" s="241"/>
      <c r="AO624" s="241"/>
      <c r="AP624" s="241"/>
      <c r="AQ624" s="241"/>
      <c r="AR624" s="241"/>
    </row>
    <row r="625">
      <c r="A625" s="558">
        <v>13.0</v>
      </c>
      <c r="B625" s="547" t="s">
        <v>178</v>
      </c>
      <c r="C625" s="310">
        <v>4.0</v>
      </c>
      <c r="D625" s="547">
        <v>3.0</v>
      </c>
      <c r="E625" s="547">
        <v>3.0</v>
      </c>
      <c r="F625" s="547">
        <v>3.0</v>
      </c>
      <c r="G625" s="310">
        <v>1.0</v>
      </c>
      <c r="H625" s="547" t="s">
        <v>178</v>
      </c>
      <c r="I625" s="547" t="s">
        <v>178</v>
      </c>
      <c r="J625" s="547" t="s">
        <v>178</v>
      </c>
      <c r="K625" s="547" t="s">
        <v>178</v>
      </c>
      <c r="L625" s="310"/>
      <c r="M625" s="310"/>
      <c r="N625" s="547"/>
      <c r="O625" s="310"/>
      <c r="P625" s="590"/>
      <c r="Q625" s="310"/>
      <c r="R625" s="590"/>
      <c r="S625" s="547"/>
      <c r="T625" s="547"/>
      <c r="U625" s="547"/>
      <c r="V625" s="547"/>
      <c r="W625" s="547"/>
      <c r="X625" s="241"/>
      <c r="Y625" s="241"/>
      <c r="Z625" s="241"/>
      <c r="AA625" s="241"/>
      <c r="AB625" s="241"/>
      <c r="AC625" s="241"/>
      <c r="AD625" s="241"/>
      <c r="AE625" s="241"/>
      <c r="AF625" s="241"/>
      <c r="AG625" s="241"/>
      <c r="AH625" s="241"/>
      <c r="AI625" s="243"/>
      <c r="AJ625" s="243"/>
      <c r="AK625" s="241"/>
      <c r="AL625" s="241"/>
      <c r="AM625" s="241"/>
      <c r="AN625" s="241"/>
      <c r="AO625" s="241"/>
      <c r="AP625" s="241"/>
      <c r="AQ625" s="241"/>
      <c r="AR625" s="241"/>
    </row>
    <row r="626">
      <c r="A626" s="558">
        <v>14.0</v>
      </c>
      <c r="B626" s="547" t="s">
        <v>178</v>
      </c>
      <c r="C626" s="310">
        <v>4.0</v>
      </c>
      <c r="D626" s="547">
        <v>3.0</v>
      </c>
      <c r="E626" s="547">
        <v>3.0</v>
      </c>
      <c r="F626" s="547">
        <v>3.0</v>
      </c>
      <c r="G626" s="310">
        <v>2.0</v>
      </c>
      <c r="H626" s="547" t="s">
        <v>178</v>
      </c>
      <c r="I626" s="547" t="s">
        <v>178</v>
      </c>
      <c r="J626" s="547" t="s">
        <v>178</v>
      </c>
      <c r="K626" s="547" t="s">
        <v>178</v>
      </c>
      <c r="L626" s="310"/>
      <c r="M626" s="310"/>
      <c r="N626" s="547"/>
      <c r="O626" s="310"/>
      <c r="P626" s="590"/>
      <c r="Q626" s="310"/>
      <c r="R626" s="590"/>
      <c r="S626" s="547"/>
      <c r="T626" s="547"/>
      <c r="U626" s="547"/>
      <c r="V626" s="547"/>
      <c r="W626" s="547"/>
      <c r="X626" s="241"/>
      <c r="Y626" s="241"/>
      <c r="Z626" s="241"/>
      <c r="AA626" s="241"/>
      <c r="AB626" s="241"/>
      <c r="AC626" s="241"/>
      <c r="AD626" s="241"/>
      <c r="AE626" s="241"/>
      <c r="AF626" s="241"/>
      <c r="AG626" s="241"/>
      <c r="AH626" s="241"/>
      <c r="AI626" s="243"/>
      <c r="AJ626" s="243"/>
      <c r="AK626" s="241"/>
      <c r="AL626" s="241"/>
      <c r="AM626" s="241"/>
      <c r="AN626" s="241"/>
      <c r="AO626" s="241"/>
      <c r="AP626" s="241"/>
      <c r="AQ626" s="241"/>
      <c r="AR626" s="241"/>
    </row>
    <row r="627">
      <c r="A627" s="558">
        <v>15.0</v>
      </c>
      <c r="B627" s="547" t="s">
        <v>178</v>
      </c>
      <c r="C627" s="310">
        <v>4.0</v>
      </c>
      <c r="D627" s="547">
        <v>3.0</v>
      </c>
      <c r="E627" s="547">
        <v>3.0</v>
      </c>
      <c r="F627" s="547">
        <v>3.0</v>
      </c>
      <c r="G627" s="310">
        <v>3.0</v>
      </c>
      <c r="H627" s="547" t="s">
        <v>178</v>
      </c>
      <c r="I627" s="547" t="s">
        <v>178</v>
      </c>
      <c r="J627" s="547" t="s">
        <v>178</v>
      </c>
      <c r="K627" s="547" t="s">
        <v>178</v>
      </c>
      <c r="L627" s="310"/>
      <c r="M627" s="310"/>
      <c r="N627" s="547"/>
      <c r="O627" s="310"/>
      <c r="P627" s="590"/>
      <c r="Q627" s="310"/>
      <c r="R627" s="590"/>
      <c r="S627" s="547"/>
      <c r="T627" s="547"/>
      <c r="U627" s="547"/>
      <c r="V627" s="547"/>
      <c r="W627" s="547"/>
      <c r="X627" s="241"/>
      <c r="Y627" s="241"/>
      <c r="Z627" s="241"/>
      <c r="AA627" s="241"/>
      <c r="AB627" s="241"/>
      <c r="AC627" s="241"/>
      <c r="AD627" s="241"/>
      <c r="AE627" s="241"/>
      <c r="AF627" s="241"/>
      <c r="AG627" s="241"/>
      <c r="AH627" s="241"/>
      <c r="AI627" s="243"/>
      <c r="AJ627" s="243"/>
      <c r="AK627" s="241"/>
      <c r="AL627" s="241"/>
      <c r="AM627" s="241"/>
      <c r="AN627" s="241"/>
      <c r="AO627" s="241"/>
      <c r="AP627" s="241"/>
      <c r="AQ627" s="241"/>
      <c r="AR627" s="241"/>
    </row>
    <row r="628">
      <c r="A628" s="558">
        <v>16.0</v>
      </c>
      <c r="B628" s="547" t="s">
        <v>178</v>
      </c>
      <c r="C628" s="310">
        <v>4.0</v>
      </c>
      <c r="D628" s="547">
        <v>3.0</v>
      </c>
      <c r="E628" s="547">
        <v>3.0</v>
      </c>
      <c r="F628" s="547">
        <v>3.0</v>
      </c>
      <c r="G628" s="310">
        <v>3.0</v>
      </c>
      <c r="H628" s="310">
        <v>1.0</v>
      </c>
      <c r="I628" s="547" t="s">
        <v>178</v>
      </c>
      <c r="J628" s="547" t="s">
        <v>178</v>
      </c>
      <c r="K628" s="547" t="s">
        <v>178</v>
      </c>
      <c r="L628" s="310"/>
      <c r="M628" s="310"/>
      <c r="N628" s="547"/>
      <c r="O628" s="310"/>
      <c r="P628" s="590"/>
      <c r="Q628" s="310"/>
      <c r="R628" s="590"/>
      <c r="S628" s="547"/>
      <c r="T628" s="547"/>
      <c r="U628" s="547"/>
      <c r="V628" s="547"/>
      <c r="W628" s="547"/>
      <c r="X628" s="241"/>
      <c r="Y628" s="241"/>
      <c r="Z628" s="241"/>
      <c r="AA628" s="241"/>
      <c r="AB628" s="241"/>
      <c r="AC628" s="241"/>
      <c r="AD628" s="241"/>
      <c r="AE628" s="241"/>
      <c r="AF628" s="241"/>
      <c r="AG628" s="241"/>
      <c r="AH628" s="241"/>
      <c r="AI628" s="243"/>
      <c r="AJ628" s="243"/>
      <c r="AK628" s="241"/>
      <c r="AL628" s="241"/>
      <c r="AM628" s="241"/>
      <c r="AN628" s="241"/>
      <c r="AO628" s="241"/>
      <c r="AP628" s="241"/>
      <c r="AQ628" s="241"/>
      <c r="AR628" s="241"/>
    </row>
    <row r="629">
      <c r="A629" s="558">
        <v>17.0</v>
      </c>
      <c r="B629" s="547" t="s">
        <v>178</v>
      </c>
      <c r="C629" s="310">
        <v>4.0</v>
      </c>
      <c r="D629" s="547">
        <v>3.0</v>
      </c>
      <c r="E629" s="547">
        <v>3.0</v>
      </c>
      <c r="F629" s="547">
        <v>3.0</v>
      </c>
      <c r="G629" s="310">
        <v>3.0</v>
      </c>
      <c r="H629" s="310">
        <v>2.0</v>
      </c>
      <c r="I629" s="547" t="s">
        <v>178</v>
      </c>
      <c r="J629" s="547" t="s">
        <v>178</v>
      </c>
      <c r="K629" s="547" t="s">
        <v>178</v>
      </c>
      <c r="L629" s="310"/>
      <c r="M629" s="310"/>
      <c r="N629" s="547"/>
      <c r="O629" s="310"/>
      <c r="P629" s="590"/>
      <c r="Q629" s="310"/>
      <c r="R629" s="590"/>
      <c r="S629" s="547"/>
      <c r="T629" s="547"/>
      <c r="U629" s="547"/>
      <c r="V629" s="547"/>
      <c r="W629" s="547"/>
      <c r="X629" s="241"/>
      <c r="Y629" s="241"/>
      <c r="Z629" s="241"/>
      <c r="AA629" s="241"/>
      <c r="AB629" s="241"/>
      <c r="AC629" s="241"/>
      <c r="AD629" s="241"/>
      <c r="AE629" s="241"/>
      <c r="AF629" s="241"/>
      <c r="AG629" s="241"/>
      <c r="AH629" s="241"/>
      <c r="AI629" s="243"/>
      <c r="AJ629" s="243"/>
      <c r="AK629" s="241"/>
      <c r="AL629" s="241"/>
      <c r="AM629" s="241"/>
      <c r="AN629" s="241"/>
      <c r="AO629" s="241"/>
      <c r="AP629" s="241"/>
      <c r="AQ629" s="241"/>
      <c r="AR629" s="241"/>
    </row>
    <row r="630">
      <c r="A630" s="558">
        <v>18.0</v>
      </c>
      <c r="B630" s="547" t="s">
        <v>178</v>
      </c>
      <c r="C630" s="310">
        <v>4.0</v>
      </c>
      <c r="D630" s="547">
        <v>3.0</v>
      </c>
      <c r="E630" s="547">
        <v>3.0</v>
      </c>
      <c r="F630" s="547">
        <v>3.0</v>
      </c>
      <c r="G630" s="310">
        <v>3.0</v>
      </c>
      <c r="H630" s="547">
        <v>3.0</v>
      </c>
      <c r="I630" s="547" t="s">
        <v>178</v>
      </c>
      <c r="J630" s="547" t="s">
        <v>178</v>
      </c>
      <c r="K630" s="547" t="s">
        <v>178</v>
      </c>
      <c r="L630" s="310"/>
      <c r="M630" s="310"/>
      <c r="N630" s="547"/>
      <c r="O630" s="310"/>
      <c r="P630" s="590"/>
      <c r="Q630" s="310"/>
      <c r="R630" s="590"/>
      <c r="S630" s="547"/>
      <c r="T630" s="547"/>
      <c r="U630" s="547"/>
      <c r="V630" s="547"/>
      <c r="W630" s="547"/>
      <c r="X630" s="241"/>
      <c r="Y630" s="241"/>
      <c r="Z630" s="241"/>
      <c r="AA630" s="241"/>
      <c r="AB630" s="241"/>
      <c r="AC630" s="241"/>
      <c r="AD630" s="241"/>
      <c r="AE630" s="241"/>
      <c r="AF630" s="241"/>
      <c r="AG630" s="241"/>
      <c r="AH630" s="241"/>
      <c r="AI630" s="243"/>
      <c r="AJ630" s="243"/>
      <c r="AK630" s="241"/>
      <c r="AL630" s="241"/>
      <c r="AM630" s="241"/>
      <c r="AN630" s="241"/>
      <c r="AO630" s="241"/>
      <c r="AP630" s="241"/>
      <c r="AQ630" s="241"/>
      <c r="AR630" s="241"/>
    </row>
    <row r="631">
      <c r="A631" s="558">
        <v>19.0</v>
      </c>
      <c r="B631" s="547" t="s">
        <v>178</v>
      </c>
      <c r="C631" s="310">
        <v>4.0</v>
      </c>
      <c r="D631" s="547">
        <v>3.0</v>
      </c>
      <c r="E631" s="547">
        <v>3.0</v>
      </c>
      <c r="F631" s="547">
        <v>3.0</v>
      </c>
      <c r="G631" s="310">
        <v>3.0</v>
      </c>
      <c r="H631" s="310">
        <v>4.0</v>
      </c>
      <c r="I631" s="547" t="s">
        <v>178</v>
      </c>
      <c r="J631" s="547" t="s">
        <v>178</v>
      </c>
      <c r="K631" s="547" t="s">
        <v>178</v>
      </c>
      <c r="L631" s="310"/>
      <c r="M631" s="310"/>
      <c r="N631" s="547"/>
      <c r="O631" s="310"/>
      <c r="P631" s="590"/>
      <c r="Q631" s="310"/>
      <c r="R631" s="590"/>
      <c r="S631" s="547"/>
      <c r="T631" s="547"/>
      <c r="U631" s="547"/>
      <c r="V631" s="547"/>
      <c r="W631" s="547"/>
      <c r="X631" s="241"/>
      <c r="Y631" s="241"/>
      <c r="Z631" s="241"/>
      <c r="AA631" s="241"/>
      <c r="AB631" s="241"/>
      <c r="AC631" s="241"/>
      <c r="AD631" s="241"/>
      <c r="AE631" s="241"/>
      <c r="AF631" s="241"/>
      <c r="AG631" s="241"/>
      <c r="AH631" s="241"/>
      <c r="AI631" s="243"/>
      <c r="AJ631" s="243"/>
      <c r="AK631" s="241"/>
      <c r="AL631" s="241"/>
      <c r="AM631" s="241"/>
      <c r="AN631" s="241"/>
      <c r="AO631" s="241"/>
      <c r="AP631" s="241"/>
      <c r="AQ631" s="241"/>
      <c r="AR631" s="241"/>
    </row>
    <row r="632">
      <c r="A632" s="558">
        <v>20.0</v>
      </c>
      <c r="B632" s="547" t="s">
        <v>178</v>
      </c>
      <c r="C632" s="310">
        <v>4.0</v>
      </c>
      <c r="D632" s="547">
        <v>3.0</v>
      </c>
      <c r="E632" s="547">
        <v>3.0</v>
      </c>
      <c r="F632" s="547">
        <v>3.0</v>
      </c>
      <c r="G632" s="310">
        <v>3.0</v>
      </c>
      <c r="H632" s="310">
        <v>5.0</v>
      </c>
      <c r="I632" s="547" t="s">
        <v>178</v>
      </c>
      <c r="J632" s="547" t="s">
        <v>178</v>
      </c>
      <c r="K632" s="547" t="s">
        <v>178</v>
      </c>
      <c r="L632" s="310"/>
      <c r="M632" s="310"/>
      <c r="N632" s="547"/>
      <c r="O632" s="310"/>
      <c r="P632" s="590"/>
      <c r="Q632" s="310"/>
      <c r="R632" s="590"/>
      <c r="S632" s="547"/>
      <c r="T632" s="547"/>
      <c r="U632" s="547"/>
      <c r="V632" s="547"/>
      <c r="W632" s="547"/>
      <c r="X632" s="241"/>
      <c r="Y632" s="241"/>
      <c r="Z632" s="241"/>
      <c r="AA632" s="241"/>
      <c r="AB632" s="241"/>
      <c r="AC632" s="241"/>
      <c r="AD632" s="241"/>
      <c r="AE632" s="241"/>
      <c r="AF632" s="241"/>
      <c r="AG632" s="241"/>
      <c r="AH632" s="241"/>
      <c r="AI632" s="243"/>
      <c r="AJ632" s="243"/>
      <c r="AK632" s="241"/>
      <c r="AL632" s="241"/>
      <c r="AM632" s="241"/>
      <c r="AN632" s="241"/>
      <c r="AO632" s="241"/>
      <c r="AP632" s="241"/>
      <c r="AQ632" s="241"/>
      <c r="AR632" s="241"/>
    </row>
    <row r="633">
      <c r="A633" s="547"/>
      <c r="B633" s="547"/>
      <c r="C633" s="310"/>
      <c r="D633" s="310"/>
      <c r="E633" s="310"/>
      <c r="F633" s="310"/>
      <c r="G633" s="547"/>
      <c r="H633" s="547"/>
      <c r="I633" s="547"/>
      <c r="J633" s="547"/>
      <c r="K633" s="547"/>
      <c r="L633" s="310"/>
      <c r="M633" s="310"/>
      <c r="N633" s="547"/>
      <c r="O633" s="310"/>
      <c r="P633" s="590"/>
      <c r="Q633" s="590"/>
      <c r="R633" s="590"/>
      <c r="S633" s="547"/>
      <c r="T633" s="547"/>
      <c r="U633" s="547"/>
      <c r="V633" s="547"/>
      <c r="W633" s="547"/>
      <c r="X633" s="241"/>
      <c r="Y633" s="241"/>
      <c r="Z633" s="241"/>
      <c r="AA633" s="241"/>
      <c r="AB633" s="241"/>
      <c r="AC633" s="241"/>
      <c r="AD633" s="241"/>
      <c r="AE633" s="241"/>
      <c r="AF633" s="241"/>
      <c r="AG633" s="241"/>
      <c r="AH633" s="241"/>
      <c r="AI633" s="243"/>
      <c r="AJ633" s="243"/>
      <c r="AK633" s="241"/>
      <c r="AL633" s="241"/>
      <c r="AM633" s="241"/>
      <c r="AN633" s="241"/>
      <c r="AO633" s="241"/>
      <c r="AP633" s="241"/>
      <c r="AQ633" s="241"/>
      <c r="AR633" s="241"/>
    </row>
  </sheetData>
  <mergeCells count="27">
    <mergeCell ref="P1:W1"/>
    <mergeCell ref="P2:W6"/>
    <mergeCell ref="R8:T8"/>
    <mergeCell ref="Y8:AA8"/>
    <mergeCell ref="AC8:AE8"/>
    <mergeCell ref="Y9:Z9"/>
    <mergeCell ref="Y10:Z10"/>
    <mergeCell ref="Y13:Z13"/>
    <mergeCell ref="Y14:Z14"/>
    <mergeCell ref="Y15:Z15"/>
    <mergeCell ref="Y16:Z16"/>
    <mergeCell ref="A497:A498"/>
    <mergeCell ref="B497:E497"/>
    <mergeCell ref="O497:O498"/>
    <mergeCell ref="P497:S497"/>
    <mergeCell ref="AC14:AD14"/>
    <mergeCell ref="AC15:AD15"/>
    <mergeCell ref="AC16:AD16"/>
    <mergeCell ref="AC17:AD17"/>
    <mergeCell ref="AC18:AD18"/>
    <mergeCell ref="AC9:AD9"/>
    <mergeCell ref="AC10:AD10"/>
    <mergeCell ref="Y11:Z11"/>
    <mergeCell ref="AC11:AD11"/>
    <mergeCell ref="Y12:Z12"/>
    <mergeCell ref="AC12:AD12"/>
    <mergeCell ref="AC13:AD13"/>
  </mergeCells>
  <conditionalFormatting sqref="E35:G49">
    <cfRule type="containsText" dxfId="0" priority="1" operator="containsText" text="Good">
      <formula>NOT(ISERROR(SEARCH(("Good"),(E35))))</formula>
    </cfRule>
  </conditionalFormatting>
  <conditionalFormatting sqref="E35:G49">
    <cfRule type="containsText" dxfId="2" priority="2" operator="containsText" text="Poor">
      <formula>NOT(ISERROR(SEARCH(("Poor"),(E35))))</formula>
    </cfRule>
  </conditionalFormatting>
  <conditionalFormatting sqref="E1:E496 F1:F540 G1:G401 H381:K401 L402:M402 S402:S416 T402:T424 R403:R413 G404:G496 H404:K424 U404:X424 R423:R424 O497:O508 G498:G540 B499:B508 H499:K508 P499:P508 U499:Y508 E509:E540 D542:D544 B544:C544 E544:G545 K544 N544 Q565:Q566 E567:G567 Q570:Q588 E589:G589 Q591:Q593 E611:G611 E633:G633">
    <cfRule type="containsText" dxfId="3" priority="3" operator="containsText" text="Good">
      <formula>NOT(ISERROR(SEARCH(("Good"),(E1))))</formula>
    </cfRule>
  </conditionalFormatting>
  <conditionalFormatting sqref="E1:E496 F1:F540 G1:G401 H381:K401 L402:M402 S402:S416 T402:T424 R403:R413 G404:G496 H404:K424 U404:X424 R423:R424 O497:O508 G498:G540 B499:B508 H499:K508 P499:P508 U499:Y508 E509:E540 D542:D544 B544:C544 E544:G545 K544 N544 Q565:Q566 E567:G567 Q570:Q588 E589:G589 Q591:Q593 E611:G611 E633:G633">
    <cfRule type="containsText" dxfId="4" priority="4" operator="containsText" text="Poor">
      <formula>NOT(ISERROR(SEARCH(("Poor"),(E1))))</formula>
    </cfRule>
  </conditionalFormatting>
  <hyperlinks>
    <hyperlink r:id="rId2" ref="B256"/>
    <hyperlink r:id="rId3" ref="B257"/>
    <hyperlink r:id="rId4" ref="B258"/>
    <hyperlink r:id="rId5" ref="B259"/>
    <hyperlink r:id="rId6" ref="B260"/>
    <hyperlink r:id="rId7" ref="B261"/>
    <hyperlink r:id="rId8" ref="B262"/>
    <hyperlink r:id="rId9" ref="B263"/>
    <hyperlink r:id="rId10" ref="B264"/>
    <hyperlink r:id="rId11" ref="B265"/>
    <hyperlink r:id="rId12" ref="B266"/>
    <hyperlink r:id="rId13" ref="B267"/>
    <hyperlink r:id="rId14" ref="B268"/>
    <hyperlink r:id="rId15" ref="B269"/>
    <hyperlink r:id="rId16" ref="B270"/>
    <hyperlink r:id="rId17" ref="B271"/>
    <hyperlink r:id="rId18" ref="B272"/>
    <hyperlink r:id="rId19" ref="B273"/>
    <hyperlink r:id="rId20" ref="B274"/>
    <hyperlink r:id="rId21" ref="B275"/>
    <hyperlink r:id="rId22" ref="B276"/>
    <hyperlink r:id="rId23" ref="B277"/>
    <hyperlink r:id="rId24" ref="B278"/>
    <hyperlink r:id="rId25" ref="B279"/>
    <hyperlink r:id="rId26" ref="B280"/>
    <hyperlink r:id="rId27" ref="B281"/>
    <hyperlink r:id="rId28" ref="B282"/>
    <hyperlink r:id="rId29" ref="B283"/>
    <hyperlink r:id="rId30" ref="B284"/>
    <hyperlink r:id="rId31" ref="B285"/>
    <hyperlink r:id="rId32" ref="B286"/>
    <hyperlink r:id="rId33" ref="B287"/>
    <hyperlink r:id="rId34" ref="B288"/>
    <hyperlink r:id="rId35" ref="B289"/>
    <hyperlink r:id="rId36" ref="B290"/>
    <hyperlink r:id="rId37" ref="B291"/>
    <hyperlink r:id="rId38" ref="B292"/>
    <hyperlink r:id="rId39" ref="B293"/>
    <hyperlink r:id="rId40" ref="B294"/>
    <hyperlink r:id="rId41" ref="B295"/>
  </hyperlinks>
  <drawing r:id="rId42"/>
  <legacyDrawing r:id="rId4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5.13"/>
    <col customWidth="1" min="2" max="64" width="5.75"/>
  </cols>
  <sheetData>
    <row r="1">
      <c r="A1" s="629"/>
      <c r="B1" s="630" t="s">
        <v>726</v>
      </c>
      <c r="C1" s="629" t="s">
        <v>729</v>
      </c>
      <c r="D1" s="629" t="s">
        <v>231</v>
      </c>
      <c r="E1" s="629" t="s">
        <v>261</v>
      </c>
      <c r="F1" s="629" t="s">
        <v>730</v>
      </c>
      <c r="G1" s="629" t="s">
        <v>730</v>
      </c>
      <c r="H1" s="629" t="s">
        <v>299</v>
      </c>
      <c r="I1" s="629" t="s">
        <v>336</v>
      </c>
      <c r="J1" s="629" t="s">
        <v>394</v>
      </c>
      <c r="K1" s="629" t="s">
        <v>437</v>
      </c>
      <c r="L1" s="629" t="s">
        <v>478</v>
      </c>
      <c r="M1" s="629" t="s">
        <v>731</v>
      </c>
      <c r="N1" s="629" t="s">
        <v>543</v>
      </c>
      <c r="O1" s="629" t="s">
        <v>580</v>
      </c>
      <c r="P1" s="629" t="s">
        <v>596</v>
      </c>
      <c r="Q1" s="629" t="s">
        <v>609</v>
      </c>
      <c r="R1" s="629" t="s">
        <v>732</v>
      </c>
      <c r="S1" s="629" t="s">
        <v>733</v>
      </c>
      <c r="T1" s="629" t="s">
        <v>734</v>
      </c>
      <c r="U1" s="629" t="s">
        <v>620</v>
      </c>
      <c r="V1" s="629" t="s">
        <v>629</v>
      </c>
      <c r="W1" s="629" t="s">
        <v>735</v>
      </c>
      <c r="X1" s="629" t="s">
        <v>638</v>
      </c>
      <c r="Y1" s="629" t="s">
        <v>642</v>
      </c>
      <c r="Z1" s="629" t="s">
        <v>736</v>
      </c>
      <c r="AA1" s="629" t="s">
        <v>657</v>
      </c>
      <c r="AB1" s="629" t="s">
        <v>737</v>
      </c>
      <c r="AC1" s="629" t="s">
        <v>737</v>
      </c>
      <c r="AD1" s="629" t="s">
        <v>738</v>
      </c>
      <c r="AE1" s="629" t="s">
        <v>738</v>
      </c>
      <c r="AF1" s="629" t="s">
        <v>673</v>
      </c>
      <c r="AG1" s="629" t="s">
        <v>687</v>
      </c>
      <c r="AH1" s="629" t="s">
        <v>739</v>
      </c>
      <c r="AI1" s="629" t="s">
        <v>717</v>
      </c>
      <c r="AJ1" s="629" t="s">
        <v>723</v>
      </c>
      <c r="AK1" s="629" t="s">
        <v>728</v>
      </c>
      <c r="AL1" s="629" t="s">
        <v>740</v>
      </c>
      <c r="AM1" s="629" t="s">
        <v>741</v>
      </c>
      <c r="AN1" s="629" t="s">
        <v>742</v>
      </c>
      <c r="AO1" s="629" t="s">
        <v>742</v>
      </c>
      <c r="AP1" s="630" t="s">
        <v>743</v>
      </c>
      <c r="AQ1" s="630" t="s">
        <v>744</v>
      </c>
      <c r="AR1" s="631"/>
      <c r="AS1" s="630" t="s">
        <v>745</v>
      </c>
      <c r="AT1" s="630" t="s">
        <v>746</v>
      </c>
      <c r="AU1" s="630" t="s">
        <v>747</v>
      </c>
      <c r="AV1" s="630" t="s">
        <v>748</v>
      </c>
      <c r="AW1" s="630" t="s">
        <v>749</v>
      </c>
      <c r="AX1" s="630" t="s">
        <v>750</v>
      </c>
      <c r="AY1" s="630" t="s">
        <v>751</v>
      </c>
      <c r="AZ1" s="630" t="s">
        <v>752</v>
      </c>
      <c r="BA1" s="630" t="s">
        <v>753</v>
      </c>
      <c r="BB1" s="630" t="s">
        <v>754</v>
      </c>
      <c r="BC1" s="630" t="s">
        <v>755</v>
      </c>
      <c r="BD1" s="630" t="s">
        <v>756</v>
      </c>
      <c r="BE1" s="632"/>
      <c r="BF1" s="632"/>
      <c r="BG1" s="630" t="s">
        <v>757</v>
      </c>
      <c r="BH1" s="630" t="s">
        <v>758</v>
      </c>
      <c r="BI1" s="632"/>
      <c r="BJ1" s="632"/>
      <c r="BK1" s="632"/>
      <c r="BL1" s="632"/>
    </row>
    <row r="2">
      <c r="A2" s="633"/>
      <c r="B2" s="580"/>
      <c r="C2" s="580"/>
      <c r="D2" s="580"/>
      <c r="E2" s="580"/>
      <c r="F2" s="580"/>
      <c r="G2" s="580"/>
      <c r="H2" s="580"/>
      <c r="I2" s="580" t="s">
        <v>759</v>
      </c>
      <c r="J2" s="556"/>
      <c r="K2" s="580"/>
      <c r="L2" s="580"/>
      <c r="M2" s="580" t="s">
        <v>759</v>
      </c>
      <c r="N2" s="580"/>
      <c r="O2" s="580"/>
      <c r="P2" s="580" t="s">
        <v>759</v>
      </c>
      <c r="Q2" s="580" t="s">
        <v>759</v>
      </c>
      <c r="R2" s="580" t="s">
        <v>759</v>
      </c>
      <c r="S2" s="556" t="s">
        <v>759</v>
      </c>
      <c r="T2" s="580" t="s">
        <v>759</v>
      </c>
      <c r="U2" s="580" t="s">
        <v>759</v>
      </c>
      <c r="V2" s="580" t="s">
        <v>759</v>
      </c>
      <c r="W2" s="580" t="s">
        <v>759</v>
      </c>
      <c r="X2" s="580" t="s">
        <v>759</v>
      </c>
      <c r="Y2" s="580" t="s">
        <v>759</v>
      </c>
      <c r="Z2" s="580" t="s">
        <v>759</v>
      </c>
      <c r="AA2" s="580"/>
      <c r="AB2" s="580"/>
      <c r="AC2" s="580"/>
      <c r="AD2" s="580" t="s">
        <v>759</v>
      </c>
      <c r="AE2" s="580" t="s">
        <v>759</v>
      </c>
      <c r="AF2" s="580"/>
      <c r="AG2" s="580"/>
      <c r="AH2" s="580" t="s">
        <v>759</v>
      </c>
      <c r="AI2" s="580" t="s">
        <v>759</v>
      </c>
      <c r="AJ2" s="580"/>
      <c r="AK2" s="580"/>
      <c r="AL2" s="580"/>
      <c r="AM2" s="580" t="s">
        <v>759</v>
      </c>
      <c r="AN2" s="555"/>
      <c r="AO2" s="555"/>
      <c r="AP2" s="555"/>
      <c r="AQ2" s="580" t="s">
        <v>759</v>
      </c>
      <c r="AR2" s="631"/>
      <c r="AS2" s="555"/>
      <c r="AT2" s="555"/>
      <c r="AU2" s="580" t="s">
        <v>759</v>
      </c>
      <c r="AV2" s="555"/>
      <c r="AW2" s="580" t="s">
        <v>759</v>
      </c>
      <c r="AX2" s="555"/>
      <c r="AY2" s="555"/>
      <c r="AZ2" s="580" t="s">
        <v>759</v>
      </c>
      <c r="BA2" s="580" t="s">
        <v>759</v>
      </c>
      <c r="BB2" s="255" t="s">
        <v>759</v>
      </c>
      <c r="BC2" s="580"/>
      <c r="BD2" s="555"/>
      <c r="BE2" s="555"/>
      <c r="BF2" s="555"/>
      <c r="BG2" s="580" t="s">
        <v>759</v>
      </c>
      <c r="BH2" s="580" t="s">
        <v>759</v>
      </c>
      <c r="BI2" s="555"/>
      <c r="BJ2" s="555"/>
      <c r="BK2" s="555"/>
      <c r="BL2" s="555"/>
    </row>
    <row r="3">
      <c r="A3" s="633"/>
      <c r="B3" s="580" t="s">
        <v>466</v>
      </c>
      <c r="C3" s="243" t="s">
        <v>581</v>
      </c>
      <c r="D3" s="555" t="s">
        <v>761</v>
      </c>
      <c r="E3" s="580" t="s">
        <v>762</v>
      </c>
      <c r="F3" s="243" t="s">
        <v>581</v>
      </c>
      <c r="G3" s="555" t="s">
        <v>581</v>
      </c>
      <c r="H3" s="555" t="s">
        <v>761</v>
      </c>
      <c r="I3" s="580" t="s">
        <v>466</v>
      </c>
      <c r="J3" s="241" t="s">
        <v>761</v>
      </c>
      <c r="K3" s="580" t="s">
        <v>466</v>
      </c>
      <c r="L3" s="580" t="s">
        <v>466</v>
      </c>
      <c r="M3" s="555" t="s">
        <v>761</v>
      </c>
      <c r="N3" s="555" t="s">
        <v>763</v>
      </c>
      <c r="O3" s="243" t="s">
        <v>761</v>
      </c>
      <c r="P3" s="555" t="s">
        <v>581</v>
      </c>
      <c r="Q3" s="555" t="s">
        <v>581</v>
      </c>
      <c r="R3" s="555" t="s">
        <v>581</v>
      </c>
      <c r="S3" s="241" t="s">
        <v>581</v>
      </c>
      <c r="T3" s="555" t="s">
        <v>581</v>
      </c>
      <c r="U3" s="555" t="s">
        <v>581</v>
      </c>
      <c r="V3" s="555" t="s">
        <v>581</v>
      </c>
      <c r="W3" s="243" t="s">
        <v>581</v>
      </c>
      <c r="X3" s="555" t="s">
        <v>581</v>
      </c>
      <c r="Y3" s="243" t="s">
        <v>581</v>
      </c>
      <c r="Z3" s="243" t="s">
        <v>581</v>
      </c>
      <c r="AA3" s="555" t="s">
        <v>763</v>
      </c>
      <c r="AB3" s="555" t="s">
        <v>761</v>
      </c>
      <c r="AC3" s="555" t="s">
        <v>761</v>
      </c>
      <c r="AD3" s="555" t="s">
        <v>763</v>
      </c>
      <c r="AE3" s="555" t="s">
        <v>763</v>
      </c>
      <c r="AF3" s="580" t="s">
        <v>466</v>
      </c>
      <c r="AG3" s="555" t="s">
        <v>763</v>
      </c>
      <c r="AH3" s="580" t="s">
        <v>466</v>
      </c>
      <c r="AI3" s="555" t="s">
        <v>581</v>
      </c>
      <c r="AJ3" s="580" t="s">
        <v>466</v>
      </c>
      <c r="AK3" s="555" t="s">
        <v>763</v>
      </c>
      <c r="AL3" s="580" t="s">
        <v>762</v>
      </c>
      <c r="AM3" s="555" t="s">
        <v>761</v>
      </c>
      <c r="AN3" s="555"/>
      <c r="AO3" s="555"/>
      <c r="AP3" s="580" t="s">
        <v>581</v>
      </c>
      <c r="AQ3" s="580" t="s">
        <v>581</v>
      </c>
      <c r="AR3" s="631"/>
      <c r="AS3" s="580" t="s">
        <v>466</v>
      </c>
      <c r="AT3" s="580" t="s">
        <v>762</v>
      </c>
      <c r="AU3" s="580" t="s">
        <v>466</v>
      </c>
      <c r="AV3" s="580" t="s">
        <v>761</v>
      </c>
      <c r="AW3" s="580" t="s">
        <v>581</v>
      </c>
      <c r="AX3" s="580" t="s">
        <v>763</v>
      </c>
      <c r="AY3" s="580" t="s">
        <v>761</v>
      </c>
      <c r="AZ3" s="580" t="s">
        <v>581</v>
      </c>
      <c r="BA3" s="580" t="s">
        <v>581</v>
      </c>
      <c r="BB3" s="255" t="s">
        <v>581</v>
      </c>
      <c r="BC3" s="580" t="s">
        <v>466</v>
      </c>
      <c r="BD3" s="580" t="s">
        <v>763</v>
      </c>
      <c r="BE3" s="555"/>
      <c r="BF3" s="555"/>
      <c r="BG3" s="580" t="s">
        <v>763</v>
      </c>
      <c r="BH3" s="580" t="s">
        <v>581</v>
      </c>
      <c r="BI3" s="555"/>
      <c r="BJ3" s="555"/>
      <c r="BK3" s="555"/>
      <c r="BL3" s="555"/>
    </row>
    <row r="4">
      <c r="A4" s="635" t="s">
        <v>764</v>
      </c>
      <c r="B4" s="580" t="s">
        <v>765</v>
      </c>
      <c r="C4" s="243"/>
      <c r="D4" s="555"/>
      <c r="E4" s="580" t="s">
        <v>765</v>
      </c>
      <c r="F4" s="243"/>
      <c r="G4" s="555"/>
      <c r="H4" s="555"/>
      <c r="I4" s="580" t="s">
        <v>765</v>
      </c>
      <c r="J4" s="243"/>
      <c r="K4" s="580" t="s">
        <v>765</v>
      </c>
      <c r="L4" s="580" t="s">
        <v>765</v>
      </c>
      <c r="M4" s="555"/>
      <c r="N4" s="555"/>
      <c r="O4" s="243"/>
      <c r="P4" s="555"/>
      <c r="Q4" s="555"/>
      <c r="R4" s="555"/>
      <c r="S4" s="243"/>
      <c r="T4" s="555"/>
      <c r="U4" s="555"/>
      <c r="V4" s="555"/>
      <c r="W4" s="243"/>
      <c r="X4" s="555"/>
      <c r="Y4" s="243"/>
      <c r="Z4" s="243"/>
      <c r="AA4" s="555"/>
      <c r="AB4" s="555"/>
      <c r="AC4" s="555"/>
      <c r="AD4" s="555"/>
      <c r="AE4" s="555"/>
      <c r="AF4" s="580" t="s">
        <v>765</v>
      </c>
      <c r="AG4" s="555"/>
      <c r="AH4" s="580" t="s">
        <v>765</v>
      </c>
      <c r="AI4" s="555"/>
      <c r="AJ4" s="580" t="s">
        <v>765</v>
      </c>
      <c r="AK4" s="555"/>
      <c r="AL4" s="580" t="s">
        <v>765</v>
      </c>
      <c r="AM4" s="555"/>
      <c r="AN4" s="555"/>
      <c r="AO4" s="555"/>
      <c r="AP4" s="580"/>
      <c r="AQ4" s="580" t="s">
        <v>595</v>
      </c>
      <c r="AR4" s="631"/>
      <c r="AS4" s="580" t="s">
        <v>765</v>
      </c>
      <c r="AT4" s="580" t="s">
        <v>765</v>
      </c>
      <c r="AU4" s="580" t="s">
        <v>765</v>
      </c>
      <c r="AV4" s="555"/>
      <c r="AW4" s="555"/>
      <c r="AX4" s="555"/>
      <c r="AY4" s="555"/>
      <c r="AZ4" s="555"/>
      <c r="BA4" s="555"/>
      <c r="BB4" s="555"/>
      <c r="BC4" s="580" t="s">
        <v>765</v>
      </c>
      <c r="BD4" s="580"/>
      <c r="BE4" s="555"/>
      <c r="BF4" s="555"/>
      <c r="BG4" s="555"/>
      <c r="BH4" s="555"/>
      <c r="BI4" s="555"/>
      <c r="BJ4" s="555"/>
      <c r="BK4" s="555"/>
      <c r="BL4" s="555"/>
    </row>
    <row r="5">
      <c r="A5" s="549" t="s">
        <v>165</v>
      </c>
      <c r="B5" s="555"/>
      <c r="C5" s="243" t="s">
        <v>595</v>
      </c>
      <c r="D5" s="555"/>
      <c r="E5" s="555"/>
      <c r="F5" s="243" t="s">
        <v>595</v>
      </c>
      <c r="G5" s="555" t="s">
        <v>595</v>
      </c>
      <c r="H5" s="555"/>
      <c r="I5" s="555" t="s">
        <v>595</v>
      </c>
      <c r="J5" s="243"/>
      <c r="K5" s="243"/>
      <c r="L5" s="555" t="s">
        <v>595</v>
      </c>
      <c r="M5" s="555"/>
      <c r="N5" s="555" t="s">
        <v>595</v>
      </c>
      <c r="O5" s="243"/>
      <c r="P5" s="555" t="s">
        <v>595</v>
      </c>
      <c r="Q5" s="555"/>
      <c r="R5" s="555"/>
      <c r="S5" s="243"/>
      <c r="T5" s="555"/>
      <c r="U5" s="555"/>
      <c r="V5" s="555" t="s">
        <v>595</v>
      </c>
      <c r="W5" s="243"/>
      <c r="X5" s="555"/>
      <c r="Y5" s="243"/>
      <c r="Z5" s="243"/>
      <c r="AA5" s="555" t="s">
        <v>595</v>
      </c>
      <c r="AB5" s="555"/>
      <c r="AC5" s="555"/>
      <c r="AD5" s="555" t="s">
        <v>595</v>
      </c>
      <c r="AE5" s="555" t="s">
        <v>595</v>
      </c>
      <c r="AF5" s="555"/>
      <c r="AG5" s="555"/>
      <c r="AH5" s="555" t="s">
        <v>595</v>
      </c>
      <c r="AI5" s="555" t="s">
        <v>595</v>
      </c>
      <c r="AJ5" s="555"/>
      <c r="AK5" s="555" t="s">
        <v>595</v>
      </c>
      <c r="AL5" s="555"/>
      <c r="AM5" s="555" t="s">
        <v>595</v>
      </c>
      <c r="AN5" s="555"/>
      <c r="AO5" s="555"/>
      <c r="AP5" s="250" t="str">
        <f t="shared" ref="AP5:AP26" si="1">IF(OR(F5="X",G5="X",AB5="X",AC5="X"),"X",)</f>
        <v>X</v>
      </c>
      <c r="AQ5" s="250" t="s">
        <v>595</v>
      </c>
      <c r="AR5" s="638"/>
      <c r="AS5" s="555"/>
      <c r="AT5" s="555"/>
      <c r="AU5" s="580" t="s">
        <v>595</v>
      </c>
      <c r="AV5" s="555"/>
      <c r="AW5" s="555"/>
      <c r="AX5" s="555"/>
      <c r="AY5" s="555"/>
      <c r="AZ5" s="555"/>
      <c r="BA5" s="555"/>
      <c r="BB5" s="580" t="s">
        <v>595</v>
      </c>
      <c r="BC5" s="555"/>
      <c r="BD5" s="580" t="s">
        <v>595</v>
      </c>
      <c r="BE5" s="639"/>
      <c r="BF5" s="639"/>
      <c r="BG5" s="639"/>
      <c r="BH5" s="639"/>
      <c r="BI5" s="639"/>
      <c r="BJ5" s="639"/>
      <c r="BK5" s="639"/>
      <c r="BL5" s="639"/>
    </row>
    <row r="6">
      <c r="A6" s="549" t="s">
        <v>172</v>
      </c>
      <c r="B6" s="555"/>
      <c r="C6" s="243"/>
      <c r="D6" s="555" t="s">
        <v>595</v>
      </c>
      <c r="E6" s="555"/>
      <c r="F6" s="243" t="s">
        <v>595</v>
      </c>
      <c r="G6" s="555" t="s">
        <v>595</v>
      </c>
      <c r="H6" s="555"/>
      <c r="I6" s="555"/>
      <c r="J6" s="243" t="s">
        <v>595</v>
      </c>
      <c r="K6" s="243"/>
      <c r="L6" s="555"/>
      <c r="M6" s="555" t="s">
        <v>595</v>
      </c>
      <c r="N6" s="555"/>
      <c r="O6" s="243" t="s">
        <v>595</v>
      </c>
      <c r="P6" s="555"/>
      <c r="Q6" s="555"/>
      <c r="R6" s="555"/>
      <c r="S6" s="243"/>
      <c r="T6" s="555"/>
      <c r="U6" s="555"/>
      <c r="V6" s="555"/>
      <c r="W6" s="243"/>
      <c r="X6" s="555"/>
      <c r="Y6" s="243" t="s">
        <v>595</v>
      </c>
      <c r="Z6" s="243"/>
      <c r="AA6" s="555"/>
      <c r="AB6" s="555"/>
      <c r="AC6" s="555"/>
      <c r="AD6" s="555" t="s">
        <v>595</v>
      </c>
      <c r="AE6" s="555" t="s">
        <v>595</v>
      </c>
      <c r="AF6" s="555" t="s">
        <v>595</v>
      </c>
      <c r="AG6" s="555" t="s">
        <v>595</v>
      </c>
      <c r="AH6" s="555"/>
      <c r="AI6" s="555" t="s">
        <v>595</v>
      </c>
      <c r="AJ6" s="555" t="s">
        <v>595</v>
      </c>
      <c r="AK6" s="555"/>
      <c r="AL6" s="555"/>
      <c r="AM6" s="555"/>
      <c r="AN6" s="555"/>
      <c r="AO6" s="555"/>
      <c r="AP6" s="250" t="str">
        <f t="shared" si="1"/>
        <v>X</v>
      </c>
      <c r="AQ6" s="250" t="s">
        <v>595</v>
      </c>
      <c r="AR6" s="638"/>
      <c r="AS6" s="555"/>
      <c r="AT6" s="555"/>
      <c r="AU6" s="555"/>
      <c r="AV6" s="555"/>
      <c r="AW6" s="555"/>
      <c r="AX6" s="555"/>
      <c r="AY6" s="555"/>
      <c r="AZ6" s="580" t="s">
        <v>595</v>
      </c>
      <c r="BA6" s="555"/>
      <c r="BB6" s="555"/>
      <c r="BC6" s="555"/>
      <c r="BD6" s="580" t="s">
        <v>595</v>
      </c>
      <c r="BE6" s="639"/>
      <c r="BF6" s="639"/>
      <c r="BG6" s="639"/>
      <c r="BH6" s="639"/>
      <c r="BI6" s="639"/>
      <c r="BJ6" s="639"/>
      <c r="BK6" s="639"/>
      <c r="BL6" s="639"/>
    </row>
    <row r="7">
      <c r="A7" s="549" t="s">
        <v>177</v>
      </c>
      <c r="B7" s="555" t="s">
        <v>595</v>
      </c>
      <c r="C7" s="243"/>
      <c r="D7" s="555"/>
      <c r="E7" s="555" t="s">
        <v>595</v>
      </c>
      <c r="F7" s="243" t="s">
        <v>595</v>
      </c>
      <c r="G7" s="555" t="s">
        <v>595</v>
      </c>
      <c r="H7" s="555" t="s">
        <v>766</v>
      </c>
      <c r="I7" s="555" t="s">
        <v>766</v>
      </c>
      <c r="J7" s="243" t="s">
        <v>766</v>
      </c>
      <c r="K7" s="243" t="s">
        <v>766</v>
      </c>
      <c r="L7" s="555" t="s">
        <v>766</v>
      </c>
      <c r="M7" s="555" t="s">
        <v>595</v>
      </c>
      <c r="N7" s="555" t="s">
        <v>766</v>
      </c>
      <c r="O7" s="243" t="s">
        <v>595</v>
      </c>
      <c r="P7" s="555" t="s">
        <v>766</v>
      </c>
      <c r="Q7" s="555" t="s">
        <v>766</v>
      </c>
      <c r="R7" s="555" t="s">
        <v>766</v>
      </c>
      <c r="S7" s="243" t="s">
        <v>766</v>
      </c>
      <c r="T7" s="555" t="s">
        <v>766</v>
      </c>
      <c r="U7" s="555" t="s">
        <v>766</v>
      </c>
      <c r="V7" s="555" t="s">
        <v>595</v>
      </c>
      <c r="W7" s="243" t="s">
        <v>766</v>
      </c>
      <c r="X7" s="555" t="s">
        <v>766</v>
      </c>
      <c r="Y7" s="243" t="s">
        <v>766</v>
      </c>
      <c r="Z7" s="243" t="s">
        <v>766</v>
      </c>
      <c r="AA7" s="555" t="s">
        <v>595</v>
      </c>
      <c r="AB7" s="555" t="s">
        <v>766</v>
      </c>
      <c r="AC7" s="555" t="s">
        <v>766</v>
      </c>
      <c r="AD7" s="555" t="s">
        <v>766</v>
      </c>
      <c r="AE7" s="555" t="s">
        <v>766</v>
      </c>
      <c r="AF7" s="555" t="s">
        <v>595</v>
      </c>
      <c r="AG7" s="555" t="s">
        <v>766</v>
      </c>
      <c r="AH7" s="555" t="s">
        <v>766</v>
      </c>
      <c r="AI7" s="555" t="s">
        <v>766</v>
      </c>
      <c r="AJ7" s="555" t="s">
        <v>766</v>
      </c>
      <c r="AK7" s="555" t="s">
        <v>595</v>
      </c>
      <c r="AL7" s="555" t="s">
        <v>595</v>
      </c>
      <c r="AM7" s="555" t="s">
        <v>766</v>
      </c>
      <c r="AN7" s="555"/>
      <c r="AO7" s="555"/>
      <c r="AP7" s="250" t="str">
        <f t="shared" si="1"/>
        <v>X</v>
      </c>
      <c r="AQ7" s="250" t="s">
        <v>595</v>
      </c>
      <c r="AR7" s="638"/>
      <c r="AS7" s="555"/>
      <c r="AT7" s="580" t="s">
        <v>595</v>
      </c>
      <c r="AU7" s="555"/>
      <c r="AV7" s="555"/>
      <c r="AW7" s="580" t="s">
        <v>595</v>
      </c>
      <c r="AX7" s="555"/>
      <c r="AY7" s="555"/>
      <c r="AZ7" s="555"/>
      <c r="BA7" s="555"/>
      <c r="BB7" s="555"/>
      <c r="BC7" s="555"/>
      <c r="BD7" s="555"/>
      <c r="BE7" s="555"/>
      <c r="BF7" s="555"/>
      <c r="BG7" s="555"/>
      <c r="BH7" s="555"/>
      <c r="BI7" s="555"/>
      <c r="BJ7" s="555"/>
      <c r="BK7" s="555"/>
      <c r="BL7" s="555"/>
    </row>
    <row r="8">
      <c r="A8" s="549" t="s">
        <v>179</v>
      </c>
      <c r="B8" s="555" t="s">
        <v>595</v>
      </c>
      <c r="C8" s="243" t="s">
        <v>595</v>
      </c>
      <c r="D8" s="555" t="s">
        <v>595</v>
      </c>
      <c r="E8" s="555" t="s">
        <v>595</v>
      </c>
      <c r="F8" s="243" t="s">
        <v>595</v>
      </c>
      <c r="G8" s="555" t="s">
        <v>595</v>
      </c>
      <c r="H8" s="555" t="s">
        <v>595</v>
      </c>
      <c r="I8" s="555" t="s">
        <v>766</v>
      </c>
      <c r="J8" s="243" t="s">
        <v>595</v>
      </c>
      <c r="K8" s="243" t="s">
        <v>595</v>
      </c>
      <c r="L8" s="555" t="s">
        <v>766</v>
      </c>
      <c r="M8" s="555" t="s">
        <v>766</v>
      </c>
      <c r="N8" s="555" t="s">
        <v>766</v>
      </c>
      <c r="O8" s="243" t="s">
        <v>595</v>
      </c>
      <c r="P8" s="555" t="s">
        <v>595</v>
      </c>
      <c r="Q8" s="555" t="s">
        <v>595</v>
      </c>
      <c r="R8" s="555" t="s">
        <v>595</v>
      </c>
      <c r="S8" s="243" t="s">
        <v>595</v>
      </c>
      <c r="T8" s="555" t="s">
        <v>595</v>
      </c>
      <c r="U8" s="555" t="s">
        <v>595</v>
      </c>
      <c r="V8" s="555" t="s">
        <v>595</v>
      </c>
      <c r="W8" s="243" t="s">
        <v>595</v>
      </c>
      <c r="X8" s="555" t="s">
        <v>595</v>
      </c>
      <c r="Y8" s="243" t="s">
        <v>595</v>
      </c>
      <c r="Z8" s="243" t="s">
        <v>595</v>
      </c>
      <c r="AA8" s="555" t="s">
        <v>595</v>
      </c>
      <c r="AB8" s="555" t="s">
        <v>595</v>
      </c>
      <c r="AC8" s="555" t="s">
        <v>595</v>
      </c>
      <c r="AD8" s="555" t="s">
        <v>595</v>
      </c>
      <c r="AE8" s="555" t="s">
        <v>595</v>
      </c>
      <c r="AF8" s="555" t="s">
        <v>766</v>
      </c>
      <c r="AG8" s="555" t="s">
        <v>595</v>
      </c>
      <c r="AH8" s="555" t="s">
        <v>595</v>
      </c>
      <c r="AI8" s="555" t="s">
        <v>595</v>
      </c>
      <c r="AJ8" s="555" t="s">
        <v>595</v>
      </c>
      <c r="AK8" s="555" t="s">
        <v>766</v>
      </c>
      <c r="AL8" s="555" t="s">
        <v>766</v>
      </c>
      <c r="AM8" s="555" t="s">
        <v>595</v>
      </c>
      <c r="AN8" s="555"/>
      <c r="AO8" s="555"/>
      <c r="AP8" s="250" t="str">
        <f t="shared" si="1"/>
        <v>X</v>
      </c>
      <c r="AQ8" s="250" t="s">
        <v>595</v>
      </c>
      <c r="AR8" s="638"/>
      <c r="AS8" s="555"/>
      <c r="AT8" s="555"/>
      <c r="AU8" s="555"/>
      <c r="AV8" s="580" t="s">
        <v>595</v>
      </c>
      <c r="AW8" s="555"/>
      <c r="AX8" s="580" t="s">
        <v>595</v>
      </c>
      <c r="AY8" s="580" t="s">
        <v>595</v>
      </c>
      <c r="AZ8" s="580"/>
      <c r="BA8" s="580" t="s">
        <v>595</v>
      </c>
      <c r="BB8" s="580" t="s">
        <v>595</v>
      </c>
      <c r="BC8" s="555"/>
      <c r="BD8" s="555"/>
      <c r="BE8" s="555"/>
      <c r="BF8" s="555"/>
      <c r="BG8" s="555"/>
      <c r="BH8" s="555"/>
      <c r="BI8" s="555"/>
      <c r="BJ8" s="555"/>
      <c r="BK8" s="555"/>
      <c r="BL8" s="555"/>
    </row>
    <row r="9">
      <c r="A9" s="549" t="s">
        <v>181</v>
      </c>
      <c r="B9" s="555"/>
      <c r="C9" s="243"/>
      <c r="D9" s="555" t="s">
        <v>595</v>
      </c>
      <c r="E9" s="555" t="s">
        <v>595</v>
      </c>
      <c r="F9" s="243" t="s">
        <v>595</v>
      </c>
      <c r="G9" s="555" t="s">
        <v>595</v>
      </c>
      <c r="H9" s="555" t="s">
        <v>595</v>
      </c>
      <c r="I9" s="555"/>
      <c r="J9" s="243"/>
      <c r="K9" s="243"/>
      <c r="L9" s="555"/>
      <c r="M9" s="555" t="s">
        <v>595</v>
      </c>
      <c r="N9" s="555"/>
      <c r="O9" s="243" t="s">
        <v>595</v>
      </c>
      <c r="P9" s="555"/>
      <c r="Q9" s="555"/>
      <c r="R9" s="555"/>
      <c r="S9" s="243"/>
      <c r="T9" s="555"/>
      <c r="U9" s="555"/>
      <c r="V9" s="555"/>
      <c r="W9" s="243"/>
      <c r="X9" s="555"/>
      <c r="Y9" s="243"/>
      <c r="Z9" s="243"/>
      <c r="AA9" s="555"/>
      <c r="AB9" s="555"/>
      <c r="AC9" s="555"/>
      <c r="AD9" s="555" t="s">
        <v>595</v>
      </c>
      <c r="AE9" s="555" t="s">
        <v>595</v>
      </c>
      <c r="AF9" s="555" t="s">
        <v>595</v>
      </c>
      <c r="AG9" s="555" t="s">
        <v>595</v>
      </c>
      <c r="AH9" s="555"/>
      <c r="AI9" s="555"/>
      <c r="AJ9" s="555"/>
      <c r="AK9" s="555"/>
      <c r="AL9" s="555" t="s">
        <v>595</v>
      </c>
      <c r="AM9" s="555"/>
      <c r="AN9" s="555"/>
      <c r="AO9" s="555"/>
      <c r="AP9" s="250" t="str">
        <f t="shared" si="1"/>
        <v>X</v>
      </c>
      <c r="AQ9" s="250" t="s">
        <v>595</v>
      </c>
      <c r="AR9" s="638"/>
      <c r="AS9" s="580" t="s">
        <v>595</v>
      </c>
      <c r="AT9" s="580" t="s">
        <v>595</v>
      </c>
      <c r="AU9" s="555"/>
      <c r="AV9" s="555"/>
      <c r="AW9" s="580" t="s">
        <v>595</v>
      </c>
      <c r="AX9" s="555"/>
      <c r="AY9" s="555"/>
      <c r="AZ9" s="555"/>
      <c r="BA9" s="555"/>
      <c r="BB9" s="555"/>
      <c r="BC9" s="555"/>
      <c r="BD9" s="555"/>
      <c r="BE9" s="555"/>
      <c r="BF9" s="555"/>
      <c r="BG9" s="555"/>
      <c r="BH9" s="555"/>
      <c r="BI9" s="555"/>
      <c r="BJ9" s="555"/>
      <c r="BK9" s="555"/>
      <c r="BL9" s="555"/>
    </row>
    <row r="10">
      <c r="A10" s="549" t="s">
        <v>182</v>
      </c>
      <c r="B10" s="555" t="s">
        <v>766</v>
      </c>
      <c r="C10" s="243" t="s">
        <v>595</v>
      </c>
      <c r="D10" s="555" t="s">
        <v>766</v>
      </c>
      <c r="E10" s="555" t="s">
        <v>766</v>
      </c>
      <c r="F10" s="243" t="s">
        <v>595</v>
      </c>
      <c r="G10" s="555" t="s">
        <v>595</v>
      </c>
      <c r="H10" s="555" t="s">
        <v>595</v>
      </c>
      <c r="I10" s="555" t="s">
        <v>766</v>
      </c>
      <c r="J10" s="243" t="s">
        <v>766</v>
      </c>
      <c r="K10" s="243" t="s">
        <v>766</v>
      </c>
      <c r="L10" s="555" t="s">
        <v>766</v>
      </c>
      <c r="M10" s="555" t="s">
        <v>766</v>
      </c>
      <c r="N10" s="555" t="s">
        <v>595</v>
      </c>
      <c r="O10" s="243" t="s">
        <v>766</v>
      </c>
      <c r="P10" s="555" t="s">
        <v>595</v>
      </c>
      <c r="Q10" s="555" t="s">
        <v>766</v>
      </c>
      <c r="R10" s="555" t="s">
        <v>766</v>
      </c>
      <c r="S10" s="243" t="s">
        <v>766</v>
      </c>
      <c r="T10" s="555" t="s">
        <v>595</v>
      </c>
      <c r="U10" s="555" t="s">
        <v>766</v>
      </c>
      <c r="V10" s="555" t="s">
        <v>766</v>
      </c>
      <c r="W10" s="243" t="s">
        <v>595</v>
      </c>
      <c r="X10" s="555" t="s">
        <v>595</v>
      </c>
      <c r="Y10" s="243" t="s">
        <v>595</v>
      </c>
      <c r="Z10" s="243" t="s">
        <v>595</v>
      </c>
      <c r="AA10" s="555" t="s">
        <v>766</v>
      </c>
      <c r="AB10" s="555" t="s">
        <v>766</v>
      </c>
      <c r="AC10" s="555" t="s">
        <v>766</v>
      </c>
      <c r="AD10" s="555" t="s">
        <v>595</v>
      </c>
      <c r="AE10" s="555" t="s">
        <v>595</v>
      </c>
      <c r="AF10" s="555" t="s">
        <v>766</v>
      </c>
      <c r="AG10" s="555" t="s">
        <v>595</v>
      </c>
      <c r="AH10" s="555" t="s">
        <v>766</v>
      </c>
      <c r="AI10" s="555" t="s">
        <v>595</v>
      </c>
      <c r="AJ10" s="555" t="s">
        <v>766</v>
      </c>
      <c r="AK10" s="555" t="s">
        <v>766</v>
      </c>
      <c r="AL10" s="555" t="s">
        <v>766</v>
      </c>
      <c r="AM10" s="555" t="s">
        <v>766</v>
      </c>
      <c r="AN10" s="555"/>
      <c r="AO10" s="555"/>
      <c r="AP10" s="250" t="str">
        <f t="shared" si="1"/>
        <v>X</v>
      </c>
      <c r="AQ10" s="250" t="s">
        <v>595</v>
      </c>
      <c r="AR10" s="638"/>
      <c r="AS10" s="555"/>
      <c r="AT10" s="555"/>
      <c r="AU10" s="555"/>
      <c r="AV10" s="555"/>
      <c r="AW10" s="555"/>
      <c r="AX10" s="555"/>
      <c r="AY10" s="555"/>
      <c r="AZ10" s="580" t="s">
        <v>595</v>
      </c>
      <c r="BA10" s="555"/>
      <c r="BB10" s="580" t="s">
        <v>595</v>
      </c>
      <c r="BC10" s="555"/>
      <c r="BD10" s="580" t="s">
        <v>595</v>
      </c>
      <c r="BE10" s="555"/>
      <c r="BF10" s="555"/>
      <c r="BG10" s="555"/>
      <c r="BH10" s="555"/>
      <c r="BI10" s="555"/>
      <c r="BJ10" s="555"/>
      <c r="BK10" s="555"/>
      <c r="BL10" s="555"/>
    </row>
    <row r="11">
      <c r="A11" s="549" t="s">
        <v>190</v>
      </c>
      <c r="B11" s="555" t="s">
        <v>766</v>
      </c>
      <c r="C11" s="243" t="s">
        <v>766</v>
      </c>
      <c r="D11" s="555" t="s">
        <v>766</v>
      </c>
      <c r="E11" s="555" t="s">
        <v>595</v>
      </c>
      <c r="F11" s="243" t="s">
        <v>595</v>
      </c>
      <c r="G11" s="555" t="s">
        <v>595</v>
      </c>
      <c r="H11" s="555" t="s">
        <v>766</v>
      </c>
      <c r="I11" s="555" t="s">
        <v>766</v>
      </c>
      <c r="J11" s="243" t="s">
        <v>766</v>
      </c>
      <c r="K11" s="243" t="s">
        <v>766</v>
      </c>
      <c r="L11" s="555" t="s">
        <v>595</v>
      </c>
      <c r="M11" s="555" t="s">
        <v>595</v>
      </c>
      <c r="N11" s="555" t="s">
        <v>595</v>
      </c>
      <c r="O11" s="243" t="s">
        <v>766</v>
      </c>
      <c r="P11" s="555" t="s">
        <v>766</v>
      </c>
      <c r="Q11" s="555" t="s">
        <v>766</v>
      </c>
      <c r="R11" s="555" t="s">
        <v>766</v>
      </c>
      <c r="S11" s="243" t="s">
        <v>595</v>
      </c>
      <c r="T11" s="555" t="s">
        <v>766</v>
      </c>
      <c r="U11" s="555" t="s">
        <v>766</v>
      </c>
      <c r="V11" s="555" t="s">
        <v>595</v>
      </c>
      <c r="W11" s="243" t="s">
        <v>766</v>
      </c>
      <c r="X11" s="555" t="s">
        <v>766</v>
      </c>
      <c r="Y11" s="243" t="s">
        <v>766</v>
      </c>
      <c r="Z11" s="243" t="s">
        <v>766</v>
      </c>
      <c r="AA11" s="555" t="s">
        <v>595</v>
      </c>
      <c r="AB11" s="555" t="s">
        <v>766</v>
      </c>
      <c r="AC11" s="555" t="s">
        <v>766</v>
      </c>
      <c r="AD11" s="555" t="s">
        <v>595</v>
      </c>
      <c r="AE11" s="555" t="s">
        <v>595</v>
      </c>
      <c r="AF11" s="555" t="s">
        <v>595</v>
      </c>
      <c r="AG11" s="555" t="s">
        <v>766</v>
      </c>
      <c r="AH11" s="555" t="s">
        <v>766</v>
      </c>
      <c r="AI11" s="555" t="s">
        <v>595</v>
      </c>
      <c r="AJ11" s="555" t="s">
        <v>766</v>
      </c>
      <c r="AK11" s="555" t="s">
        <v>595</v>
      </c>
      <c r="AL11" s="555" t="s">
        <v>595</v>
      </c>
      <c r="AM11" s="555" t="s">
        <v>766</v>
      </c>
      <c r="AN11" s="555"/>
      <c r="AO11" s="555"/>
      <c r="AP11" s="250" t="str">
        <f t="shared" si="1"/>
        <v>X</v>
      </c>
      <c r="AQ11" s="250" t="s">
        <v>595</v>
      </c>
      <c r="AR11" s="638"/>
      <c r="AS11" s="555"/>
      <c r="AT11" s="580" t="s">
        <v>595</v>
      </c>
      <c r="AU11" s="555"/>
      <c r="AV11" s="555"/>
      <c r="AW11" s="580" t="s">
        <v>595</v>
      </c>
      <c r="AX11" s="555"/>
      <c r="AY11" s="555"/>
      <c r="AZ11" s="555"/>
      <c r="BA11" s="555"/>
      <c r="BB11" s="555"/>
      <c r="BC11" s="555"/>
      <c r="BD11" s="580" t="s">
        <v>595</v>
      </c>
      <c r="BE11" s="555"/>
      <c r="BF11" s="555"/>
      <c r="BG11" s="555"/>
      <c r="BH11" s="555"/>
      <c r="BI11" s="555"/>
      <c r="BJ11" s="555"/>
      <c r="BK11" s="555"/>
      <c r="BL11" s="555"/>
    </row>
    <row r="12">
      <c r="A12" s="549" t="s">
        <v>196</v>
      </c>
      <c r="B12" s="555" t="s">
        <v>766</v>
      </c>
      <c r="C12" s="243" t="s">
        <v>766</v>
      </c>
      <c r="D12" s="555" t="s">
        <v>766</v>
      </c>
      <c r="E12" s="555" t="s">
        <v>595</v>
      </c>
      <c r="F12" s="243" t="s">
        <v>595</v>
      </c>
      <c r="G12" s="555" t="s">
        <v>595</v>
      </c>
      <c r="H12" s="555" t="s">
        <v>766</v>
      </c>
      <c r="I12" s="555" t="s">
        <v>766</v>
      </c>
      <c r="J12" s="243" t="s">
        <v>766</v>
      </c>
      <c r="K12" s="243" t="s">
        <v>766</v>
      </c>
      <c r="L12" s="555" t="s">
        <v>766</v>
      </c>
      <c r="M12" s="555" t="s">
        <v>595</v>
      </c>
      <c r="N12" s="555" t="s">
        <v>766</v>
      </c>
      <c r="O12" s="243" t="s">
        <v>595</v>
      </c>
      <c r="P12" s="555" t="s">
        <v>766</v>
      </c>
      <c r="Q12" s="555" t="s">
        <v>595</v>
      </c>
      <c r="R12" s="555" t="s">
        <v>595</v>
      </c>
      <c r="S12" s="243" t="s">
        <v>766</v>
      </c>
      <c r="T12" s="555" t="s">
        <v>766</v>
      </c>
      <c r="U12" s="555" t="s">
        <v>766</v>
      </c>
      <c r="V12" s="555" t="s">
        <v>766</v>
      </c>
      <c r="W12" s="243" t="s">
        <v>766</v>
      </c>
      <c r="X12" s="555" t="s">
        <v>766</v>
      </c>
      <c r="Y12" s="243" t="s">
        <v>766</v>
      </c>
      <c r="Z12" s="243" t="s">
        <v>766</v>
      </c>
      <c r="AA12" s="555" t="s">
        <v>766</v>
      </c>
      <c r="AB12" s="555" t="s">
        <v>766</v>
      </c>
      <c r="AC12" s="555" t="s">
        <v>766</v>
      </c>
      <c r="AD12" s="555" t="s">
        <v>595</v>
      </c>
      <c r="AE12" s="555" t="s">
        <v>595</v>
      </c>
      <c r="AF12" s="555" t="s">
        <v>595</v>
      </c>
      <c r="AG12" s="555" t="s">
        <v>766</v>
      </c>
      <c r="AH12" s="555" t="s">
        <v>766</v>
      </c>
      <c r="AI12" s="555" t="s">
        <v>766</v>
      </c>
      <c r="AJ12" s="555" t="s">
        <v>766</v>
      </c>
      <c r="AK12" s="555" t="s">
        <v>595</v>
      </c>
      <c r="AL12" s="555" t="s">
        <v>595</v>
      </c>
      <c r="AM12" s="555" t="s">
        <v>766</v>
      </c>
      <c r="AN12" s="555"/>
      <c r="AO12" s="555"/>
      <c r="AP12" s="250" t="str">
        <f t="shared" si="1"/>
        <v>X</v>
      </c>
      <c r="AQ12" s="250" t="s">
        <v>595</v>
      </c>
      <c r="AR12" s="638"/>
      <c r="AS12" s="580" t="s">
        <v>595</v>
      </c>
      <c r="AT12" s="580" t="s">
        <v>595</v>
      </c>
      <c r="AU12" s="555"/>
      <c r="AV12" s="555"/>
      <c r="AW12" s="555"/>
      <c r="AX12" s="555"/>
      <c r="AY12" s="555"/>
      <c r="AZ12" s="555"/>
      <c r="BA12" s="555"/>
      <c r="BB12" s="555"/>
      <c r="BC12" s="555"/>
      <c r="BD12" s="555"/>
      <c r="BE12" s="555"/>
      <c r="BF12" s="555"/>
      <c r="BG12" s="555"/>
      <c r="BH12" s="555"/>
      <c r="BI12" s="555"/>
      <c r="BJ12" s="555"/>
      <c r="BK12" s="555"/>
      <c r="BL12" s="555"/>
    </row>
    <row r="13">
      <c r="A13" s="549" t="s">
        <v>205</v>
      </c>
      <c r="B13" s="555" t="s">
        <v>595</v>
      </c>
      <c r="C13" s="243"/>
      <c r="D13" s="555" t="s">
        <v>595</v>
      </c>
      <c r="E13" s="555" t="s">
        <v>595</v>
      </c>
      <c r="F13" s="243" t="s">
        <v>595</v>
      </c>
      <c r="G13" s="555" t="s">
        <v>595</v>
      </c>
      <c r="H13" s="555"/>
      <c r="I13" s="555"/>
      <c r="J13" s="243"/>
      <c r="K13" s="243"/>
      <c r="L13" s="555"/>
      <c r="M13" s="555" t="s">
        <v>595</v>
      </c>
      <c r="N13" s="555" t="s">
        <v>595</v>
      </c>
      <c r="O13" s="243" t="s">
        <v>595</v>
      </c>
      <c r="P13" s="555"/>
      <c r="Q13" s="555"/>
      <c r="R13" s="555" t="s">
        <v>595</v>
      </c>
      <c r="S13" s="243"/>
      <c r="T13" s="555"/>
      <c r="U13" s="555" t="s">
        <v>595</v>
      </c>
      <c r="V13" s="555"/>
      <c r="W13" s="243"/>
      <c r="X13" s="555"/>
      <c r="Y13" s="243"/>
      <c r="Z13" s="243"/>
      <c r="AA13" s="555" t="s">
        <v>595</v>
      </c>
      <c r="AB13" s="555"/>
      <c r="AC13" s="555"/>
      <c r="AD13" s="555"/>
      <c r="AE13" s="555"/>
      <c r="AF13" s="555" t="s">
        <v>595</v>
      </c>
      <c r="AG13" s="555"/>
      <c r="AH13" s="555" t="s">
        <v>595</v>
      </c>
      <c r="AI13" s="555"/>
      <c r="AJ13" s="555"/>
      <c r="AK13" s="555" t="s">
        <v>595</v>
      </c>
      <c r="AL13" s="555" t="s">
        <v>595</v>
      </c>
      <c r="AM13" s="555"/>
      <c r="AN13" s="555"/>
      <c r="AO13" s="555"/>
      <c r="AP13" s="250" t="str">
        <f t="shared" si="1"/>
        <v>X</v>
      </c>
      <c r="AQ13" s="250" t="s">
        <v>595</v>
      </c>
      <c r="AR13" s="638"/>
      <c r="AS13" s="555"/>
      <c r="AT13" s="580" t="s">
        <v>595</v>
      </c>
      <c r="AU13" s="555"/>
      <c r="AV13" s="555"/>
      <c r="AW13" s="555"/>
      <c r="AX13" s="555"/>
      <c r="AY13" s="555"/>
      <c r="AZ13" s="555"/>
      <c r="BA13" s="555"/>
      <c r="BB13" s="555"/>
      <c r="BC13" s="555"/>
      <c r="BD13" s="580" t="s">
        <v>595</v>
      </c>
      <c r="BE13" s="555"/>
      <c r="BF13" s="555"/>
      <c r="BG13" s="555"/>
      <c r="BH13" s="555"/>
      <c r="BI13" s="555"/>
      <c r="BJ13" s="555"/>
      <c r="BK13" s="555"/>
      <c r="BL13" s="555"/>
    </row>
    <row r="14">
      <c r="A14" s="549" t="s">
        <v>211</v>
      </c>
      <c r="B14" s="555"/>
      <c r="C14" s="243"/>
      <c r="D14" s="555" t="s">
        <v>595</v>
      </c>
      <c r="E14" s="555" t="s">
        <v>595</v>
      </c>
      <c r="F14" s="243" t="s">
        <v>595</v>
      </c>
      <c r="G14" s="555" t="s">
        <v>595</v>
      </c>
      <c r="H14" s="555" t="s">
        <v>595</v>
      </c>
      <c r="I14" s="555"/>
      <c r="J14" s="243" t="s">
        <v>595</v>
      </c>
      <c r="K14" s="243"/>
      <c r="L14" s="555"/>
      <c r="M14" s="555"/>
      <c r="N14" s="555" t="s">
        <v>595</v>
      </c>
      <c r="O14" s="243" t="s">
        <v>595</v>
      </c>
      <c r="P14" s="555" t="s">
        <v>595</v>
      </c>
      <c r="Q14" s="555" t="s">
        <v>595</v>
      </c>
      <c r="R14" s="555"/>
      <c r="S14" s="243"/>
      <c r="T14" s="555"/>
      <c r="U14" s="555"/>
      <c r="V14" s="555" t="s">
        <v>595</v>
      </c>
      <c r="W14" s="243"/>
      <c r="X14" s="555" t="s">
        <v>595</v>
      </c>
      <c r="Y14" s="243" t="s">
        <v>595</v>
      </c>
      <c r="Z14" s="243"/>
      <c r="AA14" s="555" t="s">
        <v>595</v>
      </c>
      <c r="AB14" s="555"/>
      <c r="AC14" s="555"/>
      <c r="AD14" s="555" t="s">
        <v>595</v>
      </c>
      <c r="AE14" s="555" t="s">
        <v>595</v>
      </c>
      <c r="AF14" s="555" t="s">
        <v>595</v>
      </c>
      <c r="AG14" s="555" t="s">
        <v>595</v>
      </c>
      <c r="AH14" s="555"/>
      <c r="AI14" s="555" t="s">
        <v>595</v>
      </c>
      <c r="AJ14" s="555" t="s">
        <v>595</v>
      </c>
      <c r="AK14" s="555" t="s">
        <v>595</v>
      </c>
      <c r="AL14" s="555" t="s">
        <v>595</v>
      </c>
      <c r="AM14" s="555"/>
      <c r="AN14" s="555"/>
      <c r="AO14" s="555"/>
      <c r="AP14" s="250" t="str">
        <f t="shared" si="1"/>
        <v>X</v>
      </c>
      <c r="AQ14" s="250" t="s">
        <v>595</v>
      </c>
      <c r="AR14" s="638"/>
      <c r="AS14" s="555"/>
      <c r="AT14" s="555"/>
      <c r="AU14" s="555"/>
      <c r="AV14" s="580" t="s">
        <v>595</v>
      </c>
      <c r="AW14" s="555"/>
      <c r="AX14" s="555"/>
      <c r="AY14" s="580" t="s">
        <v>595</v>
      </c>
      <c r="AZ14" s="555"/>
      <c r="BA14" s="555"/>
      <c r="BB14" s="580" t="s">
        <v>595</v>
      </c>
      <c r="BC14" s="580" t="s">
        <v>595</v>
      </c>
      <c r="BD14" s="580" t="s">
        <v>595</v>
      </c>
      <c r="BE14" s="555"/>
      <c r="BF14" s="555"/>
      <c r="BG14" s="555"/>
      <c r="BH14" s="555"/>
      <c r="BI14" s="555"/>
      <c r="BJ14" s="555"/>
      <c r="BK14" s="555"/>
      <c r="BL14" s="555"/>
    </row>
    <row r="15">
      <c r="A15" s="549" t="s">
        <v>215</v>
      </c>
      <c r="B15" s="555"/>
      <c r="C15" s="243"/>
      <c r="D15" s="555"/>
      <c r="E15" s="555" t="s">
        <v>595</v>
      </c>
      <c r="F15" s="243" t="s">
        <v>595</v>
      </c>
      <c r="G15" s="555" t="s">
        <v>595</v>
      </c>
      <c r="H15" s="555"/>
      <c r="I15" s="555"/>
      <c r="J15" s="243"/>
      <c r="K15" s="243"/>
      <c r="L15" s="555" t="s">
        <v>595</v>
      </c>
      <c r="M15" s="555"/>
      <c r="N15" s="555"/>
      <c r="O15" s="243" t="s">
        <v>595</v>
      </c>
      <c r="P15" s="555" t="s">
        <v>595</v>
      </c>
      <c r="Q15" s="555" t="s">
        <v>595</v>
      </c>
      <c r="R15" s="555"/>
      <c r="S15" s="243"/>
      <c r="T15" s="555"/>
      <c r="U15" s="555"/>
      <c r="V15" s="555"/>
      <c r="W15" s="243"/>
      <c r="X15" s="555" t="s">
        <v>595</v>
      </c>
      <c r="Y15" s="243"/>
      <c r="Z15" s="243"/>
      <c r="AA15" s="555"/>
      <c r="AB15" s="555"/>
      <c r="AC15" s="555"/>
      <c r="AD15" s="555" t="s">
        <v>595</v>
      </c>
      <c r="AE15" s="555" t="s">
        <v>595</v>
      </c>
      <c r="AF15" s="555" t="s">
        <v>595</v>
      </c>
      <c r="AG15" s="555"/>
      <c r="AH15" s="555"/>
      <c r="AI15" s="555" t="s">
        <v>595</v>
      </c>
      <c r="AJ15" s="555"/>
      <c r="AK15" s="555"/>
      <c r="AL15" s="555" t="s">
        <v>595</v>
      </c>
      <c r="AM15" s="555" t="s">
        <v>595</v>
      </c>
      <c r="AN15" s="555"/>
      <c r="AO15" s="555"/>
      <c r="AP15" s="250" t="str">
        <f t="shared" si="1"/>
        <v>X</v>
      </c>
      <c r="AQ15" s="250" t="s">
        <v>595</v>
      </c>
      <c r="AR15" s="638"/>
      <c r="AS15" s="555"/>
      <c r="AT15" s="580" t="s">
        <v>595</v>
      </c>
      <c r="AU15" s="555"/>
      <c r="AV15" s="555"/>
      <c r="AW15" s="555"/>
      <c r="AX15" s="555"/>
      <c r="AY15" s="555"/>
      <c r="AZ15" s="555"/>
      <c r="BA15" s="555"/>
      <c r="BB15" s="580" t="s">
        <v>595</v>
      </c>
      <c r="BC15" s="555"/>
      <c r="BD15" s="555"/>
      <c r="BE15" s="555"/>
      <c r="BF15" s="555"/>
      <c r="BG15" s="555"/>
      <c r="BH15" s="555"/>
      <c r="BI15" s="555"/>
      <c r="BJ15" s="555"/>
      <c r="BK15" s="555"/>
      <c r="BL15" s="555"/>
    </row>
    <row r="16">
      <c r="A16" s="549" t="s">
        <v>219</v>
      </c>
      <c r="B16" s="555" t="s">
        <v>595</v>
      </c>
      <c r="C16" s="243" t="s">
        <v>766</v>
      </c>
      <c r="D16" s="555" t="s">
        <v>766</v>
      </c>
      <c r="E16" s="555" t="s">
        <v>595</v>
      </c>
      <c r="F16" s="243" t="s">
        <v>595</v>
      </c>
      <c r="G16" s="555" t="s">
        <v>595</v>
      </c>
      <c r="H16" s="555"/>
      <c r="I16" s="555" t="s">
        <v>766</v>
      </c>
      <c r="J16" s="243" t="s">
        <v>766</v>
      </c>
      <c r="K16" s="243" t="s">
        <v>595</v>
      </c>
      <c r="L16" s="555" t="s">
        <v>766</v>
      </c>
      <c r="M16" s="555" t="s">
        <v>766</v>
      </c>
      <c r="N16" s="555" t="s">
        <v>766</v>
      </c>
      <c r="O16" s="243" t="s">
        <v>595</v>
      </c>
      <c r="P16" s="555" t="s">
        <v>766</v>
      </c>
      <c r="Q16" s="555" t="s">
        <v>766</v>
      </c>
      <c r="R16" s="555" t="s">
        <v>766</v>
      </c>
      <c r="S16" s="243" t="s">
        <v>766</v>
      </c>
      <c r="T16" s="555" t="s">
        <v>595</v>
      </c>
      <c r="U16" s="555" t="s">
        <v>766</v>
      </c>
      <c r="V16" s="555" t="s">
        <v>766</v>
      </c>
      <c r="W16" s="243" t="s">
        <v>766</v>
      </c>
      <c r="X16" s="555" t="s">
        <v>766</v>
      </c>
      <c r="Y16" s="243" t="s">
        <v>595</v>
      </c>
      <c r="Z16" s="243" t="s">
        <v>766</v>
      </c>
      <c r="AA16" s="555" t="s">
        <v>766</v>
      </c>
      <c r="AB16" s="555" t="s">
        <v>595</v>
      </c>
      <c r="AC16" s="555" t="s">
        <v>595</v>
      </c>
      <c r="AD16" s="555" t="s">
        <v>595</v>
      </c>
      <c r="AE16" s="555" t="s">
        <v>595</v>
      </c>
      <c r="AF16" s="555" t="s">
        <v>595</v>
      </c>
      <c r="AG16" s="555" t="s">
        <v>595</v>
      </c>
      <c r="AH16" s="555" t="s">
        <v>766</v>
      </c>
      <c r="AI16" s="555" t="s">
        <v>766</v>
      </c>
      <c r="AJ16" s="555" t="s">
        <v>595</v>
      </c>
      <c r="AK16" s="555" t="s">
        <v>766</v>
      </c>
      <c r="AL16" s="555" t="s">
        <v>595</v>
      </c>
      <c r="AM16" s="555" t="s">
        <v>766</v>
      </c>
      <c r="AN16" s="555"/>
      <c r="AO16" s="555"/>
      <c r="AP16" s="250" t="str">
        <f t="shared" si="1"/>
        <v>X</v>
      </c>
      <c r="AQ16" s="250" t="s">
        <v>595</v>
      </c>
      <c r="AR16" s="638"/>
      <c r="AS16" s="580" t="s">
        <v>595</v>
      </c>
      <c r="AT16" s="580" t="s">
        <v>595</v>
      </c>
      <c r="AU16" s="555"/>
      <c r="AV16" s="555"/>
      <c r="AW16" s="555"/>
      <c r="AX16" s="580" t="s">
        <v>595</v>
      </c>
      <c r="AY16" s="555"/>
      <c r="AZ16" s="555"/>
      <c r="BA16" s="555"/>
      <c r="BB16" s="555"/>
      <c r="BC16" s="555"/>
      <c r="BD16" s="555"/>
      <c r="BE16" s="555"/>
      <c r="BF16" s="555"/>
      <c r="BG16" s="555"/>
      <c r="BH16" s="555"/>
      <c r="BI16" s="555"/>
      <c r="BJ16" s="555"/>
      <c r="BK16" s="555"/>
      <c r="BL16" s="555"/>
    </row>
    <row r="17">
      <c r="A17" s="549" t="s">
        <v>224</v>
      </c>
      <c r="B17" s="555" t="s">
        <v>595</v>
      </c>
      <c r="C17" s="243" t="s">
        <v>595</v>
      </c>
      <c r="D17" s="555" t="s">
        <v>595</v>
      </c>
      <c r="E17" s="555" t="s">
        <v>595</v>
      </c>
      <c r="F17" s="243" t="s">
        <v>595</v>
      </c>
      <c r="G17" s="555" t="s">
        <v>595</v>
      </c>
      <c r="H17" s="555" t="s">
        <v>595</v>
      </c>
      <c r="I17" s="555" t="s">
        <v>595</v>
      </c>
      <c r="J17" s="243" t="s">
        <v>595</v>
      </c>
      <c r="K17" s="243" t="s">
        <v>595</v>
      </c>
      <c r="L17" s="555"/>
      <c r="M17" s="555"/>
      <c r="N17" s="555"/>
      <c r="O17" s="243" t="s">
        <v>595</v>
      </c>
      <c r="P17" s="555"/>
      <c r="Q17" s="555"/>
      <c r="R17" s="555"/>
      <c r="S17" s="243"/>
      <c r="T17" s="555"/>
      <c r="U17" s="555" t="s">
        <v>595</v>
      </c>
      <c r="V17" s="555"/>
      <c r="W17" s="243" t="s">
        <v>595</v>
      </c>
      <c r="X17" s="555"/>
      <c r="Y17" s="243"/>
      <c r="Z17" s="243" t="s">
        <v>595</v>
      </c>
      <c r="AA17" s="555" t="s">
        <v>595</v>
      </c>
      <c r="AB17" s="555" t="s">
        <v>595</v>
      </c>
      <c r="AC17" s="555" t="s">
        <v>595</v>
      </c>
      <c r="AD17" s="555" t="s">
        <v>595</v>
      </c>
      <c r="AE17" s="555" t="s">
        <v>595</v>
      </c>
      <c r="AF17" s="555"/>
      <c r="AG17" s="555" t="s">
        <v>595</v>
      </c>
      <c r="AH17" s="555" t="s">
        <v>595</v>
      </c>
      <c r="AI17" s="555"/>
      <c r="AJ17" s="555" t="s">
        <v>595</v>
      </c>
      <c r="AK17" s="555"/>
      <c r="AL17" s="555" t="s">
        <v>595</v>
      </c>
      <c r="AM17" s="555" t="s">
        <v>595</v>
      </c>
      <c r="AN17" s="555"/>
      <c r="AO17" s="555"/>
      <c r="AP17" s="250" t="str">
        <f t="shared" si="1"/>
        <v>X</v>
      </c>
      <c r="AQ17" s="250" t="s">
        <v>595</v>
      </c>
      <c r="AR17" s="638"/>
      <c r="AS17" s="580" t="s">
        <v>595</v>
      </c>
      <c r="AT17" s="555"/>
      <c r="AU17" s="580" t="s">
        <v>595</v>
      </c>
      <c r="AV17" s="580" t="s">
        <v>595</v>
      </c>
      <c r="AW17" s="555"/>
      <c r="AX17" s="580" t="s">
        <v>595</v>
      </c>
      <c r="AY17" s="555"/>
      <c r="AZ17" s="555"/>
      <c r="BA17" s="580" t="s">
        <v>595</v>
      </c>
      <c r="BB17" s="555"/>
      <c r="BC17" s="580" t="s">
        <v>595</v>
      </c>
      <c r="BD17" s="555"/>
      <c r="BE17" s="555"/>
      <c r="BF17" s="555"/>
      <c r="BG17" s="555"/>
      <c r="BH17" s="555"/>
      <c r="BI17" s="555"/>
      <c r="BJ17" s="555"/>
      <c r="BK17" s="555"/>
      <c r="BL17" s="555"/>
    </row>
    <row r="18">
      <c r="A18" s="549" t="s">
        <v>228</v>
      </c>
      <c r="B18" s="555"/>
      <c r="C18" s="243"/>
      <c r="D18" s="555"/>
      <c r="E18" s="555"/>
      <c r="F18" s="243" t="s">
        <v>595</v>
      </c>
      <c r="G18" s="555" t="s">
        <v>595</v>
      </c>
      <c r="H18" s="555" t="s">
        <v>595</v>
      </c>
      <c r="I18" s="555"/>
      <c r="J18" s="243"/>
      <c r="K18" s="243"/>
      <c r="L18" s="555"/>
      <c r="M18" s="555"/>
      <c r="N18" s="555" t="s">
        <v>595</v>
      </c>
      <c r="O18" s="243"/>
      <c r="P18" s="555"/>
      <c r="Q18" s="555"/>
      <c r="R18" s="555"/>
      <c r="S18" s="243"/>
      <c r="T18" s="555" t="s">
        <v>595</v>
      </c>
      <c r="U18" s="555"/>
      <c r="V18" s="555"/>
      <c r="W18" s="243"/>
      <c r="X18" s="555" t="s">
        <v>595</v>
      </c>
      <c r="Y18" s="243" t="s">
        <v>595</v>
      </c>
      <c r="Z18" s="243"/>
      <c r="AA18" s="555"/>
      <c r="AB18" s="555"/>
      <c r="AC18" s="555"/>
      <c r="AD18" s="555" t="s">
        <v>595</v>
      </c>
      <c r="AE18" s="555" t="s">
        <v>595</v>
      </c>
      <c r="AF18" s="555"/>
      <c r="AG18" s="555" t="s">
        <v>595</v>
      </c>
      <c r="AH18" s="555"/>
      <c r="AI18" s="555" t="s">
        <v>595</v>
      </c>
      <c r="AJ18" s="555"/>
      <c r="AK18" s="555"/>
      <c r="AL18" s="555"/>
      <c r="AM18" s="555"/>
      <c r="AN18" s="555"/>
      <c r="AO18" s="555"/>
      <c r="AP18" s="250" t="str">
        <f t="shared" si="1"/>
        <v>X</v>
      </c>
      <c r="AQ18" s="250" t="s">
        <v>595</v>
      </c>
      <c r="AR18" s="638"/>
      <c r="AS18" s="555"/>
      <c r="AT18" s="555"/>
      <c r="AU18" s="555"/>
      <c r="AV18" s="555"/>
      <c r="AW18" s="555"/>
      <c r="AX18" s="555"/>
      <c r="AY18" s="555"/>
      <c r="AZ18" s="580" t="s">
        <v>595</v>
      </c>
      <c r="BA18" s="555"/>
      <c r="BB18" s="555"/>
      <c r="BC18" s="555"/>
      <c r="BD18" s="555"/>
      <c r="BE18" s="555"/>
      <c r="BF18" s="555"/>
      <c r="BG18" s="555"/>
      <c r="BH18" s="555"/>
      <c r="BI18" s="555"/>
      <c r="BJ18" s="555"/>
      <c r="BK18" s="555"/>
      <c r="BL18" s="555"/>
    </row>
    <row r="19">
      <c r="A19" s="549" t="s">
        <v>232</v>
      </c>
      <c r="B19" s="555" t="s">
        <v>766</v>
      </c>
      <c r="C19" s="243" t="s">
        <v>766</v>
      </c>
      <c r="D19" s="555" t="s">
        <v>766</v>
      </c>
      <c r="E19" s="555" t="s">
        <v>766</v>
      </c>
      <c r="F19" s="243" t="s">
        <v>595</v>
      </c>
      <c r="G19" s="555" t="s">
        <v>595</v>
      </c>
      <c r="H19" s="555" t="s">
        <v>595</v>
      </c>
      <c r="I19" s="555"/>
      <c r="J19" s="243" t="s">
        <v>766</v>
      </c>
      <c r="K19" s="243" t="s">
        <v>766</v>
      </c>
      <c r="L19" s="555" t="s">
        <v>766</v>
      </c>
      <c r="M19" s="555" t="s">
        <v>595</v>
      </c>
      <c r="N19" s="555" t="s">
        <v>595</v>
      </c>
      <c r="O19" s="243" t="s">
        <v>766</v>
      </c>
      <c r="P19" s="555" t="s">
        <v>766</v>
      </c>
      <c r="Q19" s="555" t="s">
        <v>766</v>
      </c>
      <c r="R19" s="555" t="s">
        <v>766</v>
      </c>
      <c r="S19" s="243" t="s">
        <v>766</v>
      </c>
      <c r="T19" s="555" t="s">
        <v>766</v>
      </c>
      <c r="U19" s="555" t="s">
        <v>766</v>
      </c>
      <c r="V19" s="555" t="s">
        <v>766</v>
      </c>
      <c r="W19" s="243" t="s">
        <v>595</v>
      </c>
      <c r="X19" s="555" t="s">
        <v>766</v>
      </c>
      <c r="Y19" s="243" t="s">
        <v>595</v>
      </c>
      <c r="Z19" s="243" t="s">
        <v>766</v>
      </c>
      <c r="AA19" s="555" t="s">
        <v>766</v>
      </c>
      <c r="AB19" s="555" t="s">
        <v>766</v>
      </c>
      <c r="AC19" s="555" t="s">
        <v>766</v>
      </c>
      <c r="AD19" s="555" t="s">
        <v>595</v>
      </c>
      <c r="AE19" s="555" t="s">
        <v>595</v>
      </c>
      <c r="AF19" s="555" t="s">
        <v>595</v>
      </c>
      <c r="AG19" s="555" t="s">
        <v>595</v>
      </c>
      <c r="AH19" s="555" t="s">
        <v>766</v>
      </c>
      <c r="AI19" s="555" t="s">
        <v>595</v>
      </c>
      <c r="AJ19" s="555" t="s">
        <v>766</v>
      </c>
      <c r="AK19" s="555" t="s">
        <v>766</v>
      </c>
      <c r="AL19" s="555" t="s">
        <v>766</v>
      </c>
      <c r="AM19" s="555" t="s">
        <v>766</v>
      </c>
      <c r="AN19" s="555"/>
      <c r="AO19" s="555"/>
      <c r="AP19" s="250" t="str">
        <f t="shared" si="1"/>
        <v>X</v>
      </c>
      <c r="AQ19" s="250" t="s">
        <v>595</v>
      </c>
      <c r="AR19" s="638"/>
      <c r="AS19" s="555"/>
      <c r="AT19" s="555"/>
      <c r="AU19" s="555"/>
      <c r="AV19" s="555"/>
      <c r="AW19" s="555"/>
      <c r="AX19" s="555"/>
      <c r="AY19" s="555"/>
      <c r="AZ19" s="580" t="s">
        <v>595</v>
      </c>
      <c r="BA19" s="555"/>
      <c r="BB19" s="555"/>
      <c r="BC19" s="555"/>
      <c r="BD19" s="580" t="s">
        <v>595</v>
      </c>
      <c r="BE19" s="555"/>
      <c r="BF19" s="555"/>
      <c r="BG19" s="555"/>
      <c r="BH19" s="555"/>
      <c r="BI19" s="555"/>
      <c r="BJ19" s="555"/>
      <c r="BK19" s="555"/>
      <c r="BL19" s="555"/>
    </row>
    <row r="20">
      <c r="A20" s="549" t="s">
        <v>233</v>
      </c>
      <c r="B20" s="555" t="s">
        <v>766</v>
      </c>
      <c r="C20" s="243" t="s">
        <v>766</v>
      </c>
      <c r="D20" s="555" t="s">
        <v>766</v>
      </c>
      <c r="E20" s="555" t="s">
        <v>595</v>
      </c>
      <c r="F20" s="243" t="s">
        <v>595</v>
      </c>
      <c r="G20" s="555" t="s">
        <v>595</v>
      </c>
      <c r="H20" s="555" t="s">
        <v>766</v>
      </c>
      <c r="I20" s="555" t="s">
        <v>766</v>
      </c>
      <c r="J20" s="243" t="s">
        <v>766</v>
      </c>
      <c r="K20" s="243" t="s">
        <v>766</v>
      </c>
      <c r="L20" s="555" t="s">
        <v>766</v>
      </c>
      <c r="M20" s="555" t="s">
        <v>595</v>
      </c>
      <c r="N20" s="555" t="s">
        <v>595</v>
      </c>
      <c r="O20" s="243" t="s">
        <v>595</v>
      </c>
      <c r="P20" s="555" t="s">
        <v>766</v>
      </c>
      <c r="Q20" s="555" t="s">
        <v>595</v>
      </c>
      <c r="R20" s="555" t="s">
        <v>766</v>
      </c>
      <c r="S20" s="243" t="s">
        <v>595</v>
      </c>
      <c r="T20" s="555" t="s">
        <v>766</v>
      </c>
      <c r="U20" s="555" t="s">
        <v>766</v>
      </c>
      <c r="V20" s="555" t="s">
        <v>595</v>
      </c>
      <c r="W20" s="243" t="s">
        <v>766</v>
      </c>
      <c r="X20" s="555" t="s">
        <v>766</v>
      </c>
      <c r="Y20" s="243" t="s">
        <v>766</v>
      </c>
      <c r="Z20" s="243" t="s">
        <v>766</v>
      </c>
      <c r="AA20" s="555" t="s">
        <v>595</v>
      </c>
      <c r="AB20" s="555" t="s">
        <v>766</v>
      </c>
      <c r="AC20" s="555"/>
      <c r="AD20" s="555" t="s">
        <v>595</v>
      </c>
      <c r="AE20" s="555" t="s">
        <v>595</v>
      </c>
      <c r="AF20" s="555" t="s">
        <v>595</v>
      </c>
      <c r="AG20" s="555" t="s">
        <v>766</v>
      </c>
      <c r="AH20" s="555" t="s">
        <v>766</v>
      </c>
      <c r="AI20" s="555" t="s">
        <v>595</v>
      </c>
      <c r="AJ20" s="555" t="s">
        <v>595</v>
      </c>
      <c r="AK20" s="555" t="s">
        <v>595</v>
      </c>
      <c r="AL20" s="555" t="s">
        <v>595</v>
      </c>
      <c r="AM20" s="555" t="s">
        <v>766</v>
      </c>
      <c r="AN20" s="555"/>
      <c r="AO20" s="555"/>
      <c r="AP20" s="250" t="str">
        <f t="shared" si="1"/>
        <v>X</v>
      </c>
      <c r="AQ20" s="250" t="s">
        <v>595</v>
      </c>
      <c r="AR20" s="638"/>
      <c r="AS20" s="555"/>
      <c r="AT20" s="580" t="s">
        <v>595</v>
      </c>
      <c r="AU20" s="555"/>
      <c r="AV20" s="555"/>
      <c r="AW20" s="580" t="s">
        <v>595</v>
      </c>
      <c r="AX20" s="580" t="s">
        <v>595</v>
      </c>
      <c r="AY20" s="555"/>
      <c r="AZ20" s="555"/>
      <c r="BA20" s="555"/>
      <c r="BB20" s="555"/>
      <c r="BC20" s="580" t="s">
        <v>595</v>
      </c>
      <c r="BD20" s="580" t="s">
        <v>595</v>
      </c>
      <c r="BE20" s="555"/>
      <c r="BF20" s="555"/>
      <c r="BG20" s="555"/>
      <c r="BH20" s="555"/>
      <c r="BI20" s="555"/>
      <c r="BJ20" s="555"/>
      <c r="BK20" s="555"/>
      <c r="BL20" s="555"/>
    </row>
    <row r="21">
      <c r="A21" s="549" t="s">
        <v>235</v>
      </c>
      <c r="B21" s="555" t="s">
        <v>595</v>
      </c>
      <c r="C21" s="243" t="s">
        <v>595</v>
      </c>
      <c r="D21" s="555" t="s">
        <v>595</v>
      </c>
      <c r="E21" s="555" t="s">
        <v>595</v>
      </c>
      <c r="F21" s="243" t="s">
        <v>595</v>
      </c>
      <c r="G21" s="555" t="s">
        <v>595</v>
      </c>
      <c r="H21" s="555" t="s">
        <v>595</v>
      </c>
      <c r="I21" s="555" t="s">
        <v>595</v>
      </c>
      <c r="J21" s="243" t="s">
        <v>595</v>
      </c>
      <c r="K21" s="243" t="s">
        <v>595</v>
      </c>
      <c r="L21" s="555" t="s">
        <v>766</v>
      </c>
      <c r="M21" s="555" t="s">
        <v>766</v>
      </c>
      <c r="N21" s="555" t="s">
        <v>766</v>
      </c>
      <c r="O21" s="243" t="s">
        <v>595</v>
      </c>
      <c r="P21" s="555" t="s">
        <v>766</v>
      </c>
      <c r="Q21" s="555" t="s">
        <v>595</v>
      </c>
      <c r="R21" s="555" t="s">
        <v>766</v>
      </c>
      <c r="S21" s="243" t="s">
        <v>766</v>
      </c>
      <c r="T21" s="555" t="s">
        <v>766</v>
      </c>
      <c r="U21" s="555" t="s">
        <v>595</v>
      </c>
      <c r="V21" s="555" t="s">
        <v>766</v>
      </c>
      <c r="W21" s="243" t="s">
        <v>766</v>
      </c>
      <c r="X21" s="555" t="s">
        <v>766</v>
      </c>
      <c r="Y21" s="243" t="s">
        <v>766</v>
      </c>
      <c r="Z21" s="243" t="s">
        <v>595</v>
      </c>
      <c r="AA21" s="555" t="s">
        <v>595</v>
      </c>
      <c r="AB21" s="555" t="s">
        <v>595</v>
      </c>
      <c r="AC21" s="555" t="s">
        <v>595</v>
      </c>
      <c r="AD21" s="555" t="s">
        <v>595</v>
      </c>
      <c r="AE21" s="555" t="s">
        <v>595</v>
      </c>
      <c r="AF21" s="555" t="s">
        <v>766</v>
      </c>
      <c r="AG21" s="555" t="s">
        <v>595</v>
      </c>
      <c r="AH21" s="555" t="s">
        <v>595</v>
      </c>
      <c r="AI21" s="555" t="s">
        <v>766</v>
      </c>
      <c r="AJ21" s="555" t="s">
        <v>595</v>
      </c>
      <c r="AK21" s="555" t="s">
        <v>766</v>
      </c>
      <c r="AL21" s="555" t="s">
        <v>595</v>
      </c>
      <c r="AM21" s="555" t="s">
        <v>595</v>
      </c>
      <c r="AN21" s="555"/>
      <c r="AO21" s="555"/>
      <c r="AP21" s="250" t="str">
        <f t="shared" si="1"/>
        <v>X</v>
      </c>
      <c r="AQ21" s="250" t="s">
        <v>595</v>
      </c>
      <c r="AR21" s="638"/>
      <c r="AS21" s="580" t="s">
        <v>595</v>
      </c>
      <c r="AT21" s="555"/>
      <c r="AU21" s="580" t="s">
        <v>595</v>
      </c>
      <c r="AV21" s="580" t="s">
        <v>595</v>
      </c>
      <c r="AW21" s="555"/>
      <c r="AX21" s="580" t="s">
        <v>595</v>
      </c>
      <c r="AY21" s="555"/>
      <c r="AZ21" s="555"/>
      <c r="BA21" s="580" t="s">
        <v>595</v>
      </c>
      <c r="BB21" s="555"/>
      <c r="BC21" s="580" t="s">
        <v>595</v>
      </c>
      <c r="BD21" s="555"/>
      <c r="BE21" s="555"/>
      <c r="BF21" s="555"/>
      <c r="BG21" s="555"/>
      <c r="BH21" s="555"/>
      <c r="BI21" s="555"/>
      <c r="BJ21" s="555"/>
      <c r="BK21" s="555"/>
      <c r="BL21" s="555"/>
    </row>
    <row r="22">
      <c r="A22" s="549" t="s">
        <v>238</v>
      </c>
      <c r="B22" s="555"/>
      <c r="C22" s="243"/>
      <c r="D22" s="555" t="s">
        <v>595</v>
      </c>
      <c r="E22" s="555" t="s">
        <v>595</v>
      </c>
      <c r="F22" s="243" t="s">
        <v>595</v>
      </c>
      <c r="G22" s="555" t="s">
        <v>595</v>
      </c>
      <c r="H22" s="555" t="s">
        <v>595</v>
      </c>
      <c r="I22" s="555"/>
      <c r="J22" s="243"/>
      <c r="K22" s="243"/>
      <c r="L22" s="555"/>
      <c r="M22" s="555" t="s">
        <v>595</v>
      </c>
      <c r="N22" s="555"/>
      <c r="O22" s="243" t="s">
        <v>595</v>
      </c>
      <c r="P22" s="555"/>
      <c r="Q22" s="555"/>
      <c r="R22" s="555"/>
      <c r="S22" s="243"/>
      <c r="T22" s="555"/>
      <c r="U22" s="555"/>
      <c r="V22" s="555"/>
      <c r="W22" s="243"/>
      <c r="X22" s="555"/>
      <c r="Y22" s="243"/>
      <c r="Z22" s="243"/>
      <c r="AA22" s="555"/>
      <c r="AB22" s="555"/>
      <c r="AC22" s="555"/>
      <c r="AD22" s="555" t="s">
        <v>595</v>
      </c>
      <c r="AE22" s="555" t="s">
        <v>595</v>
      </c>
      <c r="AF22" s="555" t="s">
        <v>595</v>
      </c>
      <c r="AG22" s="555" t="s">
        <v>595</v>
      </c>
      <c r="AH22" s="555"/>
      <c r="AI22" s="555"/>
      <c r="AJ22" s="555"/>
      <c r="AK22" s="555"/>
      <c r="AL22" s="555" t="s">
        <v>595</v>
      </c>
      <c r="AM22" s="555"/>
      <c r="AN22" s="555"/>
      <c r="AO22" s="555"/>
      <c r="AP22" s="250" t="str">
        <f t="shared" si="1"/>
        <v>X</v>
      </c>
      <c r="AQ22" s="250" t="s">
        <v>595</v>
      </c>
      <c r="AR22" s="638"/>
      <c r="AS22" s="580" t="s">
        <v>595</v>
      </c>
      <c r="AT22" s="580" t="s">
        <v>595</v>
      </c>
      <c r="AU22" s="555"/>
      <c r="AV22" s="555"/>
      <c r="AW22" s="580" t="s">
        <v>595</v>
      </c>
      <c r="AX22" s="555"/>
      <c r="AY22" s="555"/>
      <c r="AZ22" s="555"/>
      <c r="BA22" s="555"/>
      <c r="BB22" s="555"/>
      <c r="BC22" s="555"/>
      <c r="BD22" s="555"/>
      <c r="BE22" s="555"/>
      <c r="BF22" s="555"/>
      <c r="BG22" s="555"/>
      <c r="BH22" s="555"/>
      <c r="BI22" s="555"/>
      <c r="BJ22" s="555"/>
      <c r="BK22" s="555"/>
      <c r="BL22" s="555"/>
    </row>
    <row r="23">
      <c r="A23" s="549" t="s">
        <v>241</v>
      </c>
      <c r="B23" s="555" t="s">
        <v>766</v>
      </c>
      <c r="C23" s="243" t="s">
        <v>595</v>
      </c>
      <c r="D23" s="555" t="s">
        <v>595</v>
      </c>
      <c r="E23" s="555" t="s">
        <v>766</v>
      </c>
      <c r="F23" s="243" t="s">
        <v>595</v>
      </c>
      <c r="G23" s="555" t="s">
        <v>595</v>
      </c>
      <c r="H23" s="555" t="s">
        <v>766</v>
      </c>
      <c r="I23" s="555" t="s">
        <v>766</v>
      </c>
      <c r="J23" s="243" t="s">
        <v>766</v>
      </c>
      <c r="K23" s="243" t="s">
        <v>766</v>
      </c>
      <c r="L23" s="555" t="s">
        <v>595</v>
      </c>
      <c r="M23" s="555" t="s">
        <v>766</v>
      </c>
      <c r="N23" s="555" t="s">
        <v>766</v>
      </c>
      <c r="O23" s="243" t="s">
        <v>595</v>
      </c>
      <c r="P23" s="555" t="s">
        <v>595</v>
      </c>
      <c r="Q23" s="555" t="s">
        <v>766</v>
      </c>
      <c r="R23" s="555" t="s">
        <v>766</v>
      </c>
      <c r="S23" s="243" t="s">
        <v>766</v>
      </c>
      <c r="T23" s="555" t="s">
        <v>766</v>
      </c>
      <c r="U23" s="555" t="s">
        <v>766</v>
      </c>
      <c r="V23" s="555" t="s">
        <v>766</v>
      </c>
      <c r="W23" s="243" t="s">
        <v>766</v>
      </c>
      <c r="X23" s="555" t="s">
        <v>766</v>
      </c>
      <c r="Y23" s="243" t="s">
        <v>766</v>
      </c>
      <c r="Z23" s="243" t="s">
        <v>766</v>
      </c>
      <c r="AA23" s="555" t="s">
        <v>766</v>
      </c>
      <c r="AB23" s="555" t="s">
        <v>766</v>
      </c>
      <c r="AC23" s="555" t="s">
        <v>766</v>
      </c>
      <c r="AD23" s="555" t="s">
        <v>595</v>
      </c>
      <c r="AE23" s="555" t="s">
        <v>595</v>
      </c>
      <c r="AF23" s="555" t="s">
        <v>766</v>
      </c>
      <c r="AG23" s="555" t="s">
        <v>766</v>
      </c>
      <c r="AH23" s="555" t="s">
        <v>766</v>
      </c>
      <c r="AI23" s="555" t="s">
        <v>595</v>
      </c>
      <c r="AJ23" s="555" t="s">
        <v>766</v>
      </c>
      <c r="AK23" s="555" t="s">
        <v>766</v>
      </c>
      <c r="AL23" s="555" t="s">
        <v>766</v>
      </c>
      <c r="AM23" s="555" t="s">
        <v>595</v>
      </c>
      <c r="AN23" s="555"/>
      <c r="AO23" s="555"/>
      <c r="AP23" s="250" t="str">
        <f t="shared" si="1"/>
        <v>X</v>
      </c>
      <c r="AQ23" s="250" t="s">
        <v>595</v>
      </c>
      <c r="AR23" s="638"/>
      <c r="AS23" s="555"/>
      <c r="AT23" s="555"/>
      <c r="AU23" s="555"/>
      <c r="AV23" s="580" t="s">
        <v>595</v>
      </c>
      <c r="AW23" s="555"/>
      <c r="AX23" s="555"/>
      <c r="AY23" s="555"/>
      <c r="AZ23" s="555"/>
      <c r="BA23" s="555"/>
      <c r="BB23" s="580" t="s">
        <v>595</v>
      </c>
      <c r="BC23" s="555"/>
      <c r="BD23" s="555"/>
      <c r="BE23" s="555"/>
      <c r="BF23" s="555"/>
      <c r="BG23" s="555"/>
      <c r="BH23" s="555"/>
      <c r="BI23" s="555"/>
      <c r="BJ23" s="555"/>
      <c r="BK23" s="555"/>
      <c r="BL23" s="555"/>
    </row>
    <row r="24">
      <c r="A24" s="549" t="s">
        <v>244</v>
      </c>
      <c r="B24" s="555"/>
      <c r="C24" s="243"/>
      <c r="D24" s="555"/>
      <c r="E24" s="555"/>
      <c r="F24" s="243" t="s">
        <v>595</v>
      </c>
      <c r="G24" s="555" t="s">
        <v>595</v>
      </c>
      <c r="H24" s="555"/>
      <c r="I24" s="555"/>
      <c r="J24" s="243"/>
      <c r="K24" s="243"/>
      <c r="L24" s="555" t="s">
        <v>595</v>
      </c>
      <c r="M24" s="555" t="s">
        <v>595</v>
      </c>
      <c r="N24" s="555"/>
      <c r="O24" s="243"/>
      <c r="P24" s="555"/>
      <c r="Q24" s="555" t="s">
        <v>595</v>
      </c>
      <c r="R24" s="555" t="s">
        <v>595</v>
      </c>
      <c r="S24" s="243" t="s">
        <v>595</v>
      </c>
      <c r="T24" s="555" t="s">
        <v>595</v>
      </c>
      <c r="U24" s="555" t="s">
        <v>595</v>
      </c>
      <c r="V24" s="555" t="s">
        <v>595</v>
      </c>
      <c r="W24" s="243" t="s">
        <v>595</v>
      </c>
      <c r="X24" s="555" t="s">
        <v>595</v>
      </c>
      <c r="Y24" s="243" t="s">
        <v>595</v>
      </c>
      <c r="Z24" s="243" t="s">
        <v>595</v>
      </c>
      <c r="AA24" s="555"/>
      <c r="AB24" s="555"/>
      <c r="AC24" s="555"/>
      <c r="AD24" s="555" t="s">
        <v>595</v>
      </c>
      <c r="AE24" s="555" t="s">
        <v>595</v>
      </c>
      <c r="AF24" s="555" t="s">
        <v>595</v>
      </c>
      <c r="AG24" s="555"/>
      <c r="AH24" s="555"/>
      <c r="AI24" s="555" t="s">
        <v>595</v>
      </c>
      <c r="AJ24" s="555"/>
      <c r="AK24" s="555"/>
      <c r="AL24" s="555"/>
      <c r="AM24" s="555" t="s">
        <v>595</v>
      </c>
      <c r="AN24" s="555"/>
      <c r="AO24" s="555"/>
      <c r="AP24" s="250" t="str">
        <f t="shared" si="1"/>
        <v>X</v>
      </c>
      <c r="AQ24" s="250" t="s">
        <v>595</v>
      </c>
      <c r="AR24" s="638"/>
      <c r="AS24" s="555"/>
      <c r="AT24" s="555"/>
      <c r="AU24" s="555"/>
      <c r="AV24" s="555"/>
      <c r="AW24" s="555"/>
      <c r="AX24" s="555"/>
      <c r="AY24" s="555"/>
      <c r="AZ24" s="580" t="s">
        <v>595</v>
      </c>
      <c r="BA24" s="555"/>
      <c r="BB24" s="580" t="s">
        <v>595</v>
      </c>
      <c r="BC24" s="555"/>
      <c r="BD24" s="555"/>
      <c r="BE24" s="555"/>
      <c r="BF24" s="555"/>
      <c r="BG24" s="555"/>
      <c r="BH24" s="555"/>
      <c r="BI24" s="555"/>
      <c r="BJ24" s="555"/>
      <c r="BK24" s="555"/>
      <c r="BL24" s="555"/>
    </row>
    <row r="25">
      <c r="A25" s="549" t="s">
        <v>247</v>
      </c>
      <c r="B25" s="555"/>
      <c r="C25" s="243"/>
      <c r="D25" s="555"/>
      <c r="E25" s="555"/>
      <c r="F25" s="243" t="s">
        <v>595</v>
      </c>
      <c r="G25" s="555" t="s">
        <v>595</v>
      </c>
      <c r="H25" s="555"/>
      <c r="I25" s="555"/>
      <c r="J25" s="243"/>
      <c r="K25" s="243"/>
      <c r="L25" s="555" t="s">
        <v>595</v>
      </c>
      <c r="M25" s="555"/>
      <c r="N25" s="555" t="s">
        <v>595</v>
      </c>
      <c r="O25" s="243" t="s">
        <v>595</v>
      </c>
      <c r="P25" s="555" t="s">
        <v>595</v>
      </c>
      <c r="Q25" s="555"/>
      <c r="R25" s="555"/>
      <c r="S25" s="243"/>
      <c r="T25" s="555" t="s">
        <v>595</v>
      </c>
      <c r="U25" s="555"/>
      <c r="V25" s="555" t="s">
        <v>595</v>
      </c>
      <c r="W25" s="243"/>
      <c r="X25" s="555" t="s">
        <v>595</v>
      </c>
      <c r="Y25" s="243"/>
      <c r="Z25" s="243"/>
      <c r="AA25" s="555"/>
      <c r="AB25" s="555"/>
      <c r="AC25" s="555"/>
      <c r="AD25" s="555" t="s">
        <v>595</v>
      </c>
      <c r="AE25" s="555" t="s">
        <v>595</v>
      </c>
      <c r="AF25" s="555"/>
      <c r="AG25" s="555"/>
      <c r="AH25" s="555"/>
      <c r="AI25" s="555" t="s">
        <v>595</v>
      </c>
      <c r="AJ25" s="555"/>
      <c r="AK25" s="555"/>
      <c r="AL25" s="555"/>
      <c r="AM25" s="555" t="s">
        <v>595</v>
      </c>
      <c r="AN25" s="555"/>
      <c r="AO25" s="555"/>
      <c r="AP25" s="250" t="str">
        <f t="shared" si="1"/>
        <v>X</v>
      </c>
      <c r="AQ25" s="250" t="s">
        <v>595</v>
      </c>
      <c r="AR25" s="638"/>
      <c r="AS25" s="555"/>
      <c r="AT25" s="555"/>
      <c r="AU25" s="555"/>
      <c r="AV25" s="555"/>
      <c r="AW25" s="580" t="s">
        <v>595</v>
      </c>
      <c r="AX25" s="555"/>
      <c r="AY25" s="555"/>
      <c r="AZ25" s="580" t="s">
        <v>595</v>
      </c>
      <c r="BA25" s="555"/>
      <c r="BB25" s="580" t="s">
        <v>595</v>
      </c>
      <c r="BC25" s="555"/>
      <c r="BD25" s="555"/>
      <c r="BE25" s="555"/>
      <c r="BF25" s="555"/>
      <c r="BG25" s="555"/>
      <c r="BH25" s="555"/>
      <c r="BI25" s="555"/>
      <c r="BJ25" s="555"/>
      <c r="BK25" s="555"/>
      <c r="BL25" s="555"/>
    </row>
    <row r="26">
      <c r="A26" s="549" t="s">
        <v>249</v>
      </c>
      <c r="B26" s="555" t="s">
        <v>766</v>
      </c>
      <c r="C26" s="243" t="s">
        <v>595</v>
      </c>
      <c r="D26" s="555" t="s">
        <v>766</v>
      </c>
      <c r="E26" s="555" t="s">
        <v>766</v>
      </c>
      <c r="F26" s="243" t="s">
        <v>595</v>
      </c>
      <c r="G26" s="555" t="s">
        <v>595</v>
      </c>
      <c r="H26" s="555" t="s">
        <v>766</v>
      </c>
      <c r="I26" s="555" t="s">
        <v>766</v>
      </c>
      <c r="J26" s="243" t="s">
        <v>766</v>
      </c>
      <c r="K26" s="243" t="s">
        <v>766</v>
      </c>
      <c r="L26" s="555" t="s">
        <v>595</v>
      </c>
      <c r="M26" s="555" t="s">
        <v>766</v>
      </c>
      <c r="N26" s="555" t="s">
        <v>766</v>
      </c>
      <c r="O26" s="243" t="s">
        <v>766</v>
      </c>
      <c r="P26" s="555" t="s">
        <v>595</v>
      </c>
      <c r="Q26" s="555" t="s">
        <v>595</v>
      </c>
      <c r="R26" s="555" t="s">
        <v>595</v>
      </c>
      <c r="S26" s="243" t="s">
        <v>595</v>
      </c>
      <c r="T26" s="555" t="s">
        <v>595</v>
      </c>
      <c r="U26" s="555" t="s">
        <v>595</v>
      </c>
      <c r="V26" s="555" t="s">
        <v>595</v>
      </c>
      <c r="W26" s="243" t="s">
        <v>595</v>
      </c>
      <c r="X26" s="555" t="s">
        <v>595</v>
      </c>
      <c r="Y26" s="243" t="s">
        <v>595</v>
      </c>
      <c r="Z26" s="243" t="s">
        <v>595</v>
      </c>
      <c r="AA26" s="555" t="s">
        <v>766</v>
      </c>
      <c r="AB26" s="555" t="s">
        <v>766</v>
      </c>
      <c r="AC26" s="555" t="s">
        <v>766</v>
      </c>
      <c r="AD26" s="555" t="s">
        <v>595</v>
      </c>
      <c r="AE26" s="555" t="s">
        <v>595</v>
      </c>
      <c r="AF26" s="555" t="s">
        <v>766</v>
      </c>
      <c r="AG26" s="555" t="s">
        <v>766</v>
      </c>
      <c r="AH26" s="555" t="s">
        <v>766</v>
      </c>
      <c r="AI26" s="555" t="s">
        <v>595</v>
      </c>
      <c r="AJ26" s="555" t="s">
        <v>766</v>
      </c>
      <c r="AK26" s="555" t="s">
        <v>766</v>
      </c>
      <c r="AL26" s="555" t="s">
        <v>766</v>
      </c>
      <c r="AM26" s="555"/>
      <c r="AN26" s="555"/>
      <c r="AO26" s="555"/>
      <c r="AP26" s="250" t="str">
        <f t="shared" si="1"/>
        <v>X</v>
      </c>
      <c r="AQ26" s="250" t="s">
        <v>595</v>
      </c>
      <c r="AR26" s="638"/>
      <c r="AS26" s="555"/>
      <c r="AT26" s="555"/>
      <c r="AU26" s="555"/>
      <c r="AV26" s="555"/>
      <c r="AW26" s="555"/>
      <c r="AX26" s="555"/>
      <c r="AY26" s="555"/>
      <c r="AZ26" s="580" t="s">
        <v>595</v>
      </c>
      <c r="BA26" s="580" t="s">
        <v>595</v>
      </c>
      <c r="BB26" s="580" t="s">
        <v>595</v>
      </c>
      <c r="BC26" s="555"/>
      <c r="BD26" s="555"/>
      <c r="BE26" s="555"/>
      <c r="BF26" s="555"/>
      <c r="BG26" s="555"/>
      <c r="BH26" s="555"/>
      <c r="BI26" s="555"/>
      <c r="BJ26" s="555"/>
      <c r="BK26" s="555"/>
      <c r="BL26" s="555"/>
    </row>
    <row r="27">
      <c r="A27" s="549" t="s">
        <v>246</v>
      </c>
      <c r="B27" s="580" t="s">
        <v>595</v>
      </c>
      <c r="C27" s="580" t="s">
        <v>595</v>
      </c>
      <c r="D27" s="580" t="s">
        <v>595</v>
      </c>
      <c r="E27" s="580" t="s">
        <v>595</v>
      </c>
      <c r="F27" s="580" t="s">
        <v>595</v>
      </c>
      <c r="G27" s="580" t="s">
        <v>595</v>
      </c>
      <c r="H27" s="580" t="s">
        <v>595</v>
      </c>
      <c r="I27" s="580" t="s">
        <v>595</v>
      </c>
      <c r="J27" s="580" t="s">
        <v>595</v>
      </c>
      <c r="K27" s="580" t="s">
        <v>595</v>
      </c>
      <c r="L27" s="555"/>
      <c r="M27" s="555"/>
      <c r="N27" s="555"/>
      <c r="O27" s="580" t="s">
        <v>595</v>
      </c>
      <c r="P27" s="555"/>
      <c r="Q27" s="580" t="s">
        <v>595</v>
      </c>
      <c r="R27" s="580" t="s">
        <v>595</v>
      </c>
      <c r="S27" s="243"/>
      <c r="T27" s="555"/>
      <c r="U27" s="580" t="s">
        <v>595</v>
      </c>
      <c r="V27" s="555"/>
      <c r="W27" s="243"/>
      <c r="X27" s="555"/>
      <c r="Y27" s="243"/>
      <c r="Z27" s="243"/>
      <c r="AA27" s="580" t="s">
        <v>595</v>
      </c>
      <c r="AB27" s="580" t="s">
        <v>595</v>
      </c>
      <c r="AC27" s="580" t="s">
        <v>595</v>
      </c>
      <c r="AD27" s="580" t="s">
        <v>595</v>
      </c>
      <c r="AE27" s="580" t="s">
        <v>595</v>
      </c>
      <c r="AF27" s="580" t="s">
        <v>595</v>
      </c>
      <c r="AG27" s="580" t="s">
        <v>595</v>
      </c>
      <c r="AH27" s="580" t="s">
        <v>595</v>
      </c>
      <c r="AI27" s="555"/>
      <c r="AJ27" s="580" t="s">
        <v>595</v>
      </c>
      <c r="AK27" s="580" t="s">
        <v>595</v>
      </c>
      <c r="AL27" s="580" t="s">
        <v>595</v>
      </c>
      <c r="AM27" s="580" t="s">
        <v>595</v>
      </c>
      <c r="AN27" s="555"/>
      <c r="AO27" s="555"/>
      <c r="AP27" s="250"/>
      <c r="AQ27" s="250"/>
      <c r="AR27" s="638"/>
      <c r="AS27" s="580" t="s">
        <v>595</v>
      </c>
      <c r="AT27" s="580" t="s">
        <v>595</v>
      </c>
      <c r="AU27" s="580" t="s">
        <v>595</v>
      </c>
      <c r="AV27" s="580" t="s">
        <v>595</v>
      </c>
      <c r="AW27" s="580"/>
      <c r="AX27" s="580" t="s">
        <v>595</v>
      </c>
      <c r="AY27" s="580" t="s">
        <v>595</v>
      </c>
      <c r="AZ27" s="555"/>
      <c r="BA27" s="580" t="s">
        <v>595</v>
      </c>
      <c r="BB27" s="555"/>
      <c r="BC27" s="580" t="s">
        <v>595</v>
      </c>
      <c r="BD27" s="580" t="s">
        <v>595</v>
      </c>
      <c r="BE27" s="555"/>
      <c r="BF27" s="555"/>
      <c r="BG27" s="555"/>
      <c r="BH27" s="555"/>
      <c r="BI27" s="555"/>
      <c r="BJ27" s="555"/>
      <c r="BK27" s="555"/>
      <c r="BL27" s="555"/>
    </row>
    <row r="28">
      <c r="A28" s="549" t="s">
        <v>239</v>
      </c>
      <c r="B28" s="580" t="s">
        <v>595</v>
      </c>
      <c r="C28" s="243"/>
      <c r="D28" s="555"/>
      <c r="E28" s="580" t="s">
        <v>595</v>
      </c>
      <c r="F28" s="580" t="s">
        <v>595</v>
      </c>
      <c r="G28" s="580" t="s">
        <v>595</v>
      </c>
      <c r="H28" s="555"/>
      <c r="I28" s="555"/>
      <c r="J28" s="243"/>
      <c r="K28" s="243"/>
      <c r="L28" s="580" t="s">
        <v>595</v>
      </c>
      <c r="M28" s="580" t="s">
        <v>595</v>
      </c>
      <c r="N28" s="555"/>
      <c r="O28" s="243"/>
      <c r="P28" s="555"/>
      <c r="Q28" s="555"/>
      <c r="R28" s="555"/>
      <c r="S28" s="243"/>
      <c r="T28" s="555"/>
      <c r="U28" s="555"/>
      <c r="V28" s="580" t="s">
        <v>595</v>
      </c>
      <c r="W28" s="243"/>
      <c r="X28" s="555"/>
      <c r="Y28" s="243"/>
      <c r="Z28" s="243"/>
      <c r="AA28" s="580" t="s">
        <v>595</v>
      </c>
      <c r="AB28" s="555"/>
      <c r="AC28" s="555"/>
      <c r="AD28" s="580" t="s">
        <v>595</v>
      </c>
      <c r="AE28" s="580" t="s">
        <v>595</v>
      </c>
      <c r="AF28" s="580" t="s">
        <v>595</v>
      </c>
      <c r="AG28" s="555"/>
      <c r="AH28" s="555"/>
      <c r="AI28" s="555"/>
      <c r="AJ28" s="580" t="s">
        <v>595</v>
      </c>
      <c r="AK28" s="580" t="s">
        <v>595</v>
      </c>
      <c r="AL28" s="580" t="s">
        <v>595</v>
      </c>
      <c r="AM28" s="555"/>
      <c r="AN28" s="555"/>
      <c r="AO28" s="555"/>
      <c r="AP28" s="313" t="s">
        <v>595</v>
      </c>
      <c r="AQ28" s="313" t="s">
        <v>595</v>
      </c>
      <c r="AR28" s="638"/>
      <c r="AS28" s="580" t="s">
        <v>595</v>
      </c>
      <c r="AT28" s="580" t="s">
        <v>595</v>
      </c>
      <c r="AU28" s="555"/>
      <c r="AV28" s="555"/>
      <c r="AW28" s="580" t="s">
        <v>595</v>
      </c>
      <c r="AX28" s="580" t="s">
        <v>595</v>
      </c>
      <c r="AY28" s="555"/>
      <c r="AZ28" s="555"/>
      <c r="BA28" s="555"/>
      <c r="BB28" s="555"/>
      <c r="BC28" s="580" t="s">
        <v>595</v>
      </c>
      <c r="BD28" s="580" t="s">
        <v>595</v>
      </c>
      <c r="BE28" s="555"/>
      <c r="BF28" s="555"/>
      <c r="BG28" s="555"/>
      <c r="BH28" s="555"/>
      <c r="BI28" s="555"/>
      <c r="BJ28" s="555"/>
      <c r="BK28" s="555"/>
      <c r="BL28" s="555"/>
    </row>
    <row r="29">
      <c r="A29" s="549" t="s">
        <v>250</v>
      </c>
      <c r="B29" s="555" t="s">
        <v>595</v>
      </c>
      <c r="C29" s="243"/>
      <c r="D29" s="555"/>
      <c r="E29" s="555" t="s">
        <v>595</v>
      </c>
      <c r="F29" s="243" t="s">
        <v>595</v>
      </c>
      <c r="G29" s="555" t="s">
        <v>595</v>
      </c>
      <c r="H29" s="555" t="s">
        <v>766</v>
      </c>
      <c r="I29" s="555" t="s">
        <v>766</v>
      </c>
      <c r="J29" s="243" t="s">
        <v>766</v>
      </c>
      <c r="K29" s="243" t="s">
        <v>766</v>
      </c>
      <c r="L29" s="555" t="s">
        <v>766</v>
      </c>
      <c r="M29" s="555" t="s">
        <v>595</v>
      </c>
      <c r="N29" s="555" t="s">
        <v>766</v>
      </c>
      <c r="O29" s="243" t="s">
        <v>595</v>
      </c>
      <c r="P29" s="555" t="s">
        <v>766</v>
      </c>
      <c r="Q29" s="555" t="s">
        <v>766</v>
      </c>
      <c r="R29" s="555" t="s">
        <v>766</v>
      </c>
      <c r="S29" s="243" t="s">
        <v>766</v>
      </c>
      <c r="T29" s="555" t="s">
        <v>766</v>
      </c>
      <c r="U29" s="555" t="s">
        <v>766</v>
      </c>
      <c r="V29" s="555" t="s">
        <v>595</v>
      </c>
      <c r="W29" s="243" t="s">
        <v>766</v>
      </c>
      <c r="X29" s="555" t="s">
        <v>766</v>
      </c>
      <c r="Y29" s="243" t="s">
        <v>766</v>
      </c>
      <c r="Z29" s="243" t="s">
        <v>766</v>
      </c>
      <c r="AA29" s="555" t="s">
        <v>595</v>
      </c>
      <c r="AB29" s="555" t="s">
        <v>766</v>
      </c>
      <c r="AC29" s="555" t="s">
        <v>766</v>
      </c>
      <c r="AD29" s="555" t="s">
        <v>766</v>
      </c>
      <c r="AE29" s="555" t="s">
        <v>766</v>
      </c>
      <c r="AF29" s="555" t="s">
        <v>595</v>
      </c>
      <c r="AG29" s="555" t="s">
        <v>766</v>
      </c>
      <c r="AH29" s="555" t="s">
        <v>766</v>
      </c>
      <c r="AI29" s="555" t="s">
        <v>766</v>
      </c>
      <c r="AJ29" s="555" t="s">
        <v>766</v>
      </c>
      <c r="AK29" s="555" t="s">
        <v>595</v>
      </c>
      <c r="AL29" s="555" t="s">
        <v>595</v>
      </c>
      <c r="AM29" s="555" t="s">
        <v>766</v>
      </c>
      <c r="AN29" s="555"/>
      <c r="AO29" s="555"/>
      <c r="AP29" s="250" t="str">
        <f t="shared" ref="AP29:AP32" si="2">IF(OR(F29="X",G29="X",AB29="X",AC29="X"),"X",)</f>
        <v>X</v>
      </c>
      <c r="AQ29" s="250" t="s">
        <v>595</v>
      </c>
      <c r="AR29" s="638"/>
      <c r="AS29" s="555"/>
      <c r="AT29" s="580" t="s">
        <v>595</v>
      </c>
      <c r="AU29" s="555"/>
      <c r="AV29" s="555"/>
      <c r="AW29" s="580" t="s">
        <v>595</v>
      </c>
      <c r="AX29" s="555"/>
      <c r="AY29" s="555"/>
      <c r="AZ29" s="555"/>
      <c r="BA29" s="555"/>
      <c r="BB29" s="555"/>
      <c r="BC29" s="555"/>
      <c r="BD29" s="555"/>
      <c r="BE29" s="555"/>
      <c r="BF29" s="555"/>
      <c r="BG29" s="555"/>
      <c r="BH29" s="555"/>
      <c r="BI29" s="555"/>
      <c r="BJ29" s="555"/>
      <c r="BK29" s="555"/>
      <c r="BL29" s="555"/>
    </row>
    <row r="30">
      <c r="A30" s="549" t="s">
        <v>251</v>
      </c>
      <c r="B30" s="555" t="s">
        <v>595</v>
      </c>
      <c r="C30" s="243" t="s">
        <v>766</v>
      </c>
      <c r="D30" s="555" t="s">
        <v>766</v>
      </c>
      <c r="E30" s="555" t="s">
        <v>595</v>
      </c>
      <c r="F30" s="243" t="s">
        <v>595</v>
      </c>
      <c r="G30" s="555" t="s">
        <v>595</v>
      </c>
      <c r="H30" s="555"/>
      <c r="I30" s="555" t="s">
        <v>766</v>
      </c>
      <c r="J30" s="243" t="s">
        <v>766</v>
      </c>
      <c r="K30" s="243" t="s">
        <v>595</v>
      </c>
      <c r="L30" s="555" t="s">
        <v>766</v>
      </c>
      <c r="M30" s="555" t="s">
        <v>766</v>
      </c>
      <c r="N30" s="555" t="s">
        <v>766</v>
      </c>
      <c r="O30" s="243" t="s">
        <v>595</v>
      </c>
      <c r="P30" s="555" t="s">
        <v>766</v>
      </c>
      <c r="Q30" s="555" t="s">
        <v>766</v>
      </c>
      <c r="R30" s="555" t="s">
        <v>766</v>
      </c>
      <c r="S30" s="243" t="s">
        <v>766</v>
      </c>
      <c r="T30" s="555" t="s">
        <v>595</v>
      </c>
      <c r="U30" s="555" t="s">
        <v>766</v>
      </c>
      <c r="V30" s="555" t="s">
        <v>766</v>
      </c>
      <c r="W30" s="243" t="s">
        <v>766</v>
      </c>
      <c r="X30" s="555" t="s">
        <v>766</v>
      </c>
      <c r="Y30" s="243" t="s">
        <v>595</v>
      </c>
      <c r="Z30" s="243" t="s">
        <v>766</v>
      </c>
      <c r="AA30" s="580" t="s">
        <v>595</v>
      </c>
      <c r="AB30" s="555" t="s">
        <v>595</v>
      </c>
      <c r="AC30" s="555" t="s">
        <v>595</v>
      </c>
      <c r="AD30" s="555" t="s">
        <v>595</v>
      </c>
      <c r="AE30" s="555" t="s">
        <v>595</v>
      </c>
      <c r="AF30" s="555" t="s">
        <v>595</v>
      </c>
      <c r="AG30" s="555" t="s">
        <v>595</v>
      </c>
      <c r="AH30" s="555" t="s">
        <v>766</v>
      </c>
      <c r="AI30" s="555" t="s">
        <v>766</v>
      </c>
      <c r="AJ30" s="555" t="s">
        <v>595</v>
      </c>
      <c r="AK30" s="555" t="s">
        <v>766</v>
      </c>
      <c r="AL30" s="555" t="s">
        <v>595</v>
      </c>
      <c r="AM30" s="555" t="s">
        <v>766</v>
      </c>
      <c r="AN30" s="555"/>
      <c r="AO30" s="555"/>
      <c r="AP30" s="250" t="str">
        <f t="shared" si="2"/>
        <v>X</v>
      </c>
      <c r="AQ30" s="250" t="s">
        <v>595</v>
      </c>
      <c r="AR30" s="638"/>
      <c r="AS30" s="580" t="s">
        <v>595</v>
      </c>
      <c r="AT30" s="580" t="s">
        <v>595</v>
      </c>
      <c r="AU30" s="555"/>
      <c r="AV30" s="555"/>
      <c r="AW30" s="555"/>
      <c r="AX30" s="580" t="s">
        <v>595</v>
      </c>
      <c r="AY30" s="555"/>
      <c r="AZ30" s="555"/>
      <c r="BA30" s="555"/>
      <c r="BB30" s="555"/>
      <c r="BC30" s="555"/>
      <c r="BD30" s="555"/>
      <c r="BE30" s="555"/>
      <c r="BF30" s="555"/>
      <c r="BG30" s="555"/>
      <c r="BH30" s="555"/>
      <c r="BI30" s="555"/>
      <c r="BJ30" s="555"/>
      <c r="BK30" s="555"/>
      <c r="BL30" s="555"/>
    </row>
    <row r="31">
      <c r="A31" s="549" t="s">
        <v>252</v>
      </c>
      <c r="B31" s="555" t="s">
        <v>595</v>
      </c>
      <c r="C31" s="243" t="s">
        <v>595</v>
      </c>
      <c r="D31" s="555" t="s">
        <v>595</v>
      </c>
      <c r="E31" s="555" t="s">
        <v>595</v>
      </c>
      <c r="F31" s="243" t="s">
        <v>595</v>
      </c>
      <c r="G31" s="555" t="s">
        <v>595</v>
      </c>
      <c r="H31" s="555" t="s">
        <v>595</v>
      </c>
      <c r="I31" s="555" t="s">
        <v>595</v>
      </c>
      <c r="J31" s="243" t="s">
        <v>595</v>
      </c>
      <c r="K31" s="243" t="s">
        <v>595</v>
      </c>
      <c r="L31" s="555" t="s">
        <v>766</v>
      </c>
      <c r="M31" s="555" t="s">
        <v>766</v>
      </c>
      <c r="N31" s="555" t="s">
        <v>766</v>
      </c>
      <c r="O31" s="243" t="s">
        <v>595</v>
      </c>
      <c r="P31" s="555" t="s">
        <v>766</v>
      </c>
      <c r="Q31" s="555" t="s">
        <v>595</v>
      </c>
      <c r="R31" s="555" t="s">
        <v>766</v>
      </c>
      <c r="S31" s="243" t="s">
        <v>766</v>
      </c>
      <c r="T31" s="555" t="s">
        <v>766</v>
      </c>
      <c r="U31" s="555" t="s">
        <v>595</v>
      </c>
      <c r="V31" s="555" t="s">
        <v>766</v>
      </c>
      <c r="W31" s="243" t="s">
        <v>766</v>
      </c>
      <c r="X31" s="555" t="s">
        <v>766</v>
      </c>
      <c r="Y31" s="243" t="s">
        <v>766</v>
      </c>
      <c r="Z31" s="243" t="s">
        <v>595</v>
      </c>
      <c r="AA31" s="555" t="s">
        <v>595</v>
      </c>
      <c r="AB31" s="555" t="s">
        <v>595</v>
      </c>
      <c r="AC31" s="555" t="s">
        <v>595</v>
      </c>
      <c r="AD31" s="555" t="s">
        <v>595</v>
      </c>
      <c r="AE31" s="555" t="s">
        <v>595</v>
      </c>
      <c r="AF31" s="555" t="s">
        <v>766</v>
      </c>
      <c r="AG31" s="555" t="s">
        <v>595</v>
      </c>
      <c r="AH31" s="555" t="s">
        <v>595</v>
      </c>
      <c r="AI31" s="555" t="s">
        <v>766</v>
      </c>
      <c r="AJ31" s="555" t="s">
        <v>595</v>
      </c>
      <c r="AK31" s="555" t="s">
        <v>766</v>
      </c>
      <c r="AL31" s="555" t="s">
        <v>595</v>
      </c>
      <c r="AM31" s="555" t="s">
        <v>595</v>
      </c>
      <c r="AN31" s="555"/>
      <c r="AO31" s="555"/>
      <c r="AP31" s="250" t="str">
        <f t="shared" si="2"/>
        <v>X</v>
      </c>
      <c r="AQ31" s="250" t="s">
        <v>595</v>
      </c>
      <c r="AR31" s="638"/>
      <c r="AS31" s="580" t="s">
        <v>595</v>
      </c>
      <c r="AT31" s="555"/>
      <c r="AU31" s="580" t="s">
        <v>595</v>
      </c>
      <c r="AV31" s="580" t="s">
        <v>595</v>
      </c>
      <c r="AW31" s="555"/>
      <c r="AX31" s="580" t="s">
        <v>595</v>
      </c>
      <c r="AY31" s="555"/>
      <c r="AZ31" s="555"/>
      <c r="BA31" s="580" t="s">
        <v>595</v>
      </c>
      <c r="BB31" s="555"/>
      <c r="BC31" s="580" t="s">
        <v>595</v>
      </c>
      <c r="BD31" s="555"/>
      <c r="BE31" s="555"/>
      <c r="BF31" s="555"/>
      <c r="BG31" s="555"/>
      <c r="BH31" s="555"/>
      <c r="BI31" s="555"/>
      <c r="BJ31" s="555"/>
      <c r="BK31" s="555"/>
      <c r="BL31" s="555"/>
    </row>
    <row r="32">
      <c r="A32" s="549" t="s">
        <v>253</v>
      </c>
      <c r="B32" s="555"/>
      <c r="C32" s="243"/>
      <c r="D32" s="555"/>
      <c r="E32" s="555"/>
      <c r="F32" s="243" t="s">
        <v>595</v>
      </c>
      <c r="G32" s="555" t="s">
        <v>595</v>
      </c>
      <c r="H32" s="555"/>
      <c r="I32" s="555"/>
      <c r="J32" s="243"/>
      <c r="K32" s="243"/>
      <c r="L32" s="555" t="s">
        <v>595</v>
      </c>
      <c r="M32" s="555" t="s">
        <v>595</v>
      </c>
      <c r="N32" s="555"/>
      <c r="O32" s="243"/>
      <c r="P32" s="555"/>
      <c r="Q32" s="555" t="s">
        <v>595</v>
      </c>
      <c r="R32" s="555" t="s">
        <v>595</v>
      </c>
      <c r="S32" s="243" t="s">
        <v>595</v>
      </c>
      <c r="T32" s="555" t="s">
        <v>595</v>
      </c>
      <c r="U32" s="555" t="s">
        <v>595</v>
      </c>
      <c r="V32" s="555" t="s">
        <v>595</v>
      </c>
      <c r="W32" s="243" t="s">
        <v>595</v>
      </c>
      <c r="X32" s="555" t="s">
        <v>595</v>
      </c>
      <c r="Y32" s="243" t="s">
        <v>595</v>
      </c>
      <c r="Z32" s="243" t="s">
        <v>595</v>
      </c>
      <c r="AA32" s="555"/>
      <c r="AB32" s="555"/>
      <c r="AC32" s="555"/>
      <c r="AD32" s="555" t="s">
        <v>595</v>
      </c>
      <c r="AE32" s="555" t="s">
        <v>595</v>
      </c>
      <c r="AF32" s="555" t="s">
        <v>595</v>
      </c>
      <c r="AG32" s="555"/>
      <c r="AH32" s="555"/>
      <c r="AI32" s="555" t="s">
        <v>595</v>
      </c>
      <c r="AJ32" s="555"/>
      <c r="AK32" s="555"/>
      <c r="AL32" s="555"/>
      <c r="AM32" s="555" t="s">
        <v>595</v>
      </c>
      <c r="AN32" s="555"/>
      <c r="AO32" s="555"/>
      <c r="AP32" s="250" t="str">
        <f t="shared" si="2"/>
        <v>X</v>
      </c>
      <c r="AQ32" s="250" t="s">
        <v>595</v>
      </c>
      <c r="AR32" s="638"/>
      <c r="AS32" s="555"/>
      <c r="AT32" s="555"/>
      <c r="AU32" s="555"/>
      <c r="AV32" s="555"/>
      <c r="AW32" s="555"/>
      <c r="AX32" s="555"/>
      <c r="AY32" s="555"/>
      <c r="AZ32" s="580" t="s">
        <v>595</v>
      </c>
      <c r="BA32" s="555"/>
      <c r="BB32" s="580" t="s">
        <v>595</v>
      </c>
      <c r="BC32" s="555"/>
      <c r="BD32" s="555"/>
      <c r="BE32" s="555"/>
      <c r="BF32" s="555"/>
      <c r="BG32" s="555"/>
      <c r="BH32" s="555"/>
      <c r="BI32" s="555"/>
      <c r="BJ32" s="555"/>
      <c r="BK32" s="555"/>
      <c r="BL32" s="555"/>
    </row>
    <row r="33">
      <c r="A33" s="549"/>
      <c r="B33" s="555"/>
      <c r="C33" s="243"/>
      <c r="D33" s="555"/>
      <c r="E33" s="555"/>
      <c r="F33" s="580"/>
      <c r="G33" s="580"/>
      <c r="H33" s="555"/>
      <c r="I33" s="555"/>
      <c r="J33" s="243"/>
      <c r="K33" s="243"/>
      <c r="L33" s="555"/>
      <c r="M33" s="580"/>
      <c r="N33" s="580"/>
      <c r="O33" s="243"/>
      <c r="P33" s="580"/>
      <c r="Q33" s="580"/>
      <c r="R33" s="580"/>
      <c r="S33" s="580"/>
      <c r="T33" s="580"/>
      <c r="U33" s="580"/>
      <c r="V33" s="580"/>
      <c r="W33" s="580"/>
      <c r="X33" s="580"/>
      <c r="Y33" s="580"/>
      <c r="Z33" s="243"/>
      <c r="AA33" s="555"/>
      <c r="AB33" s="555"/>
      <c r="AC33" s="555"/>
      <c r="AD33" s="580"/>
      <c r="AE33" s="580"/>
      <c r="AF33" s="555"/>
      <c r="AG33" s="555"/>
      <c r="AH33" s="555"/>
      <c r="AI33" s="580"/>
      <c r="AJ33" s="555"/>
      <c r="AK33" s="580"/>
      <c r="AL33" s="555"/>
      <c r="AM33" s="555"/>
      <c r="AN33" s="555"/>
      <c r="AO33" s="555"/>
      <c r="AP33" s="250"/>
      <c r="AQ33" s="250"/>
      <c r="AR33" s="638"/>
      <c r="AS33" s="555"/>
      <c r="AT33" s="555"/>
      <c r="AU33" s="555"/>
      <c r="AV33" s="555"/>
      <c r="AW33" s="555"/>
      <c r="AX33" s="555"/>
      <c r="AY33" s="555"/>
      <c r="AZ33" s="555"/>
      <c r="BA33" s="555"/>
      <c r="BB33" s="555"/>
      <c r="BC33" s="555"/>
      <c r="BD33" s="555"/>
      <c r="BE33" s="555"/>
      <c r="BF33" s="555"/>
      <c r="BG33" s="555"/>
      <c r="BH33" s="555"/>
      <c r="BI33" s="555"/>
      <c r="BJ33" s="555"/>
      <c r="BK33" s="555"/>
      <c r="BL33" s="555"/>
    </row>
    <row r="34">
      <c r="A34" s="635" t="s">
        <v>768</v>
      </c>
      <c r="B34" s="555"/>
      <c r="C34" s="243"/>
      <c r="D34" s="555"/>
      <c r="E34" s="555"/>
      <c r="F34" s="580"/>
      <c r="G34" s="580"/>
      <c r="H34" s="555"/>
      <c r="I34" s="555"/>
      <c r="J34" s="243"/>
      <c r="K34" s="243"/>
      <c r="L34" s="555"/>
      <c r="M34" s="580"/>
      <c r="N34" s="580"/>
      <c r="O34" s="243"/>
      <c r="P34" s="580"/>
      <c r="Q34" s="580"/>
      <c r="R34" s="580"/>
      <c r="S34" s="580"/>
      <c r="T34" s="580"/>
      <c r="U34" s="580"/>
      <c r="V34" s="580"/>
      <c r="W34" s="580"/>
      <c r="X34" s="580"/>
      <c r="Y34" s="580"/>
      <c r="Z34" s="243"/>
      <c r="AA34" s="555"/>
      <c r="AB34" s="555"/>
      <c r="AC34" s="555"/>
      <c r="AD34" s="580"/>
      <c r="AE34" s="580"/>
      <c r="AF34" s="555"/>
      <c r="AG34" s="555"/>
      <c r="AH34" s="555"/>
      <c r="AI34" s="580"/>
      <c r="AJ34" s="555"/>
      <c r="AK34" s="580"/>
      <c r="AL34" s="555"/>
      <c r="AM34" s="555"/>
      <c r="AN34" s="555"/>
      <c r="AO34" s="555"/>
      <c r="AP34" s="250"/>
      <c r="AQ34" s="250"/>
      <c r="AR34" s="638"/>
      <c r="AS34" s="555"/>
      <c r="AT34" s="555"/>
      <c r="AU34" s="555"/>
      <c r="AV34" s="555"/>
      <c r="AW34" s="555"/>
      <c r="AX34" s="555"/>
      <c r="AY34" s="555"/>
      <c r="AZ34" s="555"/>
      <c r="BA34" s="555"/>
      <c r="BB34" s="555"/>
      <c r="BC34" s="555"/>
      <c r="BD34" s="555"/>
      <c r="BE34" s="555"/>
      <c r="BF34" s="555"/>
      <c r="BG34" s="555"/>
      <c r="BH34" s="555"/>
      <c r="BI34" s="555"/>
      <c r="BJ34" s="555"/>
      <c r="BK34" s="555"/>
      <c r="BL34" s="555"/>
    </row>
    <row r="35">
      <c r="A35" s="549" t="s">
        <v>528</v>
      </c>
      <c r="B35" s="555"/>
      <c r="C35" s="243"/>
      <c r="D35" s="555"/>
      <c r="E35" s="555"/>
      <c r="F35" s="580" t="s">
        <v>595</v>
      </c>
      <c r="G35" s="580" t="s">
        <v>595</v>
      </c>
      <c r="H35" s="555"/>
      <c r="I35" s="555"/>
      <c r="J35" s="243"/>
      <c r="K35" s="243"/>
      <c r="L35" s="555"/>
      <c r="M35" s="580" t="s">
        <v>595</v>
      </c>
      <c r="N35" s="580" t="s">
        <v>595</v>
      </c>
      <c r="O35" s="243"/>
      <c r="P35" s="580" t="s">
        <v>595</v>
      </c>
      <c r="Q35" s="580" t="s">
        <v>595</v>
      </c>
      <c r="R35" s="580" t="s">
        <v>595</v>
      </c>
      <c r="S35" s="580" t="s">
        <v>595</v>
      </c>
      <c r="T35" s="580" t="s">
        <v>595</v>
      </c>
      <c r="U35" s="580" t="s">
        <v>595</v>
      </c>
      <c r="V35" s="580" t="s">
        <v>595</v>
      </c>
      <c r="W35" s="580" t="s">
        <v>595</v>
      </c>
      <c r="X35" s="580" t="s">
        <v>595</v>
      </c>
      <c r="Y35" s="580" t="s">
        <v>595</v>
      </c>
      <c r="Z35" s="243"/>
      <c r="AA35" s="555"/>
      <c r="AB35" s="555"/>
      <c r="AC35" s="555"/>
      <c r="AD35" s="580" t="s">
        <v>595</v>
      </c>
      <c r="AE35" s="580" t="s">
        <v>595</v>
      </c>
      <c r="AF35" s="555"/>
      <c r="AG35" s="555"/>
      <c r="AH35" s="555"/>
      <c r="AI35" s="580" t="s">
        <v>595</v>
      </c>
      <c r="AJ35" s="555"/>
      <c r="AK35" s="580" t="s">
        <v>595</v>
      </c>
      <c r="AL35" s="555"/>
      <c r="AM35" s="555"/>
      <c r="AN35" s="555"/>
      <c r="AO35" s="555"/>
      <c r="AP35" s="250" t="str">
        <f t="shared" ref="AP35:AP39" si="3">IF(OR(F35="X",G35="X",AB35="X",AC35="X"),"X",)</f>
        <v>X</v>
      </c>
      <c r="AQ35" s="250" t="s">
        <v>595</v>
      </c>
      <c r="AR35" s="638"/>
      <c r="AS35" s="555"/>
      <c r="AT35" s="555"/>
      <c r="AU35" s="555"/>
      <c r="AV35" s="555"/>
      <c r="AW35" s="555"/>
      <c r="AX35" s="555"/>
      <c r="AY35" s="555"/>
      <c r="AZ35" s="555"/>
      <c r="BA35" s="555"/>
      <c r="BB35" s="555"/>
      <c r="BC35" s="555"/>
      <c r="BD35" s="555"/>
      <c r="BE35" s="555"/>
      <c r="BF35" s="555"/>
      <c r="BG35" s="555"/>
      <c r="BH35" s="555"/>
      <c r="BI35" s="555"/>
      <c r="BJ35" s="555"/>
      <c r="BK35" s="555"/>
      <c r="BL35" s="555"/>
    </row>
    <row r="36">
      <c r="A36" s="549" t="s">
        <v>530</v>
      </c>
      <c r="B36" s="580"/>
      <c r="C36" s="580" t="s">
        <v>595</v>
      </c>
      <c r="D36" s="580" t="s">
        <v>595</v>
      </c>
      <c r="E36" s="555"/>
      <c r="F36" s="580" t="s">
        <v>595</v>
      </c>
      <c r="G36" s="580" t="s">
        <v>595</v>
      </c>
      <c r="H36" s="580" t="s">
        <v>595</v>
      </c>
      <c r="I36" s="555"/>
      <c r="J36" s="580" t="s">
        <v>595</v>
      </c>
      <c r="K36" s="243"/>
      <c r="L36" s="555"/>
      <c r="M36" s="580" t="s">
        <v>595</v>
      </c>
      <c r="N36" s="555"/>
      <c r="O36" s="580" t="s">
        <v>595</v>
      </c>
      <c r="P36" s="580" t="s">
        <v>595</v>
      </c>
      <c r="Q36" s="580" t="s">
        <v>595</v>
      </c>
      <c r="R36" s="580" t="s">
        <v>595</v>
      </c>
      <c r="S36" s="580" t="s">
        <v>595</v>
      </c>
      <c r="T36" s="580" t="s">
        <v>595</v>
      </c>
      <c r="U36" s="580" t="s">
        <v>595</v>
      </c>
      <c r="V36" s="580" t="s">
        <v>595</v>
      </c>
      <c r="W36" s="580" t="s">
        <v>595</v>
      </c>
      <c r="X36" s="580" t="s">
        <v>595</v>
      </c>
      <c r="Y36" s="580" t="s">
        <v>595</v>
      </c>
      <c r="Z36" s="580" t="s">
        <v>595</v>
      </c>
      <c r="AA36" s="580" t="s">
        <v>595</v>
      </c>
      <c r="AB36" s="580" t="s">
        <v>595</v>
      </c>
      <c r="AC36" s="580" t="s">
        <v>595</v>
      </c>
      <c r="AD36" s="580" t="s">
        <v>595</v>
      </c>
      <c r="AE36" s="580" t="s">
        <v>595</v>
      </c>
      <c r="AF36" s="580" t="s">
        <v>595</v>
      </c>
      <c r="AG36" s="580" t="s">
        <v>595</v>
      </c>
      <c r="AH36" s="555"/>
      <c r="AI36" s="555"/>
      <c r="AJ36" s="555"/>
      <c r="AK36" s="580" t="s">
        <v>595</v>
      </c>
      <c r="AL36" s="580" t="s">
        <v>595</v>
      </c>
      <c r="AM36" s="555"/>
      <c r="AN36" s="555"/>
      <c r="AO36" s="555"/>
      <c r="AP36" s="250" t="str">
        <f t="shared" si="3"/>
        <v>X</v>
      </c>
      <c r="AQ36" s="250" t="s">
        <v>595</v>
      </c>
      <c r="AR36" s="638"/>
      <c r="AS36" s="555"/>
      <c r="AT36" s="555"/>
      <c r="AU36" s="555"/>
      <c r="AV36" s="555"/>
      <c r="AW36" s="555"/>
      <c r="AX36" s="555"/>
      <c r="AY36" s="555"/>
      <c r="AZ36" s="555"/>
      <c r="BA36" s="555"/>
      <c r="BB36" s="555"/>
      <c r="BC36" s="555"/>
      <c r="BD36" s="555"/>
      <c r="BE36" s="555"/>
      <c r="BF36" s="555"/>
      <c r="BG36" s="555"/>
      <c r="BH36" s="555"/>
      <c r="BI36" s="555"/>
      <c r="BJ36" s="555"/>
      <c r="BK36" s="555"/>
      <c r="BL36" s="555"/>
    </row>
    <row r="37">
      <c r="A37" s="549" t="s">
        <v>531</v>
      </c>
      <c r="B37" s="555"/>
      <c r="C37" s="243"/>
      <c r="D37" s="555"/>
      <c r="E37" s="580" t="s">
        <v>595</v>
      </c>
      <c r="F37" s="580" t="s">
        <v>595</v>
      </c>
      <c r="G37" s="580" t="s">
        <v>595</v>
      </c>
      <c r="H37" s="555"/>
      <c r="I37" s="555"/>
      <c r="J37" s="243"/>
      <c r="K37" s="243"/>
      <c r="L37" s="555"/>
      <c r="M37" s="580" t="s">
        <v>595</v>
      </c>
      <c r="N37" s="555"/>
      <c r="O37" s="243"/>
      <c r="P37" s="555"/>
      <c r="Q37" s="555"/>
      <c r="R37" s="555"/>
      <c r="S37" s="243"/>
      <c r="T37" s="555"/>
      <c r="U37" s="555"/>
      <c r="V37" s="555"/>
      <c r="W37" s="243"/>
      <c r="X37" s="555"/>
      <c r="Y37" s="243"/>
      <c r="Z37" s="243"/>
      <c r="AA37" s="580" t="s">
        <v>595</v>
      </c>
      <c r="AB37" s="555"/>
      <c r="AC37" s="555"/>
      <c r="AD37" s="580" t="s">
        <v>595</v>
      </c>
      <c r="AE37" s="580" t="s">
        <v>595</v>
      </c>
      <c r="AF37" s="580" t="s">
        <v>595</v>
      </c>
      <c r="AG37" s="555"/>
      <c r="AH37" s="555"/>
      <c r="AI37" s="555"/>
      <c r="AJ37" s="555"/>
      <c r="AK37" s="555"/>
      <c r="AL37" s="580" t="s">
        <v>595</v>
      </c>
      <c r="AM37" s="555"/>
      <c r="AN37" s="555"/>
      <c r="AO37" s="555"/>
      <c r="AP37" s="250" t="str">
        <f t="shared" si="3"/>
        <v>X</v>
      </c>
      <c r="AQ37" s="250" t="s">
        <v>595</v>
      </c>
      <c r="AR37" s="638"/>
      <c r="AS37" s="555"/>
      <c r="AT37" s="555"/>
      <c r="AU37" s="555"/>
      <c r="AV37" s="555"/>
      <c r="AW37" s="555"/>
      <c r="AX37" s="555"/>
      <c r="AY37" s="555"/>
      <c r="AZ37" s="555"/>
      <c r="BA37" s="555"/>
      <c r="BB37" s="555"/>
      <c r="BC37" s="555"/>
      <c r="BD37" s="555"/>
      <c r="BE37" s="555"/>
      <c r="BF37" s="555"/>
      <c r="BG37" s="555"/>
      <c r="BH37" s="555"/>
      <c r="BI37" s="555"/>
      <c r="BJ37" s="555"/>
      <c r="BK37" s="555"/>
      <c r="BL37" s="555"/>
    </row>
    <row r="38">
      <c r="A38" s="549" t="s">
        <v>532</v>
      </c>
      <c r="B38" s="555"/>
      <c r="C38" s="243"/>
      <c r="D38" s="555"/>
      <c r="E38" s="555"/>
      <c r="F38" s="243"/>
      <c r="G38" s="555"/>
      <c r="H38" s="555"/>
      <c r="I38" s="555"/>
      <c r="J38" s="243"/>
      <c r="K38" s="243"/>
      <c r="L38" s="555"/>
      <c r="M38" s="555"/>
      <c r="N38" s="555"/>
      <c r="O38" s="243"/>
      <c r="P38" s="555"/>
      <c r="Q38" s="555"/>
      <c r="R38" s="555"/>
      <c r="S38" s="243"/>
      <c r="T38" s="555"/>
      <c r="U38" s="555"/>
      <c r="V38" s="555"/>
      <c r="W38" s="243"/>
      <c r="X38" s="555"/>
      <c r="Y38" s="243"/>
      <c r="Z38" s="243"/>
      <c r="AA38" s="555"/>
      <c r="AB38" s="555"/>
      <c r="AC38" s="555"/>
      <c r="AD38" s="555"/>
      <c r="AE38" s="555"/>
      <c r="AF38" s="555"/>
      <c r="AG38" s="555"/>
      <c r="AH38" s="555"/>
      <c r="AI38" s="555"/>
      <c r="AJ38" s="555"/>
      <c r="AK38" s="555"/>
      <c r="AL38" s="555"/>
      <c r="AM38" s="555"/>
      <c r="AN38" s="555"/>
      <c r="AO38" s="555"/>
      <c r="AP38" s="250" t="str">
        <f t="shared" si="3"/>
        <v/>
      </c>
      <c r="AQ38" s="250" t="s">
        <v>595</v>
      </c>
      <c r="AR38" s="638"/>
      <c r="AS38" s="555"/>
      <c r="AT38" s="555"/>
      <c r="AU38" s="555"/>
      <c r="AV38" s="555"/>
      <c r="AW38" s="555"/>
      <c r="AX38" s="555"/>
      <c r="AY38" s="555"/>
      <c r="AZ38" s="555"/>
      <c r="BA38" s="555"/>
      <c r="BB38" s="555"/>
      <c r="BC38" s="555"/>
      <c r="BD38" s="555"/>
      <c r="BE38" s="555"/>
      <c r="BF38" s="555"/>
      <c r="BG38" s="555"/>
      <c r="BH38" s="555"/>
      <c r="BI38" s="555"/>
      <c r="BJ38" s="555"/>
      <c r="BK38" s="555"/>
      <c r="BL38" s="555"/>
    </row>
    <row r="39">
      <c r="A39" s="549" t="s">
        <v>533</v>
      </c>
      <c r="B39" s="555"/>
      <c r="C39" s="243"/>
      <c r="D39" s="555"/>
      <c r="E39" s="580" t="s">
        <v>595</v>
      </c>
      <c r="F39" s="580" t="s">
        <v>595</v>
      </c>
      <c r="G39" s="580" t="s">
        <v>595</v>
      </c>
      <c r="H39" s="555"/>
      <c r="I39" s="555"/>
      <c r="J39" s="243"/>
      <c r="K39" s="243"/>
      <c r="L39" s="555"/>
      <c r="M39" s="580" t="s">
        <v>595</v>
      </c>
      <c r="N39" s="555"/>
      <c r="O39" s="580" t="s">
        <v>595</v>
      </c>
      <c r="P39" s="555"/>
      <c r="Q39" s="555"/>
      <c r="R39" s="555"/>
      <c r="S39" s="243"/>
      <c r="T39" s="555"/>
      <c r="U39" s="555"/>
      <c r="V39" s="555"/>
      <c r="W39" s="243"/>
      <c r="X39" s="555"/>
      <c r="Y39" s="243"/>
      <c r="Z39" s="243"/>
      <c r="AA39" s="555"/>
      <c r="AB39" s="555"/>
      <c r="AC39" s="555"/>
      <c r="AD39" s="580" t="s">
        <v>595</v>
      </c>
      <c r="AE39" s="580" t="s">
        <v>595</v>
      </c>
      <c r="AF39" s="580" t="s">
        <v>595</v>
      </c>
      <c r="AG39" s="555"/>
      <c r="AH39" s="555"/>
      <c r="AI39" s="555"/>
      <c r="AJ39" s="555"/>
      <c r="AK39" s="555"/>
      <c r="AL39" s="580" t="s">
        <v>595</v>
      </c>
      <c r="AM39" s="555"/>
      <c r="AN39" s="555"/>
      <c r="AO39" s="555"/>
      <c r="AP39" s="250" t="str">
        <f t="shared" si="3"/>
        <v>X</v>
      </c>
      <c r="AQ39" s="250" t="s">
        <v>595</v>
      </c>
      <c r="AR39" s="638"/>
      <c r="AS39" s="555"/>
      <c r="AT39" s="555"/>
      <c r="AU39" s="555"/>
      <c r="AV39" s="555"/>
      <c r="AW39" s="555"/>
      <c r="AX39" s="555"/>
      <c r="AY39" s="555"/>
      <c r="AZ39" s="555"/>
      <c r="BA39" s="555"/>
      <c r="BB39" s="555"/>
      <c r="BC39" s="555"/>
      <c r="BD39" s="555"/>
      <c r="BE39" s="555"/>
      <c r="BF39" s="555"/>
      <c r="BG39" s="555"/>
      <c r="BH39" s="555"/>
      <c r="BI39" s="555"/>
      <c r="BJ39" s="555"/>
      <c r="BK39" s="555"/>
      <c r="BL39" s="555"/>
    </row>
    <row r="40">
      <c r="A40" s="549"/>
      <c r="B40" s="555"/>
      <c r="C40" s="243"/>
      <c r="D40" s="555"/>
      <c r="E40" s="555"/>
      <c r="F40" s="243"/>
      <c r="G40" s="555"/>
      <c r="H40" s="555"/>
      <c r="I40" s="555"/>
      <c r="J40" s="243"/>
      <c r="K40" s="243"/>
      <c r="L40" s="555"/>
      <c r="M40" s="555"/>
      <c r="N40" s="555"/>
      <c r="O40" s="243"/>
      <c r="P40" s="555"/>
      <c r="Q40" s="555"/>
      <c r="R40" s="555"/>
      <c r="S40" s="243"/>
      <c r="T40" s="555"/>
      <c r="U40" s="555"/>
      <c r="V40" s="555"/>
      <c r="W40" s="243"/>
      <c r="X40" s="555"/>
      <c r="Y40" s="243"/>
      <c r="Z40" s="243"/>
      <c r="AA40" s="555"/>
      <c r="AB40" s="555"/>
      <c r="AC40" s="555"/>
      <c r="AD40" s="555"/>
      <c r="AE40" s="555"/>
      <c r="AF40" s="555"/>
      <c r="AG40" s="555"/>
      <c r="AH40" s="555"/>
      <c r="AI40" s="555"/>
      <c r="AJ40" s="555"/>
      <c r="AK40" s="555"/>
      <c r="AL40" s="555"/>
      <c r="AM40" s="555"/>
      <c r="AN40" s="555"/>
      <c r="AO40" s="555"/>
      <c r="AP40" s="250"/>
      <c r="AQ40" s="250"/>
      <c r="AR40" s="638"/>
      <c r="AS40" s="555"/>
      <c r="AT40" s="555"/>
      <c r="AU40" s="555"/>
      <c r="AV40" s="555"/>
      <c r="AW40" s="555"/>
      <c r="AX40" s="555"/>
      <c r="AY40" s="555"/>
      <c r="AZ40" s="555"/>
      <c r="BA40" s="555"/>
      <c r="BB40" s="555"/>
      <c r="BC40" s="555"/>
      <c r="BD40" s="555"/>
      <c r="BE40" s="555"/>
      <c r="BF40" s="555"/>
      <c r="BG40" s="555"/>
      <c r="BH40" s="555"/>
      <c r="BI40" s="555"/>
      <c r="BJ40" s="555"/>
      <c r="BK40" s="555"/>
      <c r="BL40" s="555"/>
    </row>
    <row r="41">
      <c r="A41" s="635" t="s">
        <v>772</v>
      </c>
      <c r="B41" s="555"/>
      <c r="C41" s="243"/>
      <c r="D41" s="555"/>
      <c r="E41" s="555"/>
      <c r="F41" s="243"/>
      <c r="G41" s="555"/>
      <c r="H41" s="555"/>
      <c r="I41" s="555"/>
      <c r="J41" s="243"/>
      <c r="K41" s="243"/>
      <c r="L41" s="555"/>
      <c r="M41" s="555"/>
      <c r="N41" s="555"/>
      <c r="O41" s="243"/>
      <c r="P41" s="555"/>
      <c r="Q41" s="555"/>
      <c r="R41" s="555"/>
      <c r="S41" s="243"/>
      <c r="T41" s="555"/>
      <c r="U41" s="555"/>
      <c r="V41" s="555"/>
      <c r="W41" s="243"/>
      <c r="X41" s="555"/>
      <c r="Y41" s="243"/>
      <c r="Z41" s="243"/>
      <c r="AA41" s="555"/>
      <c r="AB41" s="555"/>
      <c r="AC41" s="555"/>
      <c r="AD41" s="555"/>
      <c r="AE41" s="555"/>
      <c r="AF41" s="555"/>
      <c r="AG41" s="555"/>
      <c r="AH41" s="555"/>
      <c r="AI41" s="555"/>
      <c r="AJ41" s="555"/>
      <c r="AK41" s="555"/>
      <c r="AL41" s="555"/>
      <c r="AM41" s="555"/>
      <c r="AN41" s="555"/>
      <c r="AO41" s="555"/>
      <c r="AP41" s="250" t="str">
        <f t="shared" ref="AP41:AP51" si="4">IF(OR(F41="X",G41="X",AB41="X",AC41="X"),"X",)</f>
        <v/>
      </c>
      <c r="AQ41" s="250"/>
      <c r="AR41" s="638"/>
      <c r="AS41" s="555"/>
      <c r="AT41" s="555"/>
      <c r="AU41" s="555"/>
      <c r="AV41" s="555"/>
      <c r="AW41" s="555"/>
      <c r="AX41" s="555"/>
      <c r="AY41" s="555"/>
      <c r="AZ41" s="555"/>
      <c r="BA41" s="555"/>
      <c r="BB41" s="555"/>
      <c r="BC41" s="555"/>
      <c r="BD41" s="555"/>
      <c r="BE41" s="555"/>
      <c r="BF41" s="555"/>
      <c r="BG41" s="555"/>
      <c r="BH41" s="555"/>
      <c r="BI41" s="555"/>
      <c r="BJ41" s="555"/>
      <c r="BK41" s="555"/>
      <c r="BL41" s="555"/>
    </row>
    <row r="42">
      <c r="A42" s="554" t="s">
        <v>226</v>
      </c>
      <c r="B42" s="547"/>
      <c r="C42" s="310" t="s">
        <v>595</v>
      </c>
      <c r="D42" s="547"/>
      <c r="E42" s="547"/>
      <c r="F42" s="310" t="s">
        <v>595</v>
      </c>
      <c r="G42" s="310" t="s">
        <v>595</v>
      </c>
      <c r="H42" s="547"/>
      <c r="I42" s="547"/>
      <c r="J42" s="555"/>
      <c r="K42" s="555"/>
      <c r="L42" s="580" t="s">
        <v>595</v>
      </c>
      <c r="M42" s="243"/>
      <c r="N42" s="555"/>
      <c r="O42" s="555"/>
      <c r="P42" s="580" t="s">
        <v>595</v>
      </c>
      <c r="Q42" s="580" t="s">
        <v>595</v>
      </c>
      <c r="R42" s="580" t="s">
        <v>595</v>
      </c>
      <c r="S42" s="580" t="s">
        <v>595</v>
      </c>
      <c r="T42" s="580" t="s">
        <v>595</v>
      </c>
      <c r="U42" s="580" t="s">
        <v>595</v>
      </c>
      <c r="V42" s="580" t="s">
        <v>595</v>
      </c>
      <c r="W42" s="580" t="s">
        <v>595</v>
      </c>
      <c r="X42" s="580" t="s">
        <v>595</v>
      </c>
      <c r="Y42" s="580" t="s">
        <v>595</v>
      </c>
      <c r="Z42" s="580" t="s">
        <v>595</v>
      </c>
      <c r="AA42" s="555"/>
      <c r="AB42" s="555"/>
      <c r="AC42" s="555"/>
      <c r="AD42" s="580" t="s">
        <v>595</v>
      </c>
      <c r="AE42" s="580" t="s">
        <v>595</v>
      </c>
      <c r="AF42" s="555"/>
      <c r="AG42" s="555"/>
      <c r="AH42" s="555"/>
      <c r="AI42" s="580" t="s">
        <v>595</v>
      </c>
      <c r="AJ42" s="547"/>
      <c r="AK42" s="555"/>
      <c r="AL42" s="580"/>
      <c r="AM42" s="580" t="s">
        <v>595</v>
      </c>
      <c r="AN42" s="580"/>
      <c r="AO42" s="580"/>
      <c r="AP42" s="250" t="str">
        <f t="shared" si="4"/>
        <v>X</v>
      </c>
      <c r="AQ42" s="250" t="s">
        <v>595</v>
      </c>
      <c r="AR42" s="646"/>
      <c r="AS42" s="580"/>
      <c r="AT42" s="580"/>
      <c r="AU42" s="580"/>
      <c r="AV42" s="580"/>
      <c r="AW42" s="580"/>
      <c r="AX42" s="580"/>
      <c r="AY42" s="580"/>
      <c r="AZ42" s="580" t="s">
        <v>595</v>
      </c>
      <c r="BA42" s="580" t="s">
        <v>595</v>
      </c>
      <c r="BB42" s="580" t="s">
        <v>595</v>
      </c>
      <c r="BC42" s="580"/>
      <c r="BD42" s="580"/>
      <c r="BE42" s="580"/>
      <c r="BF42" s="580"/>
      <c r="BG42" s="580"/>
      <c r="BH42" s="580"/>
      <c r="BI42" s="580"/>
      <c r="BJ42" s="580"/>
      <c r="BK42" s="580"/>
      <c r="BL42" s="580"/>
    </row>
    <row r="43">
      <c r="A43" s="554" t="s">
        <v>230</v>
      </c>
      <c r="B43" s="310" t="s">
        <v>595</v>
      </c>
      <c r="C43" s="547"/>
      <c r="D43" s="547"/>
      <c r="E43" s="310" t="s">
        <v>595</v>
      </c>
      <c r="F43" s="310" t="s">
        <v>595</v>
      </c>
      <c r="G43" s="310" t="s">
        <v>595</v>
      </c>
      <c r="H43" s="547"/>
      <c r="I43" s="547"/>
      <c r="J43" s="555"/>
      <c r="K43" s="555"/>
      <c r="L43" s="243"/>
      <c r="M43" s="580" t="s">
        <v>595</v>
      </c>
      <c r="N43" s="555"/>
      <c r="O43" s="580" t="s">
        <v>595</v>
      </c>
      <c r="P43" s="580" t="s">
        <v>595</v>
      </c>
      <c r="Q43" s="555"/>
      <c r="R43" s="555"/>
      <c r="S43" s="555"/>
      <c r="T43" s="555"/>
      <c r="U43" s="555"/>
      <c r="V43" s="555"/>
      <c r="W43" s="243"/>
      <c r="X43" s="243"/>
      <c r="Y43" s="243"/>
      <c r="Z43" s="243"/>
      <c r="AA43" s="580" t="s">
        <v>595</v>
      </c>
      <c r="AB43" s="555"/>
      <c r="AC43" s="555"/>
      <c r="AD43" s="555"/>
      <c r="AE43" s="555"/>
      <c r="AF43" s="580" t="s">
        <v>595</v>
      </c>
      <c r="AG43" s="555"/>
      <c r="AH43" s="555"/>
      <c r="AI43" s="580" t="s">
        <v>595</v>
      </c>
      <c r="AJ43" s="547"/>
      <c r="AK43" s="580" t="s">
        <v>595</v>
      </c>
      <c r="AL43" s="580" t="s">
        <v>595</v>
      </c>
      <c r="AM43" s="555"/>
      <c r="AN43" s="580"/>
      <c r="AO43" s="580"/>
      <c r="AP43" s="250" t="str">
        <f t="shared" si="4"/>
        <v>X</v>
      </c>
      <c r="AQ43" s="250" t="s">
        <v>595</v>
      </c>
      <c r="AR43" s="638"/>
      <c r="AS43" s="555"/>
      <c r="AT43" s="580" t="s">
        <v>595</v>
      </c>
      <c r="AU43" s="555"/>
      <c r="AV43" s="555"/>
      <c r="AW43" s="555"/>
      <c r="AX43" s="555"/>
      <c r="AY43" s="555"/>
      <c r="AZ43" s="555"/>
      <c r="BA43" s="555"/>
      <c r="BB43" s="580" t="s">
        <v>595</v>
      </c>
      <c r="BC43" s="555"/>
      <c r="BD43" s="555"/>
      <c r="BE43" s="555"/>
      <c r="BF43" s="555"/>
      <c r="BG43" s="555"/>
      <c r="BH43" s="555"/>
      <c r="BI43" s="555"/>
      <c r="BJ43" s="555"/>
      <c r="BK43" s="555"/>
      <c r="BL43" s="555"/>
    </row>
    <row r="44">
      <c r="A44" s="554" t="s">
        <v>260</v>
      </c>
      <c r="B44" s="547"/>
      <c r="C44" s="547"/>
      <c r="D44" s="547"/>
      <c r="E44" s="310" t="s">
        <v>595</v>
      </c>
      <c r="F44" s="310" t="s">
        <v>595</v>
      </c>
      <c r="G44" s="310" t="s">
        <v>595</v>
      </c>
      <c r="H44" s="547"/>
      <c r="I44" s="547"/>
      <c r="J44" s="555"/>
      <c r="K44" s="580" t="s">
        <v>595</v>
      </c>
      <c r="L44" s="243"/>
      <c r="M44" s="580" t="s">
        <v>595</v>
      </c>
      <c r="N44" s="555"/>
      <c r="O44" s="580" t="s">
        <v>595</v>
      </c>
      <c r="P44" s="243"/>
      <c r="Q44" s="580" t="s">
        <v>595</v>
      </c>
      <c r="R44" s="555"/>
      <c r="S44" s="555"/>
      <c r="T44" s="580" t="s">
        <v>595</v>
      </c>
      <c r="U44" s="555"/>
      <c r="V44" s="555"/>
      <c r="W44" s="243"/>
      <c r="X44" s="243"/>
      <c r="Y44" s="243"/>
      <c r="Z44" s="243"/>
      <c r="AA44" s="580" t="s">
        <v>595</v>
      </c>
      <c r="AB44" s="555"/>
      <c r="AC44" s="555"/>
      <c r="AD44" s="580" t="s">
        <v>595</v>
      </c>
      <c r="AE44" s="580" t="s">
        <v>595</v>
      </c>
      <c r="AF44" s="580" t="s">
        <v>595</v>
      </c>
      <c r="AG44" s="580" t="s">
        <v>595</v>
      </c>
      <c r="AH44" s="555"/>
      <c r="AI44" s="555"/>
      <c r="AJ44" s="555"/>
      <c r="AK44" s="555"/>
      <c r="AL44" s="580" t="s">
        <v>595</v>
      </c>
      <c r="AM44" s="555"/>
      <c r="AN44" s="580"/>
      <c r="AO44" s="580"/>
      <c r="AP44" s="250" t="str">
        <f t="shared" si="4"/>
        <v>X</v>
      </c>
      <c r="AQ44" s="250" t="s">
        <v>595</v>
      </c>
      <c r="AR44" s="638"/>
      <c r="AS44" s="580" t="s">
        <v>595</v>
      </c>
      <c r="AT44" s="580" t="s">
        <v>595</v>
      </c>
      <c r="AU44" s="555"/>
      <c r="AV44" s="555"/>
      <c r="AW44" s="555"/>
      <c r="AX44" s="580" t="s">
        <v>595</v>
      </c>
      <c r="AY44" s="555"/>
      <c r="AZ44" s="555"/>
      <c r="BA44" s="555"/>
      <c r="BB44" s="555"/>
      <c r="BC44" s="555"/>
      <c r="BD44" s="555"/>
      <c r="BE44" s="555"/>
      <c r="BF44" s="555"/>
      <c r="BG44" s="555"/>
      <c r="BH44" s="555"/>
      <c r="BI44" s="555"/>
      <c r="BJ44" s="555"/>
      <c r="BK44" s="555"/>
      <c r="BL44" s="555"/>
    </row>
    <row r="45">
      <c r="A45" s="554" t="s">
        <v>262</v>
      </c>
      <c r="B45" s="547"/>
      <c r="C45" s="547"/>
      <c r="D45" s="547"/>
      <c r="E45" s="547"/>
      <c r="F45" s="310" t="s">
        <v>595</v>
      </c>
      <c r="G45" s="310" t="s">
        <v>595</v>
      </c>
      <c r="H45" s="547"/>
      <c r="I45" s="547"/>
      <c r="J45" s="555"/>
      <c r="K45" s="555"/>
      <c r="L45" s="243"/>
      <c r="M45" s="580" t="s">
        <v>595</v>
      </c>
      <c r="N45" s="580" t="s">
        <v>595</v>
      </c>
      <c r="O45" s="580" t="s">
        <v>595</v>
      </c>
      <c r="P45" s="243"/>
      <c r="Q45" s="580" t="s">
        <v>595</v>
      </c>
      <c r="R45" s="555"/>
      <c r="S45" s="580" t="s">
        <v>595</v>
      </c>
      <c r="T45" s="555"/>
      <c r="U45" s="555"/>
      <c r="V45" s="580" t="s">
        <v>595</v>
      </c>
      <c r="W45" s="243"/>
      <c r="X45" s="243"/>
      <c r="Y45" s="243"/>
      <c r="Z45" s="243"/>
      <c r="AA45" s="580" t="s">
        <v>595</v>
      </c>
      <c r="AB45" s="555"/>
      <c r="AC45" s="555"/>
      <c r="AD45" s="580" t="s">
        <v>595</v>
      </c>
      <c r="AE45" s="580" t="s">
        <v>595</v>
      </c>
      <c r="AF45" s="580" t="s">
        <v>595</v>
      </c>
      <c r="AG45" s="555"/>
      <c r="AH45" s="555"/>
      <c r="AI45" s="580" t="s">
        <v>595</v>
      </c>
      <c r="AJ45" s="310" t="s">
        <v>595</v>
      </c>
      <c r="AK45" s="580" t="s">
        <v>595</v>
      </c>
      <c r="AL45" s="580" t="s">
        <v>595</v>
      </c>
      <c r="AM45" s="555"/>
      <c r="AN45" s="580"/>
      <c r="AO45" s="580"/>
      <c r="AP45" s="250" t="str">
        <f t="shared" si="4"/>
        <v>X</v>
      </c>
      <c r="AQ45" s="250" t="s">
        <v>595</v>
      </c>
      <c r="AR45" s="638"/>
      <c r="AS45" s="555"/>
      <c r="AT45" s="580" t="s">
        <v>595</v>
      </c>
      <c r="AU45" s="555"/>
      <c r="AV45" s="555"/>
      <c r="AW45" s="580" t="s">
        <v>595</v>
      </c>
      <c r="AX45" s="580" t="s">
        <v>595</v>
      </c>
      <c r="AY45" s="555"/>
      <c r="AZ45" s="555"/>
      <c r="BA45" s="555"/>
      <c r="BB45" s="555"/>
      <c r="BC45" s="580" t="s">
        <v>595</v>
      </c>
      <c r="BD45" s="555"/>
      <c r="BE45" s="555"/>
      <c r="BF45" s="555"/>
      <c r="BG45" s="555"/>
      <c r="BH45" s="555"/>
      <c r="BI45" s="555"/>
      <c r="BJ45" s="555"/>
      <c r="BK45" s="555"/>
      <c r="BL45" s="555"/>
    </row>
    <row r="46">
      <c r="A46" s="554" t="s">
        <v>263</v>
      </c>
      <c r="B46" s="310" t="s">
        <v>595</v>
      </c>
      <c r="C46" s="310" t="s">
        <v>595</v>
      </c>
      <c r="D46" s="310" t="s">
        <v>595</v>
      </c>
      <c r="E46" s="310" t="s">
        <v>595</v>
      </c>
      <c r="F46" s="310" t="s">
        <v>595</v>
      </c>
      <c r="G46" s="310" t="s">
        <v>595</v>
      </c>
      <c r="H46" s="310" t="s">
        <v>595</v>
      </c>
      <c r="I46" s="310" t="s">
        <v>595</v>
      </c>
      <c r="J46" s="580" t="s">
        <v>595</v>
      </c>
      <c r="K46" s="580" t="s">
        <v>595</v>
      </c>
      <c r="L46" s="243"/>
      <c r="M46" s="243"/>
      <c r="N46" s="580" t="s">
        <v>595</v>
      </c>
      <c r="O46" s="580" t="s">
        <v>595</v>
      </c>
      <c r="P46" s="580" t="s">
        <v>595</v>
      </c>
      <c r="Q46" s="580" t="s">
        <v>595</v>
      </c>
      <c r="R46" s="580" t="s">
        <v>595</v>
      </c>
      <c r="S46" s="580" t="s">
        <v>595</v>
      </c>
      <c r="T46" s="580" t="s">
        <v>595</v>
      </c>
      <c r="U46" s="580" t="s">
        <v>595</v>
      </c>
      <c r="V46" s="580" t="s">
        <v>595</v>
      </c>
      <c r="W46" s="580" t="s">
        <v>595</v>
      </c>
      <c r="X46" s="580" t="s">
        <v>595</v>
      </c>
      <c r="Y46" s="580" t="s">
        <v>595</v>
      </c>
      <c r="Z46" s="580" t="s">
        <v>595</v>
      </c>
      <c r="AA46" s="580" t="s">
        <v>595</v>
      </c>
      <c r="AB46" s="580" t="s">
        <v>595</v>
      </c>
      <c r="AC46" s="580" t="s">
        <v>595</v>
      </c>
      <c r="AD46" s="580" t="s">
        <v>595</v>
      </c>
      <c r="AE46" s="580" t="s">
        <v>595</v>
      </c>
      <c r="AF46" s="555"/>
      <c r="AG46" s="580" t="s">
        <v>595</v>
      </c>
      <c r="AH46" s="580" t="s">
        <v>595</v>
      </c>
      <c r="AI46" s="580" t="s">
        <v>595</v>
      </c>
      <c r="AJ46" s="310" t="s">
        <v>595</v>
      </c>
      <c r="AK46" s="555"/>
      <c r="AL46" s="555"/>
      <c r="AM46" s="580" t="s">
        <v>595</v>
      </c>
      <c r="AN46" s="555"/>
      <c r="AO46" s="555"/>
      <c r="AP46" s="250" t="str">
        <f t="shared" si="4"/>
        <v>X</v>
      </c>
      <c r="AQ46" s="250" t="s">
        <v>595</v>
      </c>
      <c r="AR46" s="638"/>
      <c r="AS46" s="580" t="s">
        <v>595</v>
      </c>
      <c r="AT46" s="555"/>
      <c r="AU46" s="580" t="s">
        <v>595</v>
      </c>
      <c r="AV46" s="580" t="s">
        <v>595</v>
      </c>
      <c r="AW46" s="555"/>
      <c r="AX46" s="580" t="s">
        <v>595</v>
      </c>
      <c r="AY46" s="555"/>
      <c r="AZ46" s="555"/>
      <c r="BA46" s="580" t="s">
        <v>595</v>
      </c>
      <c r="BB46" s="580" t="s">
        <v>595</v>
      </c>
      <c r="BC46" s="555"/>
      <c r="BD46" s="555"/>
      <c r="BE46" s="555"/>
      <c r="BF46" s="555"/>
      <c r="BG46" s="555"/>
      <c r="BH46" s="555"/>
      <c r="BI46" s="555"/>
      <c r="BJ46" s="555"/>
      <c r="BK46" s="555"/>
      <c r="BL46" s="555"/>
    </row>
    <row r="47">
      <c r="A47" s="554" t="s">
        <v>264</v>
      </c>
      <c r="B47" s="547"/>
      <c r="C47" s="547"/>
      <c r="D47" s="547"/>
      <c r="E47" s="547"/>
      <c r="F47" s="310" t="s">
        <v>595</v>
      </c>
      <c r="G47" s="310" t="s">
        <v>595</v>
      </c>
      <c r="H47" s="310" t="s">
        <v>595</v>
      </c>
      <c r="I47" s="547"/>
      <c r="J47" s="555"/>
      <c r="K47" s="555"/>
      <c r="L47" s="580" t="s">
        <v>595</v>
      </c>
      <c r="M47" s="580" t="s">
        <v>595</v>
      </c>
      <c r="N47" s="580" t="s">
        <v>595</v>
      </c>
      <c r="O47" s="555"/>
      <c r="P47" s="243"/>
      <c r="Q47" s="555"/>
      <c r="R47" s="555"/>
      <c r="S47" s="555"/>
      <c r="T47" s="555"/>
      <c r="U47" s="555"/>
      <c r="V47" s="580" t="s">
        <v>595</v>
      </c>
      <c r="W47" s="243"/>
      <c r="X47" s="580" t="s">
        <v>595</v>
      </c>
      <c r="Y47" s="580" t="s">
        <v>595</v>
      </c>
      <c r="Z47" s="243"/>
      <c r="AA47" s="580" t="s">
        <v>595</v>
      </c>
      <c r="AB47" s="555"/>
      <c r="AC47" s="555"/>
      <c r="AD47" s="555"/>
      <c r="AE47" s="555"/>
      <c r="AF47" s="580" t="s">
        <v>595</v>
      </c>
      <c r="AG47" s="555"/>
      <c r="AH47" s="555"/>
      <c r="AI47" s="580" t="s">
        <v>595</v>
      </c>
      <c r="AJ47" s="547"/>
      <c r="AK47" s="580" t="s">
        <v>595</v>
      </c>
      <c r="AL47" s="555"/>
      <c r="AM47" s="555"/>
      <c r="AN47" s="555"/>
      <c r="AO47" s="555"/>
      <c r="AP47" s="250" t="str">
        <f t="shared" si="4"/>
        <v>X</v>
      </c>
      <c r="AQ47" s="250" t="s">
        <v>595</v>
      </c>
      <c r="AR47" s="638"/>
      <c r="AS47" s="555"/>
      <c r="AT47" s="555"/>
      <c r="AU47" s="555"/>
      <c r="AV47" s="555"/>
      <c r="AW47" s="580" t="s">
        <v>595</v>
      </c>
      <c r="AX47" s="555"/>
      <c r="AY47" s="555"/>
      <c r="AZ47" s="580" t="s">
        <v>595</v>
      </c>
      <c r="BA47" s="555"/>
      <c r="BB47" s="555"/>
      <c r="BC47" s="555"/>
      <c r="BD47" s="580" t="s">
        <v>595</v>
      </c>
      <c r="BE47" s="555"/>
      <c r="BF47" s="555"/>
      <c r="BG47" s="555"/>
      <c r="BH47" s="555"/>
      <c r="BI47" s="555"/>
      <c r="BJ47" s="555"/>
      <c r="BK47" s="555"/>
      <c r="BL47" s="555"/>
    </row>
    <row r="48">
      <c r="A48" s="554" t="s">
        <v>266</v>
      </c>
      <c r="B48" s="310" t="s">
        <v>595</v>
      </c>
      <c r="C48" s="310" t="s">
        <v>595</v>
      </c>
      <c r="D48" s="310" t="s">
        <v>595</v>
      </c>
      <c r="E48" s="310" t="s">
        <v>595</v>
      </c>
      <c r="F48" s="310" t="s">
        <v>595</v>
      </c>
      <c r="G48" s="310" t="s">
        <v>595</v>
      </c>
      <c r="H48" s="310" t="s">
        <v>595</v>
      </c>
      <c r="I48" s="547"/>
      <c r="J48" s="555"/>
      <c r="K48" s="580" t="s">
        <v>595</v>
      </c>
      <c r="L48" s="243"/>
      <c r="M48" s="580" t="s">
        <v>595</v>
      </c>
      <c r="N48" s="555"/>
      <c r="O48" s="580" t="s">
        <v>595</v>
      </c>
      <c r="P48" s="580" t="s">
        <v>595</v>
      </c>
      <c r="Q48" s="580" t="s">
        <v>595</v>
      </c>
      <c r="R48" s="580" t="s">
        <v>595</v>
      </c>
      <c r="S48" s="580" t="s">
        <v>595</v>
      </c>
      <c r="T48" s="580" t="s">
        <v>595</v>
      </c>
      <c r="U48" s="580" t="s">
        <v>595</v>
      </c>
      <c r="V48" s="580" t="s">
        <v>595</v>
      </c>
      <c r="W48" s="580" t="s">
        <v>595</v>
      </c>
      <c r="X48" s="580" t="s">
        <v>595</v>
      </c>
      <c r="Y48" s="580" t="s">
        <v>595</v>
      </c>
      <c r="Z48" s="580" t="s">
        <v>595</v>
      </c>
      <c r="AA48" s="580" t="s">
        <v>595</v>
      </c>
      <c r="AB48" s="580" t="s">
        <v>595</v>
      </c>
      <c r="AC48" s="580" t="s">
        <v>595</v>
      </c>
      <c r="AD48" s="580" t="s">
        <v>595</v>
      </c>
      <c r="AE48" s="580" t="s">
        <v>595</v>
      </c>
      <c r="AF48" s="580" t="s">
        <v>595</v>
      </c>
      <c r="AG48" s="580" t="s">
        <v>595</v>
      </c>
      <c r="AH48" s="555"/>
      <c r="AI48" s="580" t="s">
        <v>595</v>
      </c>
      <c r="AJ48" s="310" t="s">
        <v>595</v>
      </c>
      <c r="AK48" s="555"/>
      <c r="AL48" s="580" t="s">
        <v>595</v>
      </c>
      <c r="AM48" s="580" t="s">
        <v>595</v>
      </c>
      <c r="AN48" s="555"/>
      <c r="AO48" s="555"/>
      <c r="AP48" s="250" t="str">
        <f t="shared" si="4"/>
        <v>X</v>
      </c>
      <c r="AQ48" s="250" t="s">
        <v>595</v>
      </c>
      <c r="AR48" s="646"/>
      <c r="AS48" s="580"/>
      <c r="AT48" s="580"/>
      <c r="AU48" s="580"/>
      <c r="AV48" s="580" t="s">
        <v>595</v>
      </c>
      <c r="AW48" s="580"/>
      <c r="AX48" s="580"/>
      <c r="AY48" s="580" t="s">
        <v>595</v>
      </c>
      <c r="AZ48" s="580"/>
      <c r="BA48" s="580" t="s">
        <v>595</v>
      </c>
      <c r="BB48" s="580" t="s">
        <v>595</v>
      </c>
      <c r="BC48" s="580"/>
      <c r="BD48" s="580"/>
      <c r="BE48" s="580"/>
      <c r="BF48" s="580"/>
      <c r="BG48" s="580"/>
      <c r="BH48" s="580"/>
      <c r="BI48" s="580"/>
      <c r="BJ48" s="580"/>
      <c r="BK48" s="580"/>
      <c r="BL48" s="580"/>
    </row>
    <row r="49">
      <c r="A49" s="554" t="s">
        <v>268</v>
      </c>
      <c r="B49" s="310" t="s">
        <v>595</v>
      </c>
      <c r="C49" s="547"/>
      <c r="D49" s="310" t="s">
        <v>595</v>
      </c>
      <c r="E49" s="310" t="s">
        <v>595</v>
      </c>
      <c r="F49" s="310" t="s">
        <v>595</v>
      </c>
      <c r="G49" s="310" t="s">
        <v>595</v>
      </c>
      <c r="H49" s="547"/>
      <c r="I49" s="547"/>
      <c r="J49" s="580" t="s">
        <v>595</v>
      </c>
      <c r="K49" s="555"/>
      <c r="L49" s="243"/>
      <c r="M49" s="243"/>
      <c r="N49" s="580" t="s">
        <v>595</v>
      </c>
      <c r="O49" s="580" t="s">
        <v>595</v>
      </c>
      <c r="P49" s="243"/>
      <c r="Q49" s="580" t="s">
        <v>595</v>
      </c>
      <c r="R49" s="555"/>
      <c r="S49" s="580" t="s">
        <v>595</v>
      </c>
      <c r="T49" s="555"/>
      <c r="U49" s="580" t="s">
        <v>595</v>
      </c>
      <c r="V49" s="555"/>
      <c r="W49" s="243"/>
      <c r="X49" s="243"/>
      <c r="Y49" s="243"/>
      <c r="Z49" s="243"/>
      <c r="AA49" s="580" t="s">
        <v>595</v>
      </c>
      <c r="AB49" s="555"/>
      <c r="AC49" s="555"/>
      <c r="AD49" s="580" t="s">
        <v>595</v>
      </c>
      <c r="AE49" s="580" t="s">
        <v>595</v>
      </c>
      <c r="AF49" s="580" t="s">
        <v>595</v>
      </c>
      <c r="AG49" s="580" t="s">
        <v>595</v>
      </c>
      <c r="AH49" s="555"/>
      <c r="AI49" s="555"/>
      <c r="AJ49" s="310" t="s">
        <v>595</v>
      </c>
      <c r="AK49" s="580" t="s">
        <v>595</v>
      </c>
      <c r="AL49" s="580" t="s">
        <v>595</v>
      </c>
      <c r="AM49" s="580"/>
      <c r="AN49" s="580"/>
      <c r="AO49" s="580"/>
      <c r="AP49" s="250" t="str">
        <f t="shared" si="4"/>
        <v>X</v>
      </c>
      <c r="AQ49" s="250" t="s">
        <v>595</v>
      </c>
      <c r="AR49" s="646"/>
      <c r="AS49" s="580"/>
      <c r="AT49" s="580" t="s">
        <v>595</v>
      </c>
      <c r="AU49" s="580"/>
      <c r="AV49" s="580" t="s">
        <v>595</v>
      </c>
      <c r="AW49" s="580"/>
      <c r="AX49" s="580"/>
      <c r="AY49" s="580"/>
      <c r="AZ49" s="580"/>
      <c r="BA49" s="580"/>
      <c r="BB49" s="580"/>
      <c r="BC49" s="580" t="s">
        <v>595</v>
      </c>
      <c r="BD49" s="580" t="s">
        <v>595</v>
      </c>
      <c r="BE49" s="580"/>
      <c r="BF49" s="580"/>
      <c r="BG49" s="580"/>
      <c r="BH49" s="580"/>
      <c r="BI49" s="580"/>
      <c r="BJ49" s="580"/>
      <c r="BK49" s="580"/>
      <c r="BL49" s="580"/>
    </row>
    <row r="50">
      <c r="A50" s="554" t="s">
        <v>269</v>
      </c>
      <c r="B50" s="310" t="s">
        <v>595</v>
      </c>
      <c r="C50" s="547"/>
      <c r="D50" s="310" t="s">
        <v>595</v>
      </c>
      <c r="E50" s="310" t="s">
        <v>595</v>
      </c>
      <c r="F50" s="310" t="s">
        <v>595</v>
      </c>
      <c r="G50" s="310" t="s">
        <v>595</v>
      </c>
      <c r="H50" s="310" t="s">
        <v>595</v>
      </c>
      <c r="I50" s="547"/>
      <c r="J50" s="555"/>
      <c r="K50" s="580" t="s">
        <v>595</v>
      </c>
      <c r="L50" s="243"/>
      <c r="M50" s="243"/>
      <c r="N50" s="555"/>
      <c r="O50" s="580" t="s">
        <v>595</v>
      </c>
      <c r="P50" s="243"/>
      <c r="Q50" s="555"/>
      <c r="R50" s="555"/>
      <c r="S50" s="555"/>
      <c r="T50" s="555"/>
      <c r="U50" s="580" t="s">
        <v>595</v>
      </c>
      <c r="V50" s="555"/>
      <c r="W50" s="580" t="s">
        <v>595</v>
      </c>
      <c r="X50" s="243"/>
      <c r="Y50" s="243"/>
      <c r="Z50" s="243"/>
      <c r="AA50" s="580" t="s">
        <v>595</v>
      </c>
      <c r="AB50" s="580" t="s">
        <v>595</v>
      </c>
      <c r="AC50" s="580" t="s">
        <v>595</v>
      </c>
      <c r="AD50" s="580" t="s">
        <v>595</v>
      </c>
      <c r="AE50" s="580" t="s">
        <v>595</v>
      </c>
      <c r="AF50" s="580" t="s">
        <v>595</v>
      </c>
      <c r="AG50" s="580" t="s">
        <v>595</v>
      </c>
      <c r="AH50" s="580" t="s">
        <v>595</v>
      </c>
      <c r="AI50" s="555"/>
      <c r="AJ50" s="547"/>
      <c r="AK50" s="555"/>
      <c r="AL50" s="580" t="s">
        <v>595</v>
      </c>
      <c r="AM50" s="555"/>
      <c r="AN50" s="555"/>
      <c r="AO50" s="555"/>
      <c r="AP50" s="250" t="str">
        <f t="shared" si="4"/>
        <v>X</v>
      </c>
      <c r="AQ50" s="250" t="s">
        <v>595</v>
      </c>
      <c r="AR50" s="638"/>
      <c r="AS50" s="580" t="s">
        <v>595</v>
      </c>
      <c r="AT50" s="580" t="s">
        <v>595</v>
      </c>
      <c r="AU50" s="555"/>
      <c r="AV50" s="580" t="s">
        <v>595</v>
      </c>
      <c r="AW50" s="555"/>
      <c r="AX50" s="580" t="s">
        <v>595</v>
      </c>
      <c r="AY50" s="555"/>
      <c r="AZ50" s="555"/>
      <c r="BA50" s="555"/>
      <c r="BB50" s="555"/>
      <c r="BC50" s="555"/>
      <c r="BD50" s="555"/>
      <c r="BE50" s="555"/>
      <c r="BF50" s="555"/>
      <c r="BG50" s="555"/>
      <c r="BH50" s="555"/>
      <c r="BI50" s="555"/>
      <c r="BJ50" s="555"/>
      <c r="BK50" s="555"/>
      <c r="BL50" s="555"/>
    </row>
    <row r="51">
      <c r="A51" s="554" t="s">
        <v>271</v>
      </c>
      <c r="B51" s="547"/>
      <c r="C51" s="547"/>
      <c r="D51" s="547"/>
      <c r="E51" s="310" t="s">
        <v>595</v>
      </c>
      <c r="F51" s="310" t="s">
        <v>595</v>
      </c>
      <c r="G51" s="310" t="s">
        <v>595</v>
      </c>
      <c r="H51" s="310" t="s">
        <v>595</v>
      </c>
      <c r="I51" s="547"/>
      <c r="J51" s="555"/>
      <c r="K51" s="555"/>
      <c r="L51" s="243"/>
      <c r="M51" s="580" t="s">
        <v>595</v>
      </c>
      <c r="N51" s="580" t="s">
        <v>595</v>
      </c>
      <c r="O51" s="580" t="s">
        <v>595</v>
      </c>
      <c r="P51" s="243"/>
      <c r="Q51" s="555"/>
      <c r="R51" s="580" t="s">
        <v>595</v>
      </c>
      <c r="S51" s="555"/>
      <c r="T51" s="555"/>
      <c r="U51" s="555"/>
      <c r="V51" s="555"/>
      <c r="W51" s="243"/>
      <c r="X51" s="243"/>
      <c r="Y51" s="580" t="s">
        <v>595</v>
      </c>
      <c r="Z51" s="243"/>
      <c r="AA51" s="555"/>
      <c r="AB51" s="555"/>
      <c r="AC51" s="555"/>
      <c r="AD51" s="580" t="s">
        <v>595</v>
      </c>
      <c r="AE51" s="580" t="s">
        <v>595</v>
      </c>
      <c r="AF51" s="580" t="s">
        <v>595</v>
      </c>
      <c r="AG51" s="580" t="s">
        <v>595</v>
      </c>
      <c r="AH51" s="555"/>
      <c r="AI51" s="580" t="s">
        <v>595</v>
      </c>
      <c r="AJ51" s="547"/>
      <c r="AK51" s="580" t="s">
        <v>595</v>
      </c>
      <c r="AL51" s="580" t="s">
        <v>595</v>
      </c>
      <c r="AM51" s="555"/>
      <c r="AN51" s="580"/>
      <c r="AO51" s="580"/>
      <c r="AP51" s="250" t="str">
        <f t="shared" si="4"/>
        <v>X</v>
      </c>
      <c r="AQ51" s="250" t="s">
        <v>595</v>
      </c>
      <c r="AR51" s="638"/>
      <c r="AS51" s="555"/>
      <c r="AT51" s="580" t="s">
        <v>595</v>
      </c>
      <c r="AU51" s="555"/>
      <c r="AV51" s="555"/>
      <c r="AW51" s="555"/>
      <c r="AX51" s="555"/>
      <c r="AY51" s="555"/>
      <c r="AZ51" s="580" t="s">
        <v>595</v>
      </c>
      <c r="BA51" s="555"/>
      <c r="BB51" s="555"/>
      <c r="BC51" s="555"/>
      <c r="BD51" s="580" t="s">
        <v>595</v>
      </c>
      <c r="BE51" s="555"/>
      <c r="BF51" s="555"/>
      <c r="BG51" s="555"/>
      <c r="BH51" s="555"/>
      <c r="BI51" s="555"/>
      <c r="BJ51" s="555"/>
      <c r="BK51" s="555"/>
      <c r="BL51" s="555"/>
    </row>
    <row r="52">
      <c r="A52" s="554"/>
      <c r="B52" s="547"/>
      <c r="C52" s="547"/>
      <c r="D52" s="547"/>
      <c r="E52" s="310"/>
      <c r="F52" s="310"/>
      <c r="G52" s="310"/>
      <c r="H52" s="310"/>
      <c r="I52" s="547"/>
      <c r="J52" s="555"/>
      <c r="K52" s="555"/>
      <c r="L52" s="243"/>
      <c r="M52" s="580"/>
      <c r="N52" s="580"/>
      <c r="O52" s="580"/>
      <c r="P52" s="243"/>
      <c r="Q52" s="555"/>
      <c r="R52" s="580"/>
      <c r="S52" s="555"/>
      <c r="T52" s="555"/>
      <c r="U52" s="555"/>
      <c r="V52" s="555"/>
      <c r="W52" s="243"/>
      <c r="X52" s="243"/>
      <c r="Y52" s="580"/>
      <c r="Z52" s="243"/>
      <c r="AA52" s="555"/>
      <c r="AB52" s="555"/>
      <c r="AC52" s="555"/>
      <c r="AD52" s="580"/>
      <c r="AE52" s="580"/>
      <c r="AF52" s="580"/>
      <c r="AG52" s="580"/>
      <c r="AH52" s="555"/>
      <c r="AI52" s="580"/>
      <c r="AJ52" s="547"/>
      <c r="AK52" s="580"/>
      <c r="AL52" s="580"/>
      <c r="AM52" s="555"/>
      <c r="AN52" s="580"/>
      <c r="AO52" s="580"/>
      <c r="AP52" s="250"/>
      <c r="AQ52" s="250"/>
      <c r="AR52" s="638"/>
      <c r="AS52" s="555"/>
      <c r="AT52" s="580"/>
      <c r="AU52" s="555"/>
      <c r="AV52" s="555"/>
      <c r="AW52" s="555"/>
      <c r="AX52" s="555"/>
      <c r="AY52" s="555"/>
      <c r="AZ52" s="580"/>
      <c r="BA52" s="555"/>
      <c r="BB52" s="555"/>
      <c r="BC52" s="555"/>
      <c r="BD52" s="580"/>
      <c r="BE52" s="555"/>
      <c r="BF52" s="555"/>
      <c r="BG52" s="555"/>
      <c r="BH52" s="555"/>
      <c r="BI52" s="555"/>
      <c r="BJ52" s="555"/>
      <c r="BK52" s="555"/>
      <c r="BL52" s="555"/>
    </row>
    <row r="53" ht="7.5" customHeight="1">
      <c r="A53" s="635" t="s">
        <v>776</v>
      </c>
      <c r="B53" s="632" t="s">
        <v>726</v>
      </c>
      <c r="C53" s="656" t="s">
        <v>729</v>
      </c>
      <c r="D53" s="656" t="s">
        <v>231</v>
      </c>
      <c r="E53" s="656" t="s">
        <v>261</v>
      </c>
      <c r="F53" s="656" t="s">
        <v>730</v>
      </c>
      <c r="G53" s="656" t="s">
        <v>730</v>
      </c>
      <c r="H53" s="656" t="s">
        <v>299</v>
      </c>
      <c r="I53" s="656" t="s">
        <v>777</v>
      </c>
      <c r="J53" s="656" t="s">
        <v>394</v>
      </c>
      <c r="K53" s="656" t="s">
        <v>437</v>
      </c>
      <c r="L53" s="656" t="s">
        <v>478</v>
      </c>
      <c r="M53" s="656" t="s">
        <v>778</v>
      </c>
      <c r="N53" s="656" t="s">
        <v>543</v>
      </c>
      <c r="O53" s="656" t="s">
        <v>580</v>
      </c>
      <c r="P53" s="656" t="s">
        <v>779</v>
      </c>
      <c r="Q53" s="656" t="s">
        <v>780</v>
      </c>
      <c r="R53" s="656" t="s">
        <v>781</v>
      </c>
      <c r="S53" s="656" t="s">
        <v>782</v>
      </c>
      <c r="T53" s="656" t="s">
        <v>783</v>
      </c>
      <c r="U53" s="656" t="s">
        <v>784</v>
      </c>
      <c r="V53" s="656" t="s">
        <v>785</v>
      </c>
      <c r="W53" s="656" t="s">
        <v>786</v>
      </c>
      <c r="X53" s="656" t="s">
        <v>787</v>
      </c>
      <c r="Y53" s="656" t="s">
        <v>788</v>
      </c>
      <c r="Z53" s="656" t="s">
        <v>789</v>
      </c>
      <c r="AA53" s="656" t="s">
        <v>657</v>
      </c>
      <c r="AB53" s="656" t="s">
        <v>737</v>
      </c>
      <c r="AC53" s="656" t="s">
        <v>737</v>
      </c>
      <c r="AD53" s="656" t="s">
        <v>738</v>
      </c>
      <c r="AE53" s="656" t="s">
        <v>738</v>
      </c>
      <c r="AF53" s="656" t="s">
        <v>673</v>
      </c>
      <c r="AG53" s="656" t="s">
        <v>687</v>
      </c>
      <c r="AH53" s="656" t="s">
        <v>790</v>
      </c>
      <c r="AI53" s="656" t="s">
        <v>791</v>
      </c>
      <c r="AJ53" s="656" t="s">
        <v>723</v>
      </c>
      <c r="AK53" s="656" t="s">
        <v>728</v>
      </c>
      <c r="AL53" s="629" t="s">
        <v>740</v>
      </c>
      <c r="AM53" s="629" t="s">
        <v>792</v>
      </c>
      <c r="AN53" s="660" t="s">
        <v>757</v>
      </c>
      <c r="AO53" s="660" t="s">
        <v>794</v>
      </c>
      <c r="AP53" s="630" t="s">
        <v>743</v>
      </c>
      <c r="AQ53" s="630" t="s">
        <v>744</v>
      </c>
      <c r="AR53" s="662"/>
      <c r="AS53" s="630" t="s">
        <v>745</v>
      </c>
      <c r="AT53" s="630" t="s">
        <v>746</v>
      </c>
      <c r="AU53" s="630" t="s">
        <v>747</v>
      </c>
      <c r="AV53" s="630" t="s">
        <v>748</v>
      </c>
      <c r="AW53" s="630" t="s">
        <v>749</v>
      </c>
      <c r="AX53" s="630" t="s">
        <v>750</v>
      </c>
      <c r="AY53" s="630" t="s">
        <v>751</v>
      </c>
      <c r="AZ53" s="630" t="s">
        <v>752</v>
      </c>
      <c r="BA53" s="630" t="s">
        <v>753</v>
      </c>
      <c r="BB53" s="630" t="s">
        <v>754</v>
      </c>
      <c r="BC53" s="630" t="s">
        <v>755</v>
      </c>
      <c r="BD53" s="630" t="s">
        <v>756</v>
      </c>
      <c r="BE53" s="665"/>
      <c r="BF53" s="665"/>
      <c r="BG53" s="665"/>
      <c r="BH53" s="665"/>
      <c r="BI53" s="665"/>
      <c r="BJ53" s="665"/>
      <c r="BK53" s="665"/>
      <c r="BL53" s="665"/>
    </row>
    <row r="54">
      <c r="A54" s="319" t="s">
        <v>276</v>
      </c>
      <c r="B54" s="310" t="s">
        <v>595</v>
      </c>
      <c r="C54" s="547"/>
      <c r="D54" s="310"/>
      <c r="E54" s="310"/>
      <c r="F54" s="310" t="s">
        <v>595</v>
      </c>
      <c r="G54" s="310" t="s">
        <v>595</v>
      </c>
      <c r="H54" s="310"/>
      <c r="I54" s="547"/>
      <c r="J54" s="555"/>
      <c r="K54" s="580"/>
      <c r="L54" s="243"/>
      <c r="M54" s="243"/>
      <c r="N54" s="580" t="s">
        <v>595</v>
      </c>
      <c r="O54" s="580" t="s">
        <v>595</v>
      </c>
      <c r="P54" s="243"/>
      <c r="Q54" s="243"/>
      <c r="R54" s="243"/>
      <c r="S54" s="243"/>
      <c r="T54" s="243"/>
      <c r="U54" s="555"/>
      <c r="V54" s="555"/>
      <c r="W54" s="243"/>
      <c r="X54" s="555"/>
      <c r="Y54" s="243"/>
      <c r="Z54" s="243"/>
      <c r="AA54" s="580" t="s">
        <v>595</v>
      </c>
      <c r="AB54" s="555"/>
      <c r="AC54" s="555"/>
      <c r="AD54" s="580" t="s">
        <v>595</v>
      </c>
      <c r="AE54" s="580" t="s">
        <v>595</v>
      </c>
      <c r="AF54" s="555"/>
      <c r="AG54" s="580"/>
      <c r="AH54" s="555"/>
      <c r="AI54" s="580"/>
      <c r="AJ54" s="310" t="s">
        <v>595</v>
      </c>
      <c r="AK54" s="555"/>
      <c r="AL54" s="580"/>
      <c r="AM54" s="580" t="s">
        <v>595</v>
      </c>
      <c r="AN54" s="580" t="s">
        <v>595</v>
      </c>
      <c r="AO54" s="580"/>
      <c r="AP54" s="250" t="str">
        <f t="shared" ref="AP54:AP61" si="5">IF(OR(F54="X",G54="X",AB54="X",AC54="X"),"X",)</f>
        <v>X</v>
      </c>
      <c r="AQ54" s="250" t="s">
        <v>595</v>
      </c>
      <c r="AR54" s="638"/>
      <c r="AS54" s="555"/>
      <c r="AT54" s="555"/>
      <c r="AU54" s="555"/>
      <c r="AV54" s="555"/>
      <c r="AW54" s="555"/>
      <c r="AX54" s="555"/>
      <c r="AY54" s="555"/>
      <c r="AZ54" s="555"/>
      <c r="BA54" s="555"/>
      <c r="BB54" s="555"/>
      <c r="BC54" s="555"/>
      <c r="BD54" s="555"/>
      <c r="BE54" s="555"/>
      <c r="BF54" s="555"/>
      <c r="BG54" s="555"/>
      <c r="BH54" s="555"/>
      <c r="BI54" s="555"/>
      <c r="BJ54" s="555"/>
      <c r="BK54" s="555"/>
      <c r="BL54" s="555"/>
    </row>
    <row r="55">
      <c r="A55" s="319" t="s">
        <v>23</v>
      </c>
      <c r="B55" s="310"/>
      <c r="C55" s="547"/>
      <c r="D55" s="310" t="s">
        <v>595</v>
      </c>
      <c r="E55" s="310"/>
      <c r="F55" s="310" t="s">
        <v>595</v>
      </c>
      <c r="G55" s="310" t="s">
        <v>595</v>
      </c>
      <c r="H55" s="310" t="s">
        <v>595</v>
      </c>
      <c r="I55" s="547"/>
      <c r="J55" s="555"/>
      <c r="K55" s="580"/>
      <c r="L55" s="580" t="s">
        <v>595</v>
      </c>
      <c r="M55" s="243"/>
      <c r="N55" s="580" t="s">
        <v>595</v>
      </c>
      <c r="O55" s="580" t="s">
        <v>595</v>
      </c>
      <c r="P55" s="580" t="s">
        <v>595</v>
      </c>
      <c r="Q55" s="243"/>
      <c r="R55" s="243"/>
      <c r="S55" s="243"/>
      <c r="T55" s="243"/>
      <c r="U55" s="555"/>
      <c r="V55" s="555"/>
      <c r="W55" s="243"/>
      <c r="X55" s="580" t="s">
        <v>595</v>
      </c>
      <c r="Y55" s="580" t="s">
        <v>595</v>
      </c>
      <c r="Z55" s="580" t="s">
        <v>595</v>
      </c>
      <c r="AA55" s="580" t="s">
        <v>595</v>
      </c>
      <c r="AB55" s="580" t="s">
        <v>595</v>
      </c>
      <c r="AC55" s="580" t="s">
        <v>595</v>
      </c>
      <c r="AD55" s="580" t="s">
        <v>595</v>
      </c>
      <c r="AE55" s="580" t="s">
        <v>595</v>
      </c>
      <c r="AF55" s="555"/>
      <c r="AG55" s="580" t="s">
        <v>595</v>
      </c>
      <c r="AH55" s="555"/>
      <c r="AI55" s="580" t="s">
        <v>595</v>
      </c>
      <c r="AJ55" s="547"/>
      <c r="AK55" s="555"/>
      <c r="AL55" s="580"/>
      <c r="AM55" s="580" t="s">
        <v>595</v>
      </c>
      <c r="AN55" s="580" t="s">
        <v>595</v>
      </c>
      <c r="AO55" s="580" t="s">
        <v>595</v>
      </c>
      <c r="AP55" s="250" t="str">
        <f t="shared" si="5"/>
        <v>X</v>
      </c>
      <c r="AQ55" s="250" t="s">
        <v>595</v>
      </c>
      <c r="AR55" s="638"/>
      <c r="AS55" s="555"/>
      <c r="AT55" s="555"/>
      <c r="AU55" s="555"/>
      <c r="AV55" s="555"/>
      <c r="AW55" s="555"/>
      <c r="AX55" s="555"/>
      <c r="AY55" s="555"/>
      <c r="AZ55" s="555"/>
      <c r="BA55" s="555"/>
      <c r="BB55" s="555"/>
      <c r="BC55" s="555"/>
      <c r="BD55" s="555"/>
      <c r="BE55" s="555"/>
      <c r="BF55" s="555"/>
      <c r="BG55" s="555"/>
      <c r="BH55" s="555"/>
      <c r="BI55" s="555"/>
      <c r="BJ55" s="555"/>
      <c r="BK55" s="555"/>
      <c r="BL55" s="555"/>
    </row>
    <row r="56">
      <c r="A56" s="319" t="s">
        <v>279</v>
      </c>
      <c r="B56" s="310"/>
      <c r="C56" s="547"/>
      <c r="D56" s="310" t="s">
        <v>595</v>
      </c>
      <c r="E56" s="310"/>
      <c r="F56" s="310" t="s">
        <v>595</v>
      </c>
      <c r="G56" s="310" t="s">
        <v>595</v>
      </c>
      <c r="H56" s="310" t="s">
        <v>595</v>
      </c>
      <c r="I56" s="547"/>
      <c r="J56" s="555"/>
      <c r="K56" s="580"/>
      <c r="L56" s="580" t="s">
        <v>595</v>
      </c>
      <c r="M56" s="243"/>
      <c r="N56" s="580" t="s">
        <v>595</v>
      </c>
      <c r="O56" s="580" t="s">
        <v>595</v>
      </c>
      <c r="P56" s="580" t="s">
        <v>595</v>
      </c>
      <c r="Q56" s="243"/>
      <c r="R56" s="243"/>
      <c r="S56" s="243"/>
      <c r="T56" s="243"/>
      <c r="U56" s="555"/>
      <c r="V56" s="555"/>
      <c r="W56" s="243"/>
      <c r="X56" s="580" t="s">
        <v>595</v>
      </c>
      <c r="Y56" s="580" t="s">
        <v>595</v>
      </c>
      <c r="Z56" s="580" t="s">
        <v>595</v>
      </c>
      <c r="AA56" s="580" t="s">
        <v>595</v>
      </c>
      <c r="AB56" s="580" t="s">
        <v>595</v>
      </c>
      <c r="AC56" s="580" t="s">
        <v>595</v>
      </c>
      <c r="AD56" s="580" t="s">
        <v>595</v>
      </c>
      <c r="AE56" s="580" t="s">
        <v>595</v>
      </c>
      <c r="AF56" s="555"/>
      <c r="AG56" s="580" t="s">
        <v>595</v>
      </c>
      <c r="AH56" s="555"/>
      <c r="AI56" s="580" t="s">
        <v>595</v>
      </c>
      <c r="AJ56" s="547"/>
      <c r="AK56" s="555"/>
      <c r="AL56" s="580"/>
      <c r="AM56" s="580" t="s">
        <v>595</v>
      </c>
      <c r="AN56" s="580" t="s">
        <v>595</v>
      </c>
      <c r="AO56" s="580" t="s">
        <v>595</v>
      </c>
      <c r="AP56" s="250" t="str">
        <f t="shared" si="5"/>
        <v>X</v>
      </c>
      <c r="AQ56" s="250" t="s">
        <v>595</v>
      </c>
      <c r="AR56" s="638"/>
      <c r="AS56" s="555"/>
      <c r="AT56" s="555"/>
      <c r="AU56" s="555"/>
      <c r="AV56" s="555"/>
      <c r="AW56" s="555"/>
      <c r="AX56" s="555"/>
      <c r="AY56" s="555"/>
      <c r="AZ56" s="555"/>
      <c r="BA56" s="555"/>
      <c r="BB56" s="555"/>
      <c r="BC56" s="555"/>
      <c r="BD56" s="555"/>
      <c r="BE56" s="555"/>
      <c r="BF56" s="555"/>
      <c r="BG56" s="555"/>
      <c r="BH56" s="555"/>
      <c r="BI56" s="555"/>
      <c r="BJ56" s="555"/>
      <c r="BK56" s="555"/>
      <c r="BL56" s="555"/>
    </row>
    <row r="57">
      <c r="A57" s="319" t="s">
        <v>280</v>
      </c>
      <c r="B57" s="310"/>
      <c r="C57" s="310" t="s">
        <v>595</v>
      </c>
      <c r="D57" s="310" t="s">
        <v>595</v>
      </c>
      <c r="E57" s="310"/>
      <c r="F57" s="310" t="s">
        <v>595</v>
      </c>
      <c r="G57" s="310" t="s">
        <v>595</v>
      </c>
      <c r="H57" s="310" t="s">
        <v>595</v>
      </c>
      <c r="I57" s="547"/>
      <c r="J57" s="580" t="s">
        <v>595</v>
      </c>
      <c r="K57" s="580" t="s">
        <v>595</v>
      </c>
      <c r="L57" s="243"/>
      <c r="M57" s="243"/>
      <c r="N57" s="555"/>
      <c r="O57" s="580" t="s">
        <v>595</v>
      </c>
      <c r="P57" s="580" t="s">
        <v>595</v>
      </c>
      <c r="Q57" s="580" t="s">
        <v>595</v>
      </c>
      <c r="R57" s="243"/>
      <c r="S57" s="243"/>
      <c r="T57" s="580" t="s">
        <v>595</v>
      </c>
      <c r="U57" s="580" t="s">
        <v>595</v>
      </c>
      <c r="V57" s="555"/>
      <c r="W57" s="580" t="s">
        <v>595</v>
      </c>
      <c r="X57" s="555"/>
      <c r="Y57" s="580" t="s">
        <v>595</v>
      </c>
      <c r="Z57" s="243"/>
      <c r="AA57" s="580" t="s">
        <v>595</v>
      </c>
      <c r="AB57" s="580" t="s">
        <v>595</v>
      </c>
      <c r="AC57" s="580" t="s">
        <v>595</v>
      </c>
      <c r="AD57" s="580" t="s">
        <v>595</v>
      </c>
      <c r="AE57" s="580" t="s">
        <v>595</v>
      </c>
      <c r="AF57" s="555"/>
      <c r="AG57" s="580" t="s">
        <v>595</v>
      </c>
      <c r="AH57" s="580" t="s">
        <v>595</v>
      </c>
      <c r="AI57" s="580" t="s">
        <v>595</v>
      </c>
      <c r="AJ57" s="310" t="s">
        <v>595</v>
      </c>
      <c r="AK57" s="555"/>
      <c r="AL57" s="580"/>
      <c r="AM57" s="580" t="s">
        <v>595</v>
      </c>
      <c r="AN57" s="580" t="s">
        <v>595</v>
      </c>
      <c r="AO57" s="580" t="s">
        <v>595</v>
      </c>
      <c r="AP57" s="250" t="str">
        <f t="shared" si="5"/>
        <v>X</v>
      </c>
      <c r="AQ57" s="250" t="s">
        <v>595</v>
      </c>
      <c r="AR57" s="638"/>
      <c r="AS57" s="555"/>
      <c r="AT57" s="555"/>
      <c r="AU57" s="555"/>
      <c r="AV57" s="555"/>
      <c r="AW57" s="555"/>
      <c r="AX57" s="555"/>
      <c r="AY57" s="555"/>
      <c r="AZ57" s="555"/>
      <c r="BA57" s="555"/>
      <c r="BB57" s="555"/>
      <c r="BC57" s="555"/>
      <c r="BD57" s="555"/>
      <c r="BE57" s="555"/>
      <c r="BF57" s="555"/>
      <c r="BG57" s="555"/>
      <c r="BH57" s="555"/>
      <c r="BI57" s="555"/>
      <c r="BJ57" s="555"/>
      <c r="BK57" s="555"/>
      <c r="BL57" s="555"/>
    </row>
    <row r="58">
      <c r="A58" s="319" t="s">
        <v>282</v>
      </c>
      <c r="B58" s="310"/>
      <c r="C58" s="310" t="s">
        <v>595</v>
      </c>
      <c r="D58" s="310"/>
      <c r="E58" s="310"/>
      <c r="F58" s="310" t="s">
        <v>595</v>
      </c>
      <c r="G58" s="310" t="s">
        <v>595</v>
      </c>
      <c r="H58" s="310" t="s">
        <v>595</v>
      </c>
      <c r="I58" s="310" t="s">
        <v>595</v>
      </c>
      <c r="J58" s="580" t="s">
        <v>595</v>
      </c>
      <c r="K58" s="580"/>
      <c r="L58" s="580" t="s">
        <v>595</v>
      </c>
      <c r="M58" s="243"/>
      <c r="N58" s="555"/>
      <c r="O58" s="580"/>
      <c r="P58" s="580" t="s">
        <v>595</v>
      </c>
      <c r="Q58" s="243"/>
      <c r="R58" s="580" t="s">
        <v>595</v>
      </c>
      <c r="S58" s="243"/>
      <c r="T58" s="580" t="s">
        <v>595</v>
      </c>
      <c r="U58" s="555"/>
      <c r="V58" s="555"/>
      <c r="W58" s="243"/>
      <c r="X58" s="580" t="s">
        <v>595</v>
      </c>
      <c r="Y58" s="580" t="s">
        <v>595</v>
      </c>
      <c r="Z58" s="580" t="s">
        <v>595</v>
      </c>
      <c r="AA58" s="580" t="s">
        <v>595</v>
      </c>
      <c r="AB58" s="555"/>
      <c r="AC58" s="555"/>
      <c r="AD58" s="580" t="s">
        <v>595</v>
      </c>
      <c r="AE58" s="580" t="s">
        <v>595</v>
      </c>
      <c r="AF58" s="555"/>
      <c r="AG58" s="580" t="s">
        <v>595</v>
      </c>
      <c r="AH58" s="580" t="s">
        <v>595</v>
      </c>
      <c r="AI58" s="580" t="s">
        <v>595</v>
      </c>
      <c r="AJ58" s="547"/>
      <c r="AK58" s="555"/>
      <c r="AL58" s="580"/>
      <c r="AM58" s="580" t="s">
        <v>595</v>
      </c>
      <c r="AN58" s="580" t="s">
        <v>595</v>
      </c>
      <c r="AO58" s="580" t="s">
        <v>595</v>
      </c>
      <c r="AP58" s="250" t="str">
        <f t="shared" si="5"/>
        <v>X</v>
      </c>
      <c r="AQ58" s="250" t="s">
        <v>595</v>
      </c>
      <c r="AR58" s="638"/>
      <c r="AS58" s="555"/>
      <c r="AT58" s="555"/>
      <c r="AU58" s="555"/>
      <c r="AV58" s="555"/>
      <c r="AW58" s="555"/>
      <c r="AX58" s="555"/>
      <c r="AY58" s="555"/>
      <c r="AZ58" s="555"/>
      <c r="BA58" s="555"/>
      <c r="BB58" s="555"/>
      <c r="BC58" s="555"/>
      <c r="BD58" s="555"/>
      <c r="BE58" s="555"/>
      <c r="BF58" s="555"/>
      <c r="BG58" s="555"/>
      <c r="BH58" s="555"/>
      <c r="BI58" s="555"/>
      <c r="BJ58" s="555"/>
      <c r="BK58" s="555"/>
      <c r="BL58" s="555"/>
    </row>
    <row r="59">
      <c r="A59" s="319" t="s">
        <v>286</v>
      </c>
      <c r="B59" s="310"/>
      <c r="C59" s="547"/>
      <c r="D59" s="310" t="s">
        <v>595</v>
      </c>
      <c r="E59" s="310"/>
      <c r="F59" s="310" t="s">
        <v>595</v>
      </c>
      <c r="G59" s="310" t="s">
        <v>595</v>
      </c>
      <c r="H59" s="310" t="s">
        <v>595</v>
      </c>
      <c r="I59" s="547"/>
      <c r="J59" s="555"/>
      <c r="K59" s="580"/>
      <c r="L59" s="580" t="s">
        <v>595</v>
      </c>
      <c r="M59" s="243"/>
      <c r="N59" s="555"/>
      <c r="O59" s="580" t="s">
        <v>595</v>
      </c>
      <c r="P59" s="580" t="s">
        <v>595</v>
      </c>
      <c r="Q59" s="580" t="s">
        <v>595</v>
      </c>
      <c r="R59" s="580" t="s">
        <v>595</v>
      </c>
      <c r="S59" s="580" t="s">
        <v>595</v>
      </c>
      <c r="T59" s="580" t="s">
        <v>595</v>
      </c>
      <c r="U59" s="580" t="s">
        <v>595</v>
      </c>
      <c r="V59" s="580" t="s">
        <v>595</v>
      </c>
      <c r="W59" s="580" t="s">
        <v>595</v>
      </c>
      <c r="X59" s="580" t="s">
        <v>595</v>
      </c>
      <c r="Y59" s="580" t="s">
        <v>595</v>
      </c>
      <c r="Z59" s="580" t="s">
        <v>595</v>
      </c>
      <c r="AA59" s="580" t="s">
        <v>595</v>
      </c>
      <c r="AB59" s="555"/>
      <c r="AC59" s="555"/>
      <c r="AD59" s="580" t="s">
        <v>595</v>
      </c>
      <c r="AE59" s="580" t="s">
        <v>595</v>
      </c>
      <c r="AF59" s="555"/>
      <c r="AG59" s="580" t="s">
        <v>595</v>
      </c>
      <c r="AH59" s="555"/>
      <c r="AI59" s="580" t="s">
        <v>595</v>
      </c>
      <c r="AJ59" s="547"/>
      <c r="AK59" s="555"/>
      <c r="AL59" s="580"/>
      <c r="AM59" s="580"/>
      <c r="AN59" s="580" t="s">
        <v>595</v>
      </c>
      <c r="AO59" s="580" t="s">
        <v>595</v>
      </c>
      <c r="AP59" s="250" t="str">
        <f t="shared" si="5"/>
        <v>X</v>
      </c>
      <c r="AQ59" s="250" t="s">
        <v>595</v>
      </c>
      <c r="AR59" s="638"/>
      <c r="AS59" s="555"/>
      <c r="AT59" s="555"/>
      <c r="AU59" s="555"/>
      <c r="AV59" s="555"/>
      <c r="AW59" s="555"/>
      <c r="AX59" s="555"/>
      <c r="AY59" s="555"/>
      <c r="AZ59" s="555"/>
      <c r="BA59" s="555"/>
      <c r="BB59" s="555"/>
      <c r="BC59" s="555"/>
      <c r="BD59" s="555"/>
      <c r="BE59" s="555"/>
      <c r="BF59" s="555"/>
      <c r="BG59" s="555"/>
      <c r="BH59" s="555"/>
      <c r="BI59" s="555"/>
      <c r="BJ59" s="555"/>
      <c r="BK59" s="555"/>
      <c r="BL59" s="555"/>
    </row>
    <row r="60">
      <c r="A60" s="319" t="s">
        <v>291</v>
      </c>
      <c r="B60" s="310"/>
      <c r="C60" s="547"/>
      <c r="D60" s="310" t="s">
        <v>595</v>
      </c>
      <c r="E60" s="310"/>
      <c r="F60" s="310" t="s">
        <v>595</v>
      </c>
      <c r="G60" s="310" t="s">
        <v>595</v>
      </c>
      <c r="H60" s="310"/>
      <c r="I60" s="547"/>
      <c r="J60" s="555"/>
      <c r="K60" s="580"/>
      <c r="L60" s="580" t="s">
        <v>595</v>
      </c>
      <c r="M60" s="243"/>
      <c r="N60" s="580" t="s">
        <v>595</v>
      </c>
      <c r="O60" s="580" t="s">
        <v>595</v>
      </c>
      <c r="P60" s="580" t="s">
        <v>595</v>
      </c>
      <c r="Q60" s="580" t="s">
        <v>595</v>
      </c>
      <c r="R60" s="580" t="s">
        <v>595</v>
      </c>
      <c r="S60" s="580" t="s">
        <v>595</v>
      </c>
      <c r="T60" s="580" t="s">
        <v>595</v>
      </c>
      <c r="U60" s="580" t="s">
        <v>595</v>
      </c>
      <c r="V60" s="580" t="s">
        <v>595</v>
      </c>
      <c r="W60" s="580" t="s">
        <v>595</v>
      </c>
      <c r="X60" s="580" t="s">
        <v>595</v>
      </c>
      <c r="Y60" s="580" t="s">
        <v>595</v>
      </c>
      <c r="Z60" s="580" t="s">
        <v>595</v>
      </c>
      <c r="AA60" s="580"/>
      <c r="AB60" s="555"/>
      <c r="AC60" s="555"/>
      <c r="AD60" s="580" t="s">
        <v>595</v>
      </c>
      <c r="AE60" s="580" t="s">
        <v>595</v>
      </c>
      <c r="AF60" s="555"/>
      <c r="AG60" s="580" t="s">
        <v>595</v>
      </c>
      <c r="AH60" s="555"/>
      <c r="AI60" s="580" t="s">
        <v>595</v>
      </c>
      <c r="AJ60" s="547"/>
      <c r="AK60" s="555"/>
      <c r="AL60" s="580"/>
      <c r="AM60" s="580" t="s">
        <v>595</v>
      </c>
      <c r="AN60" s="580" t="s">
        <v>595</v>
      </c>
      <c r="AO60" s="580" t="s">
        <v>595</v>
      </c>
      <c r="AP60" s="250" t="str">
        <f t="shared" si="5"/>
        <v>X</v>
      </c>
      <c r="AQ60" s="250" t="s">
        <v>595</v>
      </c>
      <c r="AR60" s="638"/>
      <c r="AS60" s="555"/>
      <c r="AT60" s="555"/>
      <c r="AU60" s="555"/>
      <c r="AV60" s="555"/>
      <c r="AW60" s="555"/>
      <c r="AX60" s="555"/>
      <c r="AY60" s="555"/>
      <c r="AZ60" s="555"/>
      <c r="BA60" s="555"/>
      <c r="BB60" s="555"/>
      <c r="BC60" s="555"/>
      <c r="BD60" s="555"/>
      <c r="BE60" s="555"/>
      <c r="BF60" s="555"/>
      <c r="BG60" s="555"/>
      <c r="BH60" s="555"/>
      <c r="BI60" s="555"/>
      <c r="BJ60" s="555"/>
      <c r="BK60" s="555"/>
      <c r="BL60" s="555"/>
    </row>
    <row r="61">
      <c r="A61" s="554"/>
      <c r="B61" s="310"/>
      <c r="C61" s="547"/>
      <c r="D61" s="310"/>
      <c r="E61" s="310"/>
      <c r="F61" s="310"/>
      <c r="G61" s="310"/>
      <c r="H61" s="310"/>
      <c r="I61" s="547"/>
      <c r="J61" s="555"/>
      <c r="K61" s="580"/>
      <c r="L61" s="243"/>
      <c r="M61" s="243"/>
      <c r="N61" s="555"/>
      <c r="O61" s="580"/>
      <c r="P61" s="243"/>
      <c r="Q61" s="243"/>
      <c r="R61" s="243"/>
      <c r="S61" s="243"/>
      <c r="T61" s="243"/>
      <c r="U61" s="555"/>
      <c r="V61" s="555"/>
      <c r="W61" s="243"/>
      <c r="X61" s="555"/>
      <c r="Y61" s="243"/>
      <c r="Z61" s="243"/>
      <c r="AA61" s="580"/>
      <c r="AB61" s="555"/>
      <c r="AC61" s="555"/>
      <c r="AD61" s="580"/>
      <c r="AE61" s="580"/>
      <c r="AF61" s="555"/>
      <c r="AG61" s="580"/>
      <c r="AH61" s="555"/>
      <c r="AI61" s="580"/>
      <c r="AJ61" s="547"/>
      <c r="AK61" s="555"/>
      <c r="AL61" s="580"/>
      <c r="AM61" s="580"/>
      <c r="AN61" s="580"/>
      <c r="AO61" s="580"/>
      <c r="AP61" s="250" t="str">
        <f t="shared" si="5"/>
        <v/>
      </c>
      <c r="AQ61" s="250"/>
      <c r="AR61" s="638"/>
      <c r="AS61" s="555"/>
      <c r="AT61" s="555"/>
      <c r="AU61" s="555"/>
      <c r="AV61" s="555"/>
      <c r="AW61" s="555"/>
      <c r="AX61" s="555"/>
      <c r="AY61" s="555"/>
      <c r="AZ61" s="555"/>
      <c r="BA61" s="555"/>
      <c r="BB61" s="555"/>
      <c r="BC61" s="555"/>
      <c r="BD61" s="555"/>
      <c r="BE61" s="555"/>
      <c r="BF61" s="555"/>
      <c r="BG61" s="555"/>
      <c r="BH61" s="555"/>
      <c r="BI61" s="555"/>
      <c r="BJ61" s="555"/>
      <c r="BK61" s="555"/>
      <c r="BL61" s="555"/>
    </row>
    <row r="62" ht="8.25" customHeight="1">
      <c r="A62" s="635" t="s">
        <v>796</v>
      </c>
      <c r="B62" s="632" t="s">
        <v>726</v>
      </c>
      <c r="C62" s="656" t="s">
        <v>729</v>
      </c>
      <c r="D62" s="656" t="s">
        <v>231</v>
      </c>
      <c r="E62" s="656" t="s">
        <v>261</v>
      </c>
      <c r="F62" s="656" t="s">
        <v>730</v>
      </c>
      <c r="G62" s="656" t="s">
        <v>730</v>
      </c>
      <c r="H62" s="656" t="s">
        <v>299</v>
      </c>
      <c r="I62" s="656" t="s">
        <v>777</v>
      </c>
      <c r="J62" s="656" t="s">
        <v>394</v>
      </c>
      <c r="K62" s="656" t="s">
        <v>437</v>
      </c>
      <c r="L62" s="656" t="s">
        <v>478</v>
      </c>
      <c r="M62" s="656" t="s">
        <v>778</v>
      </c>
      <c r="N62" s="656" t="s">
        <v>543</v>
      </c>
      <c r="O62" s="656" t="s">
        <v>580</v>
      </c>
      <c r="P62" s="656" t="s">
        <v>779</v>
      </c>
      <c r="Q62" s="656" t="s">
        <v>780</v>
      </c>
      <c r="R62" s="656" t="s">
        <v>781</v>
      </c>
      <c r="S62" s="656" t="s">
        <v>782</v>
      </c>
      <c r="T62" s="656" t="s">
        <v>783</v>
      </c>
      <c r="U62" s="656" t="s">
        <v>784</v>
      </c>
      <c r="V62" s="656" t="s">
        <v>785</v>
      </c>
      <c r="W62" s="656" t="s">
        <v>786</v>
      </c>
      <c r="X62" s="656" t="s">
        <v>787</v>
      </c>
      <c r="Y62" s="656" t="s">
        <v>788</v>
      </c>
      <c r="Z62" s="656" t="s">
        <v>789</v>
      </c>
      <c r="AA62" s="656" t="s">
        <v>657</v>
      </c>
      <c r="AB62" s="656" t="s">
        <v>737</v>
      </c>
      <c r="AC62" s="656" t="s">
        <v>737</v>
      </c>
      <c r="AD62" s="656" t="s">
        <v>738</v>
      </c>
      <c r="AE62" s="656" t="s">
        <v>738</v>
      </c>
      <c r="AF62" s="656" t="s">
        <v>673</v>
      </c>
      <c r="AG62" s="656" t="s">
        <v>687</v>
      </c>
      <c r="AH62" s="656" t="s">
        <v>790</v>
      </c>
      <c r="AI62" s="656" t="s">
        <v>791</v>
      </c>
      <c r="AJ62" s="656" t="s">
        <v>723</v>
      </c>
      <c r="AK62" s="656" t="s">
        <v>728</v>
      </c>
      <c r="AL62" s="656" t="s">
        <v>740</v>
      </c>
      <c r="AM62" s="656" t="s">
        <v>792</v>
      </c>
      <c r="AN62" s="656" t="s">
        <v>742</v>
      </c>
      <c r="AO62" s="656" t="s">
        <v>742</v>
      </c>
      <c r="AP62" s="630" t="s">
        <v>743</v>
      </c>
      <c r="AQ62" s="630" t="s">
        <v>744</v>
      </c>
      <c r="AR62" s="678"/>
      <c r="AS62" s="630" t="s">
        <v>745</v>
      </c>
      <c r="AT62" s="630" t="s">
        <v>746</v>
      </c>
      <c r="AU62" s="630" t="s">
        <v>747</v>
      </c>
      <c r="AV62" s="630" t="s">
        <v>748</v>
      </c>
      <c r="AW62" s="630" t="s">
        <v>749</v>
      </c>
      <c r="AX62" s="630" t="s">
        <v>750</v>
      </c>
      <c r="AY62" s="630" t="s">
        <v>751</v>
      </c>
      <c r="AZ62" s="630" t="s">
        <v>752</v>
      </c>
      <c r="BA62" s="630" t="s">
        <v>753</v>
      </c>
      <c r="BB62" s="630" t="s">
        <v>754</v>
      </c>
      <c r="BC62" s="630" t="s">
        <v>755</v>
      </c>
      <c r="BD62" s="630" t="s">
        <v>756</v>
      </c>
      <c r="BE62" s="680"/>
      <c r="BF62" s="680"/>
      <c r="BG62" s="680"/>
      <c r="BH62" s="680"/>
      <c r="BI62" s="680"/>
      <c r="BJ62" s="680"/>
      <c r="BK62" s="680"/>
      <c r="BL62" s="680"/>
    </row>
    <row r="63">
      <c r="A63" s="554" t="s">
        <v>297</v>
      </c>
      <c r="B63" s="243" t="s">
        <v>595</v>
      </c>
      <c r="C63" s="243"/>
      <c r="D63" s="243"/>
      <c r="E63" s="243" t="s">
        <v>595</v>
      </c>
      <c r="F63" s="243"/>
      <c r="G63" s="243"/>
      <c r="H63" s="243"/>
      <c r="I63" s="243"/>
      <c r="J63" s="243"/>
      <c r="K63" s="243" t="s">
        <v>595</v>
      </c>
      <c r="L63" s="243" t="s">
        <v>595</v>
      </c>
      <c r="M63" s="243"/>
      <c r="N63" s="243"/>
      <c r="O63" s="243" t="s">
        <v>595</v>
      </c>
      <c r="P63" s="243"/>
      <c r="Q63" s="243"/>
      <c r="R63" s="243"/>
      <c r="S63" s="243"/>
      <c r="T63" s="243"/>
      <c r="U63" s="243"/>
      <c r="V63" s="243"/>
      <c r="W63" s="243"/>
      <c r="X63" s="243"/>
      <c r="Y63" s="243"/>
      <c r="Z63" s="243"/>
      <c r="AA63" s="243" t="s">
        <v>595</v>
      </c>
      <c r="AB63" s="243"/>
      <c r="AC63" s="243"/>
      <c r="AD63" s="243"/>
      <c r="AE63" s="243"/>
      <c r="AF63" s="243"/>
      <c r="AG63" s="243"/>
      <c r="AH63" s="243"/>
      <c r="AI63" s="243" t="s">
        <v>595</v>
      </c>
      <c r="AJ63" s="243" t="s">
        <v>595</v>
      </c>
      <c r="AK63" s="243" t="s">
        <v>595</v>
      </c>
      <c r="AL63" s="243" t="s">
        <v>595</v>
      </c>
      <c r="AM63" s="243"/>
      <c r="AN63" s="243"/>
      <c r="AO63" s="243"/>
      <c r="AP63" s="250" t="str">
        <f t="shared" ref="AP63:AP77" si="6">IF(OR(F63="X",G63="X",AB63="X",AC63="X"),"X",)</f>
        <v/>
      </c>
      <c r="AQ63" s="250" t="s">
        <v>595</v>
      </c>
      <c r="AR63" s="646"/>
      <c r="AS63" s="580"/>
      <c r="AT63" s="580"/>
      <c r="AU63" s="580"/>
      <c r="AV63" s="580"/>
      <c r="AW63" s="580"/>
      <c r="AX63" s="580"/>
      <c r="AY63" s="580"/>
      <c r="AZ63" s="580"/>
      <c r="BA63" s="580"/>
      <c r="BB63" s="580"/>
      <c r="BC63" s="580"/>
      <c r="BD63" s="554"/>
      <c r="BE63" s="554"/>
      <c r="BF63" s="554"/>
      <c r="BG63" s="554"/>
      <c r="BH63" s="554"/>
      <c r="BI63" s="554"/>
      <c r="BJ63" s="554"/>
      <c r="BK63" s="554"/>
      <c r="BL63" s="554"/>
    </row>
    <row r="64">
      <c r="A64" s="681" t="s">
        <v>303</v>
      </c>
      <c r="B64" s="243" t="s">
        <v>595</v>
      </c>
      <c r="C64" s="243"/>
      <c r="D64" s="243"/>
      <c r="E64" s="243" t="s">
        <v>595</v>
      </c>
      <c r="F64" s="243"/>
      <c r="G64" s="243"/>
      <c r="H64" s="243"/>
      <c r="I64" s="243"/>
      <c r="J64" s="243"/>
      <c r="K64" s="243" t="s">
        <v>595</v>
      </c>
      <c r="L64" s="243" t="s">
        <v>595</v>
      </c>
      <c r="M64" s="243"/>
      <c r="N64" s="243"/>
      <c r="O64" s="243" t="s">
        <v>595</v>
      </c>
      <c r="P64" s="243"/>
      <c r="Q64" s="243"/>
      <c r="R64" s="243"/>
      <c r="S64" s="243"/>
      <c r="T64" s="243"/>
      <c r="U64" s="243"/>
      <c r="V64" s="243"/>
      <c r="W64" s="243"/>
      <c r="X64" s="243"/>
      <c r="Y64" s="243"/>
      <c r="Z64" s="243"/>
      <c r="AA64" s="243" t="s">
        <v>595</v>
      </c>
      <c r="AB64" s="243"/>
      <c r="AC64" s="243"/>
      <c r="AD64" s="243"/>
      <c r="AE64" s="243"/>
      <c r="AF64" s="243"/>
      <c r="AG64" s="243"/>
      <c r="AH64" s="243"/>
      <c r="AI64" s="243"/>
      <c r="AJ64" s="243" t="s">
        <v>595</v>
      </c>
      <c r="AK64" s="243" t="s">
        <v>595</v>
      </c>
      <c r="AL64" s="243" t="s">
        <v>595</v>
      </c>
      <c r="AM64" s="243"/>
      <c r="AN64" s="243"/>
      <c r="AO64" s="243"/>
      <c r="AP64" s="250" t="str">
        <f t="shared" si="6"/>
        <v/>
      </c>
      <c r="AQ64" s="250" t="s">
        <v>595</v>
      </c>
      <c r="AR64" s="631"/>
      <c r="AS64" s="243"/>
      <c r="AT64" s="243"/>
      <c r="AU64" s="243"/>
      <c r="AV64" s="243"/>
      <c r="AW64" s="243"/>
      <c r="AX64" s="243"/>
      <c r="AY64" s="243"/>
      <c r="AZ64" s="243"/>
      <c r="BA64" s="243"/>
      <c r="BB64" s="243"/>
      <c r="BC64" s="243"/>
      <c r="BD64" s="681"/>
      <c r="BE64" s="681"/>
      <c r="BF64" s="681"/>
      <c r="BG64" s="681"/>
      <c r="BH64" s="681"/>
      <c r="BI64" s="681"/>
      <c r="BJ64" s="681"/>
      <c r="BK64" s="681"/>
      <c r="BL64" s="681"/>
    </row>
    <row r="65">
      <c r="A65" s="633" t="s">
        <v>304</v>
      </c>
      <c r="B65" s="555"/>
      <c r="C65" s="243"/>
      <c r="D65" s="555"/>
      <c r="E65" s="555"/>
      <c r="F65" s="243"/>
      <c r="G65" s="555"/>
      <c r="H65" s="555"/>
      <c r="I65" s="555"/>
      <c r="J65" s="243"/>
      <c r="K65" s="243"/>
      <c r="L65" s="555"/>
      <c r="M65" s="555"/>
      <c r="N65" s="555"/>
      <c r="O65" s="243"/>
      <c r="P65" s="555"/>
      <c r="Q65" s="555"/>
      <c r="R65" s="555"/>
      <c r="S65" s="243"/>
      <c r="T65" s="555"/>
      <c r="U65" s="555"/>
      <c r="V65" s="555"/>
      <c r="W65" s="243"/>
      <c r="X65" s="555"/>
      <c r="Y65" s="243"/>
      <c r="Z65" s="243"/>
      <c r="AA65" s="555"/>
      <c r="AB65" s="555"/>
      <c r="AC65" s="555"/>
      <c r="AD65" s="555"/>
      <c r="AE65" s="555"/>
      <c r="AF65" s="555"/>
      <c r="AG65" s="555"/>
      <c r="AH65" s="555"/>
      <c r="AI65" s="555"/>
      <c r="AJ65" s="555"/>
      <c r="AK65" s="555"/>
      <c r="AL65" s="555"/>
      <c r="AM65" s="555"/>
      <c r="AN65" s="555"/>
      <c r="AO65" s="555"/>
      <c r="AP65" s="250" t="str">
        <f t="shared" si="6"/>
        <v/>
      </c>
      <c r="AQ65" s="250" t="s">
        <v>595</v>
      </c>
      <c r="AR65" s="638"/>
      <c r="AS65" s="555"/>
      <c r="AT65" s="555"/>
      <c r="AU65" s="555"/>
      <c r="AV65" s="555"/>
      <c r="AW65" s="555"/>
      <c r="AX65" s="555"/>
      <c r="AY65" s="555"/>
      <c r="AZ65" s="555"/>
      <c r="BA65" s="555"/>
      <c r="BB65" s="555"/>
      <c r="BC65" s="555"/>
      <c r="BD65" s="639"/>
      <c r="BE65" s="639"/>
      <c r="BF65" s="639"/>
      <c r="BG65" s="639"/>
      <c r="BH65" s="639"/>
      <c r="BI65" s="639"/>
      <c r="BJ65" s="639"/>
      <c r="BK65" s="639"/>
      <c r="BL65" s="639"/>
    </row>
    <row r="66">
      <c r="A66" s="633" t="s">
        <v>305</v>
      </c>
      <c r="B66" s="555"/>
      <c r="C66" s="243" t="s">
        <v>595</v>
      </c>
      <c r="D66" s="555" t="s">
        <v>595</v>
      </c>
      <c r="E66" s="555" t="s">
        <v>595</v>
      </c>
      <c r="F66" s="243" t="s">
        <v>595</v>
      </c>
      <c r="G66" s="555" t="s">
        <v>595</v>
      </c>
      <c r="H66" s="555" t="s">
        <v>595</v>
      </c>
      <c r="I66" s="555"/>
      <c r="J66" s="243"/>
      <c r="K66" s="243"/>
      <c r="L66" s="555" t="s">
        <v>595</v>
      </c>
      <c r="M66" s="555"/>
      <c r="N66" s="555" t="s">
        <v>595</v>
      </c>
      <c r="O66" s="243" t="s">
        <v>595</v>
      </c>
      <c r="P66" s="555" t="s">
        <v>595</v>
      </c>
      <c r="Q66" s="555" t="s">
        <v>595</v>
      </c>
      <c r="R66" s="555" t="s">
        <v>595</v>
      </c>
      <c r="S66" s="243" t="s">
        <v>595</v>
      </c>
      <c r="T66" s="555" t="s">
        <v>595</v>
      </c>
      <c r="U66" s="555" t="s">
        <v>595</v>
      </c>
      <c r="V66" s="555" t="s">
        <v>595</v>
      </c>
      <c r="W66" s="243" t="s">
        <v>595</v>
      </c>
      <c r="X66" s="555" t="s">
        <v>595</v>
      </c>
      <c r="Y66" s="243" t="s">
        <v>595</v>
      </c>
      <c r="Z66" s="243" t="s">
        <v>595</v>
      </c>
      <c r="AA66" s="555" t="s">
        <v>595</v>
      </c>
      <c r="AB66" s="555"/>
      <c r="AC66" s="555"/>
      <c r="AD66" s="555"/>
      <c r="AE66" s="555"/>
      <c r="AF66" s="555"/>
      <c r="AG66" s="555" t="s">
        <v>595</v>
      </c>
      <c r="AH66" s="555"/>
      <c r="AI66" s="555" t="s">
        <v>595</v>
      </c>
      <c r="AJ66" s="555" t="s">
        <v>595</v>
      </c>
      <c r="AK66" s="555" t="s">
        <v>595</v>
      </c>
      <c r="AL66" s="555" t="s">
        <v>595</v>
      </c>
      <c r="AM66" s="555" t="s">
        <v>595</v>
      </c>
      <c r="AN66" s="555"/>
      <c r="AO66" s="555"/>
      <c r="AP66" s="250" t="str">
        <f t="shared" si="6"/>
        <v>X</v>
      </c>
      <c r="AQ66" s="250" t="s">
        <v>595</v>
      </c>
      <c r="AR66" s="638"/>
      <c r="AS66" s="555"/>
      <c r="AT66" s="555"/>
      <c r="AU66" s="555"/>
      <c r="AV66" s="555"/>
      <c r="AW66" s="555"/>
      <c r="AX66" s="555"/>
      <c r="AY66" s="555"/>
      <c r="AZ66" s="555"/>
      <c r="BA66" s="555"/>
      <c r="BB66" s="555"/>
      <c r="BC66" s="555"/>
      <c r="BD66" s="639"/>
      <c r="BE66" s="639"/>
      <c r="BF66" s="639"/>
      <c r="BG66" s="639"/>
      <c r="BH66" s="639"/>
      <c r="BI66" s="639"/>
      <c r="BJ66" s="639"/>
      <c r="BK66" s="639"/>
      <c r="BL66" s="639"/>
    </row>
    <row r="67">
      <c r="A67" s="633" t="s">
        <v>306</v>
      </c>
      <c r="B67" s="555" t="s">
        <v>595</v>
      </c>
      <c r="C67" s="243"/>
      <c r="D67" s="555" t="s">
        <v>595</v>
      </c>
      <c r="E67" s="555" t="s">
        <v>595</v>
      </c>
      <c r="F67" s="243" t="s">
        <v>595</v>
      </c>
      <c r="G67" s="555" t="s">
        <v>595</v>
      </c>
      <c r="H67" s="555" t="s">
        <v>595</v>
      </c>
      <c r="I67" s="555"/>
      <c r="J67" s="243" t="s">
        <v>595</v>
      </c>
      <c r="K67" s="243" t="s">
        <v>595</v>
      </c>
      <c r="L67" s="555" t="s">
        <v>595</v>
      </c>
      <c r="M67" s="555"/>
      <c r="N67" s="555"/>
      <c r="O67" s="243"/>
      <c r="P67" s="555"/>
      <c r="Q67" s="555"/>
      <c r="R67" s="555"/>
      <c r="S67" s="243" t="s">
        <v>595</v>
      </c>
      <c r="T67" s="555"/>
      <c r="U67" s="555" t="s">
        <v>595</v>
      </c>
      <c r="V67" s="555" t="s">
        <v>595</v>
      </c>
      <c r="W67" s="243"/>
      <c r="X67" s="555"/>
      <c r="Y67" s="243"/>
      <c r="Z67" s="243"/>
      <c r="AA67" s="555" t="s">
        <v>595</v>
      </c>
      <c r="AB67" s="555" t="s">
        <v>595</v>
      </c>
      <c r="AC67" s="555" t="s">
        <v>595</v>
      </c>
      <c r="AD67" s="555"/>
      <c r="AE67" s="555"/>
      <c r="AF67" s="555"/>
      <c r="AG67" s="555" t="s">
        <v>595</v>
      </c>
      <c r="AH67" s="555" t="s">
        <v>595</v>
      </c>
      <c r="AI67" s="555" t="s">
        <v>595</v>
      </c>
      <c r="AJ67" s="555" t="s">
        <v>595</v>
      </c>
      <c r="AK67" s="555"/>
      <c r="AL67" s="555" t="s">
        <v>595</v>
      </c>
      <c r="AM67" s="555" t="s">
        <v>595</v>
      </c>
      <c r="AN67" s="555"/>
      <c r="AO67" s="555"/>
      <c r="AP67" s="250" t="str">
        <f t="shared" si="6"/>
        <v>X</v>
      </c>
      <c r="AQ67" s="250" t="s">
        <v>595</v>
      </c>
      <c r="AR67" s="638"/>
      <c r="AS67" s="555"/>
      <c r="AT67" s="555"/>
      <c r="AU67" s="555"/>
      <c r="AV67" s="555"/>
      <c r="AW67" s="555"/>
      <c r="AX67" s="555"/>
      <c r="AY67" s="555"/>
      <c r="AZ67" s="555"/>
      <c r="BA67" s="555"/>
      <c r="BB67" s="555"/>
      <c r="BC67" s="555"/>
      <c r="BD67" s="639"/>
      <c r="BE67" s="639"/>
      <c r="BF67" s="639"/>
      <c r="BG67" s="639"/>
      <c r="BH67" s="639"/>
      <c r="BI67" s="639"/>
      <c r="BJ67" s="639"/>
      <c r="BK67" s="639"/>
      <c r="BL67" s="639"/>
    </row>
    <row r="68">
      <c r="A68" s="633" t="s">
        <v>307</v>
      </c>
      <c r="B68" s="555"/>
      <c r="C68" s="243"/>
      <c r="D68" s="555"/>
      <c r="E68" s="555" t="s">
        <v>595</v>
      </c>
      <c r="F68" s="243" t="s">
        <v>595</v>
      </c>
      <c r="G68" s="555" t="s">
        <v>595</v>
      </c>
      <c r="H68" s="555"/>
      <c r="I68" s="555"/>
      <c r="J68" s="243"/>
      <c r="K68" s="243"/>
      <c r="L68" s="555"/>
      <c r="M68" s="555" t="s">
        <v>595</v>
      </c>
      <c r="N68" s="555" t="s">
        <v>595</v>
      </c>
      <c r="O68" s="243"/>
      <c r="P68" s="555"/>
      <c r="Q68" s="555"/>
      <c r="R68" s="555"/>
      <c r="S68" s="243"/>
      <c r="T68" s="555"/>
      <c r="U68" s="555"/>
      <c r="V68" s="555"/>
      <c r="W68" s="243"/>
      <c r="X68" s="555"/>
      <c r="Y68" s="243"/>
      <c r="Z68" s="243"/>
      <c r="AA68" s="555"/>
      <c r="AB68" s="555"/>
      <c r="AC68" s="555"/>
      <c r="AD68" s="555" t="s">
        <v>595</v>
      </c>
      <c r="AE68" s="555" t="s">
        <v>595</v>
      </c>
      <c r="AF68" s="555" t="s">
        <v>595</v>
      </c>
      <c r="AG68" s="555"/>
      <c r="AH68" s="555"/>
      <c r="AI68" s="555"/>
      <c r="AJ68" s="555"/>
      <c r="AK68" s="555" t="s">
        <v>595</v>
      </c>
      <c r="AL68" s="555"/>
      <c r="AM68" s="555"/>
      <c r="AN68" s="555"/>
      <c r="AO68" s="555"/>
      <c r="AP68" s="250" t="str">
        <f t="shared" si="6"/>
        <v>X</v>
      </c>
      <c r="AQ68" s="250" t="s">
        <v>595</v>
      </c>
      <c r="AR68" s="638"/>
      <c r="AS68" s="555"/>
      <c r="AT68" s="555"/>
      <c r="AU68" s="555"/>
      <c r="AV68" s="555"/>
      <c r="AW68" s="555"/>
      <c r="AX68" s="555"/>
      <c r="AY68" s="555"/>
      <c r="AZ68" s="555"/>
      <c r="BA68" s="555"/>
      <c r="BB68" s="555"/>
      <c r="BC68" s="555"/>
      <c r="BD68" s="639"/>
      <c r="BE68" s="639"/>
      <c r="BF68" s="639"/>
      <c r="BG68" s="639"/>
      <c r="BH68" s="639"/>
      <c r="BI68" s="639"/>
      <c r="BJ68" s="639"/>
      <c r="BK68" s="639"/>
      <c r="BL68" s="639"/>
    </row>
    <row r="69">
      <c r="A69" s="633" t="s">
        <v>797</v>
      </c>
      <c r="B69" s="555" t="s">
        <v>595</v>
      </c>
      <c r="C69" s="243"/>
      <c r="D69" s="555"/>
      <c r="E69" s="555" t="s">
        <v>595</v>
      </c>
      <c r="F69" s="243"/>
      <c r="G69" s="555"/>
      <c r="H69" s="555"/>
      <c r="I69" s="555"/>
      <c r="J69" s="243"/>
      <c r="K69" s="243"/>
      <c r="L69" s="555" t="s">
        <v>595</v>
      </c>
      <c r="M69" s="555"/>
      <c r="N69" s="555"/>
      <c r="O69" s="243"/>
      <c r="P69" s="555"/>
      <c r="Q69" s="555"/>
      <c r="R69" s="555"/>
      <c r="S69" s="243"/>
      <c r="T69" s="555"/>
      <c r="U69" s="555"/>
      <c r="V69" s="555"/>
      <c r="W69" s="243"/>
      <c r="X69" s="555"/>
      <c r="Y69" s="243"/>
      <c r="Z69" s="243"/>
      <c r="AA69" s="555" t="s">
        <v>595</v>
      </c>
      <c r="AB69" s="555"/>
      <c r="AC69" s="555"/>
      <c r="AD69" s="555"/>
      <c r="AE69" s="555"/>
      <c r="AF69" s="555"/>
      <c r="AG69" s="555"/>
      <c r="AH69" s="555"/>
      <c r="AI69" s="555"/>
      <c r="AJ69" s="555" t="s">
        <v>595</v>
      </c>
      <c r="AK69" s="555"/>
      <c r="AL69" s="555" t="s">
        <v>595</v>
      </c>
      <c r="AM69" s="555"/>
      <c r="AN69" s="555"/>
      <c r="AO69" s="555"/>
      <c r="AP69" s="250" t="str">
        <f t="shared" si="6"/>
        <v/>
      </c>
      <c r="AQ69" s="250" t="s">
        <v>595</v>
      </c>
      <c r="AR69" s="638"/>
      <c r="AS69" s="555"/>
      <c r="AT69" s="555"/>
      <c r="AU69" s="555"/>
      <c r="AV69" s="555"/>
      <c r="AW69" s="555"/>
      <c r="AX69" s="555"/>
      <c r="AY69" s="555"/>
      <c r="AZ69" s="555"/>
      <c r="BA69" s="555"/>
      <c r="BB69" s="555"/>
      <c r="BC69" s="555"/>
      <c r="BD69" s="639"/>
      <c r="BE69" s="639"/>
      <c r="BF69" s="639"/>
      <c r="BG69" s="639"/>
      <c r="BH69" s="639"/>
      <c r="BI69" s="639"/>
      <c r="BJ69" s="639"/>
      <c r="BK69" s="639"/>
      <c r="BL69" s="639"/>
    </row>
    <row r="70">
      <c r="A70" s="633" t="s">
        <v>311</v>
      </c>
      <c r="B70" s="555"/>
      <c r="C70" s="243"/>
      <c r="D70" s="555"/>
      <c r="E70" s="555" t="s">
        <v>595</v>
      </c>
      <c r="F70" s="243" t="s">
        <v>595</v>
      </c>
      <c r="G70" s="555" t="s">
        <v>595</v>
      </c>
      <c r="H70" s="555"/>
      <c r="I70" s="555"/>
      <c r="J70" s="243"/>
      <c r="K70" s="243"/>
      <c r="L70" s="555" t="s">
        <v>595</v>
      </c>
      <c r="M70" s="555"/>
      <c r="N70" s="555"/>
      <c r="O70" s="243" t="s">
        <v>595</v>
      </c>
      <c r="P70" s="555"/>
      <c r="Q70" s="555"/>
      <c r="R70" s="555"/>
      <c r="S70" s="243"/>
      <c r="T70" s="555"/>
      <c r="U70" s="555"/>
      <c r="V70" s="555"/>
      <c r="W70" s="243"/>
      <c r="X70" s="555"/>
      <c r="Y70" s="243"/>
      <c r="Z70" s="243"/>
      <c r="AA70" s="555" t="s">
        <v>595</v>
      </c>
      <c r="AB70" s="555"/>
      <c r="AC70" s="555"/>
      <c r="AD70" s="555"/>
      <c r="AE70" s="555"/>
      <c r="AF70" s="555" t="s">
        <v>595</v>
      </c>
      <c r="AG70" s="555"/>
      <c r="AH70" s="555"/>
      <c r="AI70" s="555"/>
      <c r="AJ70" s="555" t="s">
        <v>595</v>
      </c>
      <c r="AK70" s="555" t="s">
        <v>595</v>
      </c>
      <c r="AL70" s="555" t="s">
        <v>595</v>
      </c>
      <c r="AM70" s="555"/>
      <c r="AN70" s="555"/>
      <c r="AO70" s="555"/>
      <c r="AP70" s="250" t="str">
        <f t="shared" si="6"/>
        <v>X</v>
      </c>
      <c r="AQ70" s="250" t="s">
        <v>595</v>
      </c>
      <c r="AR70" s="638"/>
      <c r="AS70" s="555"/>
      <c r="AT70" s="555"/>
      <c r="AU70" s="555"/>
      <c r="AV70" s="555"/>
      <c r="AW70" s="555"/>
      <c r="AX70" s="555"/>
      <c r="AY70" s="555"/>
      <c r="AZ70" s="555"/>
      <c r="BA70" s="555"/>
      <c r="BB70" s="555"/>
      <c r="BC70" s="555"/>
      <c r="BD70" s="639"/>
      <c r="BE70" s="639"/>
      <c r="BF70" s="639"/>
      <c r="BG70" s="639"/>
      <c r="BH70" s="639"/>
      <c r="BI70" s="639"/>
      <c r="BJ70" s="639"/>
      <c r="BK70" s="639"/>
      <c r="BL70" s="639"/>
    </row>
    <row r="71">
      <c r="A71" s="633" t="s">
        <v>312</v>
      </c>
      <c r="B71" s="555"/>
      <c r="C71" s="243"/>
      <c r="D71" s="555"/>
      <c r="E71" s="555"/>
      <c r="F71" s="243"/>
      <c r="G71" s="555"/>
      <c r="H71" s="555"/>
      <c r="I71" s="555"/>
      <c r="J71" s="243"/>
      <c r="K71" s="243"/>
      <c r="L71" s="555"/>
      <c r="M71" s="555"/>
      <c r="N71" s="555"/>
      <c r="O71" s="243"/>
      <c r="P71" s="555"/>
      <c r="Q71" s="555"/>
      <c r="R71" s="555"/>
      <c r="S71" s="243"/>
      <c r="T71" s="555"/>
      <c r="U71" s="555"/>
      <c r="V71" s="555"/>
      <c r="W71" s="243"/>
      <c r="X71" s="555"/>
      <c r="Y71" s="243"/>
      <c r="Z71" s="243"/>
      <c r="AA71" s="555"/>
      <c r="AB71" s="555"/>
      <c r="AC71" s="555"/>
      <c r="AD71" s="555"/>
      <c r="AE71" s="555"/>
      <c r="AF71" s="555"/>
      <c r="AG71" s="555"/>
      <c r="AH71" s="555"/>
      <c r="AI71" s="555"/>
      <c r="AJ71" s="555"/>
      <c r="AK71" s="555"/>
      <c r="AL71" s="555"/>
      <c r="AM71" s="555"/>
      <c r="AN71" s="555"/>
      <c r="AO71" s="555"/>
      <c r="AP71" s="250" t="str">
        <f t="shared" si="6"/>
        <v/>
      </c>
      <c r="AQ71" s="250" t="s">
        <v>595</v>
      </c>
      <c r="AR71" s="638"/>
      <c r="AS71" s="555"/>
      <c r="AT71" s="555"/>
      <c r="AU71" s="555"/>
      <c r="AV71" s="555"/>
      <c r="AW71" s="555"/>
      <c r="AX71" s="555"/>
      <c r="AY71" s="555"/>
      <c r="AZ71" s="555"/>
      <c r="BA71" s="555"/>
      <c r="BB71" s="555"/>
      <c r="BC71" s="555"/>
      <c r="BD71" s="639"/>
      <c r="BE71" s="639"/>
      <c r="BF71" s="639"/>
      <c r="BG71" s="639"/>
      <c r="BH71" s="639"/>
      <c r="BI71" s="639"/>
      <c r="BJ71" s="639"/>
      <c r="BK71" s="639"/>
      <c r="BL71" s="639"/>
    </row>
    <row r="72">
      <c r="A72" s="549" t="s">
        <v>313</v>
      </c>
      <c r="B72" s="555"/>
      <c r="C72" s="243"/>
      <c r="D72" s="555" t="s">
        <v>595</v>
      </c>
      <c r="E72" s="555"/>
      <c r="F72" s="243" t="s">
        <v>595</v>
      </c>
      <c r="G72" s="555" t="s">
        <v>595</v>
      </c>
      <c r="H72" s="555"/>
      <c r="I72" s="555"/>
      <c r="J72" s="243"/>
      <c r="K72" s="243"/>
      <c r="L72" s="555" t="s">
        <v>595</v>
      </c>
      <c r="M72" s="555"/>
      <c r="N72" s="555"/>
      <c r="O72" s="243"/>
      <c r="P72" s="555"/>
      <c r="Q72" s="555"/>
      <c r="R72" s="555"/>
      <c r="S72" s="243"/>
      <c r="T72" s="555"/>
      <c r="U72" s="555"/>
      <c r="V72" s="555"/>
      <c r="W72" s="243"/>
      <c r="X72" s="555" t="s">
        <v>595</v>
      </c>
      <c r="Y72" s="243"/>
      <c r="Z72" s="243"/>
      <c r="AA72" s="555" t="s">
        <v>595</v>
      </c>
      <c r="AB72" s="555"/>
      <c r="AC72" s="555"/>
      <c r="AD72" s="555"/>
      <c r="AE72" s="555"/>
      <c r="AF72" s="555"/>
      <c r="AG72" s="555" t="s">
        <v>595</v>
      </c>
      <c r="AH72" s="555"/>
      <c r="AI72" s="555"/>
      <c r="AJ72" s="555" t="s">
        <v>595</v>
      </c>
      <c r="AK72" s="555"/>
      <c r="AL72" s="555"/>
      <c r="AM72" s="555"/>
      <c r="AN72" s="555"/>
      <c r="AO72" s="555"/>
      <c r="AP72" s="250" t="str">
        <f t="shared" si="6"/>
        <v>X</v>
      </c>
      <c r="AQ72" s="250" t="s">
        <v>595</v>
      </c>
      <c r="AR72" s="638"/>
      <c r="AS72" s="555"/>
      <c r="AT72" s="555"/>
      <c r="AU72" s="555"/>
      <c r="AV72" s="555"/>
      <c r="AW72" s="555"/>
      <c r="AX72" s="555"/>
      <c r="AY72" s="555"/>
      <c r="AZ72" s="555"/>
      <c r="BA72" s="555"/>
      <c r="BB72" s="555"/>
      <c r="BC72" s="555"/>
      <c r="BD72" s="639"/>
      <c r="BE72" s="639"/>
      <c r="BF72" s="639"/>
      <c r="BG72" s="639"/>
      <c r="BH72" s="639"/>
      <c r="BI72" s="639"/>
      <c r="BJ72" s="639"/>
      <c r="BK72" s="639"/>
      <c r="BL72" s="639"/>
    </row>
    <row r="73">
      <c r="A73" s="549" t="s">
        <v>316</v>
      </c>
      <c r="B73" s="555"/>
      <c r="C73" s="243"/>
      <c r="D73" s="555" t="s">
        <v>595</v>
      </c>
      <c r="E73" s="555"/>
      <c r="F73" s="243" t="s">
        <v>595</v>
      </c>
      <c r="G73" s="555" t="s">
        <v>595</v>
      </c>
      <c r="H73" s="555"/>
      <c r="I73" s="555"/>
      <c r="J73" s="243"/>
      <c r="K73" s="243"/>
      <c r="L73" s="555" t="s">
        <v>595</v>
      </c>
      <c r="M73" s="555"/>
      <c r="N73" s="555"/>
      <c r="O73" s="243"/>
      <c r="P73" s="555"/>
      <c r="Q73" s="555"/>
      <c r="R73" s="555"/>
      <c r="S73" s="243"/>
      <c r="T73" s="555"/>
      <c r="U73" s="555"/>
      <c r="V73" s="555"/>
      <c r="W73" s="243"/>
      <c r="X73" s="555" t="s">
        <v>595</v>
      </c>
      <c r="Y73" s="243"/>
      <c r="Z73" s="243"/>
      <c r="AA73" s="555" t="s">
        <v>595</v>
      </c>
      <c r="AB73" s="555"/>
      <c r="AC73" s="555"/>
      <c r="AD73" s="555"/>
      <c r="AE73" s="555"/>
      <c r="AF73" s="555"/>
      <c r="AG73" s="555" t="s">
        <v>595</v>
      </c>
      <c r="AH73" s="555"/>
      <c r="AI73" s="555"/>
      <c r="AJ73" s="555" t="s">
        <v>595</v>
      </c>
      <c r="AK73" s="555"/>
      <c r="AL73" s="555"/>
      <c r="AM73" s="555"/>
      <c r="AN73" s="555"/>
      <c r="AO73" s="555"/>
      <c r="AP73" s="250" t="str">
        <f t="shared" si="6"/>
        <v>X</v>
      </c>
      <c r="AQ73" s="250" t="s">
        <v>595</v>
      </c>
      <c r="AR73" s="638"/>
      <c r="AS73" s="555"/>
      <c r="AT73" s="555"/>
      <c r="AU73" s="555"/>
      <c r="AV73" s="555"/>
      <c r="AW73" s="555"/>
      <c r="AX73" s="555"/>
      <c r="AY73" s="555"/>
      <c r="AZ73" s="555"/>
      <c r="BA73" s="555"/>
      <c r="BB73" s="555"/>
      <c r="BC73" s="555"/>
      <c r="BD73" s="639"/>
      <c r="BE73" s="639"/>
      <c r="BF73" s="639"/>
      <c r="BG73" s="639"/>
      <c r="BH73" s="639"/>
      <c r="BI73" s="639"/>
      <c r="BJ73" s="639"/>
      <c r="BK73" s="639"/>
      <c r="BL73" s="639"/>
    </row>
    <row r="74">
      <c r="A74" s="549" t="s">
        <v>317</v>
      </c>
      <c r="B74" s="555"/>
      <c r="C74" s="243"/>
      <c r="D74" s="555" t="s">
        <v>595</v>
      </c>
      <c r="E74" s="555"/>
      <c r="F74" s="243" t="s">
        <v>595</v>
      </c>
      <c r="G74" s="555" t="s">
        <v>595</v>
      </c>
      <c r="H74" s="555"/>
      <c r="I74" s="555"/>
      <c r="J74" s="243"/>
      <c r="K74" s="243"/>
      <c r="L74" s="555" t="s">
        <v>595</v>
      </c>
      <c r="M74" s="555"/>
      <c r="N74" s="555"/>
      <c r="O74" s="243"/>
      <c r="P74" s="555"/>
      <c r="Q74" s="555"/>
      <c r="R74" s="555"/>
      <c r="S74" s="243"/>
      <c r="T74" s="555"/>
      <c r="U74" s="555"/>
      <c r="V74" s="555"/>
      <c r="W74" s="243"/>
      <c r="X74" s="555" t="s">
        <v>595</v>
      </c>
      <c r="Y74" s="243"/>
      <c r="Z74" s="243"/>
      <c r="AA74" s="555" t="s">
        <v>595</v>
      </c>
      <c r="AB74" s="555"/>
      <c r="AC74" s="555"/>
      <c r="AD74" s="555"/>
      <c r="AE74" s="555"/>
      <c r="AF74" s="555"/>
      <c r="AG74" s="555" t="s">
        <v>595</v>
      </c>
      <c r="AH74" s="555"/>
      <c r="AI74" s="555"/>
      <c r="AJ74" s="555" t="s">
        <v>595</v>
      </c>
      <c r="AK74" s="555"/>
      <c r="AL74" s="555"/>
      <c r="AM74" s="555"/>
      <c r="AN74" s="555"/>
      <c r="AO74" s="555"/>
      <c r="AP74" s="250" t="str">
        <f t="shared" si="6"/>
        <v>X</v>
      </c>
      <c r="AQ74" s="250" t="s">
        <v>595</v>
      </c>
      <c r="AR74" s="638"/>
      <c r="AS74" s="555"/>
      <c r="AT74" s="555"/>
      <c r="AU74" s="555"/>
      <c r="AV74" s="555"/>
      <c r="AW74" s="555"/>
      <c r="AX74" s="555"/>
      <c r="AY74" s="555"/>
      <c r="AZ74" s="555"/>
      <c r="BA74" s="555"/>
      <c r="BB74" s="555"/>
      <c r="BC74" s="555"/>
      <c r="BD74" s="639"/>
      <c r="BE74" s="639"/>
      <c r="BF74" s="639"/>
      <c r="BG74" s="639"/>
      <c r="BH74" s="639"/>
      <c r="BI74" s="639"/>
      <c r="BJ74" s="639"/>
      <c r="BK74" s="639"/>
      <c r="BL74" s="639"/>
    </row>
    <row r="75">
      <c r="A75" s="633" t="s">
        <v>319</v>
      </c>
      <c r="B75" s="555"/>
      <c r="C75" s="243"/>
      <c r="D75" s="555"/>
      <c r="E75" s="555"/>
      <c r="F75" s="243"/>
      <c r="G75" s="555"/>
      <c r="H75" s="555"/>
      <c r="I75" s="555"/>
      <c r="J75" s="243"/>
      <c r="K75" s="243"/>
      <c r="L75" s="555"/>
      <c r="M75" s="555"/>
      <c r="N75" s="555"/>
      <c r="O75" s="243"/>
      <c r="P75" s="555"/>
      <c r="Q75" s="555"/>
      <c r="R75" s="555"/>
      <c r="S75" s="243"/>
      <c r="T75" s="555"/>
      <c r="U75" s="555"/>
      <c r="V75" s="555"/>
      <c r="W75" s="243"/>
      <c r="X75" s="555"/>
      <c r="Y75" s="243"/>
      <c r="Z75" s="243"/>
      <c r="AA75" s="555" t="s">
        <v>595</v>
      </c>
      <c r="AB75" s="555"/>
      <c r="AC75" s="555"/>
      <c r="AD75" s="555"/>
      <c r="AE75" s="555"/>
      <c r="AF75" s="555"/>
      <c r="AG75" s="555"/>
      <c r="AH75" s="555"/>
      <c r="AI75" s="555"/>
      <c r="AJ75" s="555" t="s">
        <v>595</v>
      </c>
      <c r="AK75" s="555"/>
      <c r="AL75" s="555"/>
      <c r="AM75" s="555"/>
      <c r="AN75" s="555"/>
      <c r="AO75" s="555"/>
      <c r="AP75" s="250" t="str">
        <f t="shared" si="6"/>
        <v/>
      </c>
      <c r="AQ75" s="250" t="s">
        <v>595</v>
      </c>
      <c r="AR75" s="638"/>
      <c r="AS75" s="555"/>
      <c r="AT75" s="555"/>
      <c r="AU75" s="555"/>
      <c r="AV75" s="555"/>
      <c r="AW75" s="555"/>
      <c r="AX75" s="555"/>
      <c r="AY75" s="555"/>
      <c r="AZ75" s="555"/>
      <c r="BA75" s="555"/>
      <c r="BB75" s="555"/>
      <c r="BC75" s="555"/>
      <c r="BD75" s="639"/>
      <c r="BE75" s="639"/>
      <c r="BF75" s="639"/>
      <c r="BG75" s="639"/>
      <c r="BH75" s="639"/>
      <c r="BI75" s="639"/>
      <c r="BJ75" s="639"/>
      <c r="BK75" s="639"/>
      <c r="BL75" s="639"/>
    </row>
    <row r="76">
      <c r="A76" s="633" t="s">
        <v>320</v>
      </c>
      <c r="B76" s="555"/>
      <c r="C76" s="243"/>
      <c r="D76" s="555"/>
      <c r="E76" s="555" t="s">
        <v>595</v>
      </c>
      <c r="F76" s="243"/>
      <c r="G76" s="555"/>
      <c r="H76" s="555"/>
      <c r="I76" s="555"/>
      <c r="J76" s="243" t="s">
        <v>595</v>
      </c>
      <c r="K76" s="243"/>
      <c r="L76" s="555" t="s">
        <v>595</v>
      </c>
      <c r="M76" s="555"/>
      <c r="N76" s="555"/>
      <c r="O76" s="243" t="s">
        <v>595</v>
      </c>
      <c r="P76" s="555" t="s">
        <v>595</v>
      </c>
      <c r="Q76" s="555"/>
      <c r="R76" s="555"/>
      <c r="S76" s="243"/>
      <c r="T76" s="555"/>
      <c r="U76" s="555"/>
      <c r="V76" s="555"/>
      <c r="W76" s="243"/>
      <c r="X76" s="555"/>
      <c r="Y76" s="243" t="s">
        <v>595</v>
      </c>
      <c r="Z76" s="243"/>
      <c r="AA76" s="555" t="s">
        <v>595</v>
      </c>
      <c r="AB76" s="555"/>
      <c r="AC76" s="555"/>
      <c r="AD76" s="555"/>
      <c r="AE76" s="555"/>
      <c r="AF76" s="555"/>
      <c r="AG76" s="555" t="s">
        <v>595</v>
      </c>
      <c r="AH76" s="555"/>
      <c r="AI76" s="555" t="s">
        <v>595</v>
      </c>
      <c r="AJ76" s="555" t="s">
        <v>595</v>
      </c>
      <c r="AK76" s="555"/>
      <c r="AL76" s="555"/>
      <c r="AM76" s="555"/>
      <c r="AN76" s="555"/>
      <c r="AO76" s="555"/>
      <c r="AP76" s="250" t="str">
        <f t="shared" si="6"/>
        <v/>
      </c>
      <c r="AQ76" s="250" t="s">
        <v>595</v>
      </c>
      <c r="AR76" s="638"/>
      <c r="AS76" s="555"/>
      <c r="AT76" s="555"/>
      <c r="AU76" s="555"/>
      <c r="AV76" s="555"/>
      <c r="AW76" s="555"/>
      <c r="AX76" s="555"/>
      <c r="AY76" s="555"/>
      <c r="AZ76" s="555"/>
      <c r="BA76" s="555"/>
      <c r="BB76" s="555"/>
      <c r="BC76" s="555"/>
      <c r="BD76" s="555"/>
      <c r="BE76" s="555"/>
      <c r="BF76" s="555"/>
      <c r="BG76" s="555"/>
      <c r="BH76" s="555"/>
      <c r="BI76" s="555"/>
      <c r="BJ76" s="555"/>
      <c r="BK76" s="555"/>
      <c r="BL76" s="555"/>
    </row>
    <row r="77">
      <c r="A77" s="633" t="s">
        <v>321</v>
      </c>
      <c r="B77" s="555"/>
      <c r="C77" s="243"/>
      <c r="D77" s="555"/>
      <c r="E77" s="555"/>
      <c r="F77" s="243"/>
      <c r="G77" s="555"/>
      <c r="H77" s="555"/>
      <c r="I77" s="555"/>
      <c r="J77" s="243"/>
      <c r="K77" s="243"/>
      <c r="L77" s="555"/>
      <c r="M77" s="555"/>
      <c r="N77" s="555"/>
      <c r="O77" s="243"/>
      <c r="P77" s="555"/>
      <c r="Q77" s="555"/>
      <c r="R77" s="555"/>
      <c r="S77" s="243"/>
      <c r="T77" s="555"/>
      <c r="U77" s="555"/>
      <c r="V77" s="555"/>
      <c r="W77" s="243"/>
      <c r="X77" s="555"/>
      <c r="Y77" s="243"/>
      <c r="Z77" s="243"/>
      <c r="AA77" s="555"/>
      <c r="AB77" s="555"/>
      <c r="AC77" s="555"/>
      <c r="AD77" s="555"/>
      <c r="AE77" s="555"/>
      <c r="AF77" s="555"/>
      <c r="AG77" s="555"/>
      <c r="AH77" s="555"/>
      <c r="AI77" s="555"/>
      <c r="AJ77" s="555"/>
      <c r="AK77" s="555"/>
      <c r="AL77" s="555"/>
      <c r="AM77" s="555"/>
      <c r="AN77" s="555"/>
      <c r="AO77" s="555"/>
      <c r="AP77" s="250" t="str">
        <f t="shared" si="6"/>
        <v/>
      </c>
      <c r="AQ77" s="250" t="s">
        <v>595</v>
      </c>
      <c r="AR77" s="638"/>
      <c r="AS77" s="555"/>
      <c r="AT77" s="555"/>
      <c r="AU77" s="555"/>
      <c r="AV77" s="555"/>
      <c r="AW77" s="555"/>
      <c r="AX77" s="555"/>
      <c r="AY77" s="555"/>
      <c r="AZ77" s="555"/>
      <c r="BA77" s="555"/>
      <c r="BB77" s="555"/>
      <c r="BC77" s="555"/>
      <c r="BD77" s="555"/>
      <c r="BE77" s="555"/>
      <c r="BF77" s="555"/>
      <c r="BG77" s="555"/>
      <c r="BH77" s="555"/>
      <c r="BI77" s="555"/>
      <c r="BJ77" s="555"/>
      <c r="BK77" s="555"/>
      <c r="BL77" s="555"/>
    </row>
    <row r="78">
      <c r="A78" s="633"/>
      <c r="B78" s="555"/>
      <c r="C78" s="243"/>
      <c r="D78" s="555"/>
      <c r="E78" s="555"/>
      <c r="F78" s="243"/>
      <c r="G78" s="555"/>
      <c r="H78" s="555"/>
      <c r="I78" s="555"/>
      <c r="J78" s="243"/>
      <c r="K78" s="243"/>
      <c r="L78" s="555"/>
      <c r="M78" s="555"/>
      <c r="N78" s="555"/>
      <c r="O78" s="243"/>
      <c r="P78" s="555"/>
      <c r="Q78" s="555"/>
      <c r="R78" s="555"/>
      <c r="S78" s="243"/>
      <c r="T78" s="555"/>
      <c r="U78" s="555"/>
      <c r="V78" s="555"/>
      <c r="W78" s="243"/>
      <c r="X78" s="555"/>
      <c r="Y78" s="243"/>
      <c r="Z78" s="243"/>
      <c r="AA78" s="555"/>
      <c r="AB78" s="555"/>
      <c r="AC78" s="555"/>
      <c r="AD78" s="555"/>
      <c r="AE78" s="555"/>
      <c r="AF78" s="555"/>
      <c r="AG78" s="555"/>
      <c r="AH78" s="555"/>
      <c r="AI78" s="555"/>
      <c r="AJ78" s="555"/>
      <c r="AK78" s="555"/>
      <c r="AL78" s="555"/>
      <c r="AM78" s="555"/>
      <c r="AN78" s="555"/>
      <c r="AO78" s="555"/>
      <c r="AP78" s="250"/>
      <c r="AQ78" s="250"/>
      <c r="AR78" s="638"/>
      <c r="AS78" s="555"/>
      <c r="AT78" s="555"/>
      <c r="AU78" s="555"/>
      <c r="AV78" s="555"/>
      <c r="AW78" s="555"/>
      <c r="AX78" s="555"/>
      <c r="AY78" s="555"/>
      <c r="AZ78" s="555"/>
      <c r="BA78" s="555"/>
      <c r="BB78" s="555"/>
      <c r="BC78" s="555"/>
      <c r="BD78" s="555"/>
      <c r="BE78" s="555"/>
      <c r="BF78" s="555"/>
      <c r="BG78" s="555"/>
      <c r="BH78" s="555"/>
      <c r="BI78" s="555"/>
      <c r="BJ78" s="555"/>
      <c r="BK78" s="555"/>
      <c r="BL78" s="555"/>
    </row>
    <row r="79" ht="7.5" customHeight="1">
      <c r="A79" s="635" t="s">
        <v>800</v>
      </c>
      <c r="B79" s="632" t="s">
        <v>726</v>
      </c>
      <c r="C79" s="656" t="s">
        <v>729</v>
      </c>
      <c r="D79" s="656" t="s">
        <v>231</v>
      </c>
      <c r="E79" s="656" t="s">
        <v>261</v>
      </c>
      <c r="F79" s="656" t="s">
        <v>730</v>
      </c>
      <c r="G79" s="656" t="s">
        <v>730</v>
      </c>
      <c r="H79" s="656" t="s">
        <v>299</v>
      </c>
      <c r="I79" s="656" t="s">
        <v>777</v>
      </c>
      <c r="J79" s="656" t="s">
        <v>394</v>
      </c>
      <c r="K79" s="656" t="s">
        <v>437</v>
      </c>
      <c r="L79" s="656" t="s">
        <v>478</v>
      </c>
      <c r="M79" s="656" t="s">
        <v>778</v>
      </c>
      <c r="N79" s="656" t="s">
        <v>543</v>
      </c>
      <c r="O79" s="656" t="s">
        <v>580</v>
      </c>
      <c r="P79" s="656" t="s">
        <v>779</v>
      </c>
      <c r="Q79" s="656" t="s">
        <v>780</v>
      </c>
      <c r="R79" s="656" t="s">
        <v>781</v>
      </c>
      <c r="S79" s="656" t="s">
        <v>782</v>
      </c>
      <c r="T79" s="656" t="s">
        <v>783</v>
      </c>
      <c r="U79" s="656" t="s">
        <v>784</v>
      </c>
      <c r="V79" s="656" t="s">
        <v>785</v>
      </c>
      <c r="W79" s="656" t="s">
        <v>786</v>
      </c>
      <c r="X79" s="656" t="s">
        <v>787</v>
      </c>
      <c r="Y79" s="656" t="s">
        <v>788</v>
      </c>
      <c r="Z79" s="656" t="s">
        <v>789</v>
      </c>
      <c r="AA79" s="656" t="s">
        <v>657</v>
      </c>
      <c r="AB79" s="656" t="s">
        <v>737</v>
      </c>
      <c r="AC79" s="656" t="s">
        <v>737</v>
      </c>
      <c r="AD79" s="656" t="s">
        <v>738</v>
      </c>
      <c r="AE79" s="656" t="s">
        <v>738</v>
      </c>
      <c r="AF79" s="656" t="s">
        <v>673</v>
      </c>
      <c r="AG79" s="656" t="s">
        <v>687</v>
      </c>
      <c r="AH79" s="656" t="s">
        <v>790</v>
      </c>
      <c r="AI79" s="656" t="s">
        <v>791</v>
      </c>
      <c r="AJ79" s="656" t="s">
        <v>723</v>
      </c>
      <c r="AK79" s="656" t="s">
        <v>728</v>
      </c>
      <c r="AL79" s="629" t="s">
        <v>740</v>
      </c>
      <c r="AM79" s="629" t="s">
        <v>792</v>
      </c>
      <c r="AN79" s="629" t="s">
        <v>742</v>
      </c>
      <c r="AO79" s="629" t="s">
        <v>742</v>
      </c>
      <c r="AP79" s="688" t="s">
        <v>743</v>
      </c>
      <c r="AQ79" s="688" t="s">
        <v>744</v>
      </c>
      <c r="AR79" s="662"/>
      <c r="AS79" s="688" t="s">
        <v>745</v>
      </c>
      <c r="AT79" s="688" t="s">
        <v>746</v>
      </c>
      <c r="AU79" s="688" t="s">
        <v>747</v>
      </c>
      <c r="AV79" s="688" t="s">
        <v>748</v>
      </c>
      <c r="AW79" s="688" t="s">
        <v>749</v>
      </c>
      <c r="AX79" s="688" t="s">
        <v>750</v>
      </c>
      <c r="AY79" s="688" t="s">
        <v>751</v>
      </c>
      <c r="AZ79" s="688" t="s">
        <v>752</v>
      </c>
      <c r="BA79" s="688" t="s">
        <v>753</v>
      </c>
      <c r="BB79" s="688" t="s">
        <v>754</v>
      </c>
      <c r="BC79" s="688" t="s">
        <v>755</v>
      </c>
      <c r="BD79" s="688" t="s">
        <v>756</v>
      </c>
      <c r="BE79" s="665"/>
      <c r="BF79" s="665"/>
      <c r="BG79" s="665"/>
      <c r="BH79" s="665"/>
      <c r="BI79" s="665"/>
      <c r="BJ79" s="665"/>
      <c r="BK79" s="665"/>
      <c r="BL79" s="665"/>
    </row>
    <row r="80">
      <c r="A80" s="689" t="s">
        <v>328</v>
      </c>
      <c r="B80" s="233"/>
      <c r="C80" s="233"/>
      <c r="D80" s="258" t="s">
        <v>595</v>
      </c>
      <c r="E80" s="233"/>
      <c r="F80" s="233"/>
      <c r="G80" s="233"/>
      <c r="H80" s="233"/>
      <c r="I80" s="233"/>
      <c r="J80" s="233"/>
      <c r="K80" s="233"/>
      <c r="L80" s="233"/>
      <c r="M80" s="233"/>
      <c r="N80" s="250" t="s">
        <v>595</v>
      </c>
      <c r="O80" s="250" t="s">
        <v>595</v>
      </c>
      <c r="P80" s="250" t="s">
        <v>595</v>
      </c>
      <c r="Q80" s="233"/>
      <c r="R80" s="233"/>
      <c r="S80" s="233"/>
      <c r="T80" s="250" t="s">
        <v>595</v>
      </c>
      <c r="U80" s="233"/>
      <c r="V80" s="233"/>
      <c r="W80" s="233"/>
      <c r="X80" s="233"/>
      <c r="Y80" s="250" t="s">
        <v>595</v>
      </c>
      <c r="Z80" s="250" t="s">
        <v>595</v>
      </c>
      <c r="AA80" s="233"/>
      <c r="AB80" s="233"/>
      <c r="AC80" s="233"/>
      <c r="AD80" s="233"/>
      <c r="AE80" s="233"/>
      <c r="AF80" s="233"/>
      <c r="AG80" s="233"/>
      <c r="AH80" s="233"/>
      <c r="AI80" s="250" t="s">
        <v>595</v>
      </c>
      <c r="AJ80" s="233"/>
      <c r="AK80" s="233"/>
      <c r="AL80" s="228"/>
      <c r="AM80" s="255" t="s">
        <v>595</v>
      </c>
      <c r="AN80" s="228"/>
      <c r="AO80" s="228"/>
      <c r="AP80" s="233" t="str">
        <f t="shared" ref="AP80:AP109" si="7">IF(OR(F80="X",G80="X",AB80="X",AC80="X"),"X",)</f>
        <v/>
      </c>
      <c r="AQ80" s="250" t="s">
        <v>595</v>
      </c>
      <c r="AR80" s="691"/>
      <c r="AS80" s="228"/>
      <c r="AT80" s="228"/>
      <c r="AU80" s="228"/>
      <c r="AV80" s="228"/>
      <c r="AW80" s="228"/>
      <c r="AX80" s="228"/>
      <c r="AY80" s="228"/>
      <c r="AZ80" s="228"/>
      <c r="BA80" s="228"/>
      <c r="BB80" s="228"/>
      <c r="BC80" s="228"/>
      <c r="BD80" s="228"/>
      <c r="BE80" s="228"/>
      <c r="BF80" s="228"/>
      <c r="BG80" s="228"/>
      <c r="BH80" s="228"/>
      <c r="BI80" s="228"/>
      <c r="BJ80" s="228"/>
      <c r="BK80" s="228"/>
      <c r="BL80" s="228"/>
    </row>
    <row r="81">
      <c r="A81" s="689" t="s">
        <v>334</v>
      </c>
      <c r="B81" s="233"/>
      <c r="C81" s="233"/>
      <c r="D81" s="233"/>
      <c r="E81" s="233"/>
      <c r="F81" s="233"/>
      <c r="G81" s="233"/>
      <c r="H81" s="233"/>
      <c r="I81" s="233"/>
      <c r="J81" s="233"/>
      <c r="K81" s="233"/>
      <c r="L81" s="233"/>
      <c r="M81" s="233"/>
      <c r="N81" s="233"/>
      <c r="O81" s="233"/>
      <c r="P81" s="233"/>
      <c r="Q81" s="233"/>
      <c r="R81" s="233"/>
      <c r="S81" s="233"/>
      <c r="T81" s="233"/>
      <c r="U81" s="233"/>
      <c r="V81" s="233"/>
      <c r="W81" s="233"/>
      <c r="X81" s="233"/>
      <c r="Y81" s="233"/>
      <c r="Z81" s="233"/>
      <c r="AA81" s="250" t="s">
        <v>595</v>
      </c>
      <c r="AB81" s="233"/>
      <c r="AC81" s="233"/>
      <c r="AD81" s="233"/>
      <c r="AE81" s="233"/>
      <c r="AF81" s="250" t="s">
        <v>595</v>
      </c>
      <c r="AG81" s="233"/>
      <c r="AH81" s="233"/>
      <c r="AI81" s="233"/>
      <c r="AJ81" s="250" t="s">
        <v>595</v>
      </c>
      <c r="AK81" s="250" t="s">
        <v>595</v>
      </c>
      <c r="AL81" s="233"/>
      <c r="AM81" s="233"/>
      <c r="AN81" s="233"/>
      <c r="AO81" s="233"/>
      <c r="AP81" s="233" t="str">
        <f t="shared" si="7"/>
        <v/>
      </c>
      <c r="AQ81" s="250" t="s">
        <v>595</v>
      </c>
      <c r="AR81" s="692"/>
      <c r="AS81" s="233"/>
      <c r="AT81" s="233"/>
      <c r="AU81" s="233"/>
      <c r="AV81" s="233"/>
      <c r="AW81" s="233"/>
      <c r="AX81" s="233"/>
      <c r="AY81" s="233"/>
      <c r="AZ81" s="233"/>
      <c r="BA81" s="233"/>
      <c r="BB81" s="233"/>
      <c r="BC81" s="233"/>
      <c r="BD81" s="233"/>
      <c r="BE81" s="233"/>
      <c r="BF81" s="555"/>
      <c r="BG81" s="555"/>
      <c r="BH81" s="555"/>
      <c r="BI81" s="555"/>
      <c r="BJ81" s="555"/>
      <c r="BK81" s="555"/>
      <c r="BL81" s="555"/>
    </row>
    <row r="82">
      <c r="A82" s="689" t="s">
        <v>337</v>
      </c>
      <c r="B82" s="233"/>
      <c r="C82" s="258" t="s">
        <v>595</v>
      </c>
      <c r="D82" s="233"/>
      <c r="E82" s="233"/>
      <c r="F82" s="258" t="s">
        <v>595</v>
      </c>
      <c r="G82" s="258" t="s">
        <v>595</v>
      </c>
      <c r="H82" s="233"/>
      <c r="I82" s="233"/>
      <c r="J82" s="233"/>
      <c r="K82" s="233"/>
      <c r="L82" s="233"/>
      <c r="M82" s="233"/>
      <c r="N82" s="233"/>
      <c r="O82" s="233"/>
      <c r="P82" s="250" t="s">
        <v>595</v>
      </c>
      <c r="Q82" s="250" t="s">
        <v>595</v>
      </c>
      <c r="R82" s="250" t="s">
        <v>595</v>
      </c>
      <c r="S82" s="250" t="s">
        <v>595</v>
      </c>
      <c r="T82" s="250" t="s">
        <v>595</v>
      </c>
      <c r="U82" s="250" t="s">
        <v>595</v>
      </c>
      <c r="V82" s="250" t="s">
        <v>595</v>
      </c>
      <c r="W82" s="250" t="s">
        <v>595</v>
      </c>
      <c r="X82" s="250" t="s">
        <v>595</v>
      </c>
      <c r="Y82" s="250" t="s">
        <v>595</v>
      </c>
      <c r="Z82" s="250" t="s">
        <v>595</v>
      </c>
      <c r="AA82" s="250" t="s">
        <v>595</v>
      </c>
      <c r="AB82" s="233"/>
      <c r="AC82" s="233"/>
      <c r="AD82" s="250" t="s">
        <v>595</v>
      </c>
      <c r="AE82" s="250" t="s">
        <v>595</v>
      </c>
      <c r="AF82" s="233"/>
      <c r="AG82" s="233"/>
      <c r="AH82" s="233"/>
      <c r="AI82" s="250" t="s">
        <v>595</v>
      </c>
      <c r="AJ82" s="233"/>
      <c r="AK82" s="250" t="s">
        <v>595</v>
      </c>
      <c r="AL82" s="233"/>
      <c r="AM82" s="250" t="s">
        <v>595</v>
      </c>
      <c r="AN82" s="233"/>
      <c r="AO82" s="233"/>
      <c r="AP82" s="250" t="str">
        <f t="shared" si="7"/>
        <v>X</v>
      </c>
      <c r="AQ82" s="250" t="s">
        <v>595</v>
      </c>
      <c r="AR82" s="692"/>
      <c r="AS82" s="233"/>
      <c r="AT82" s="233"/>
      <c r="AU82" s="233"/>
      <c r="AV82" s="233"/>
      <c r="AW82" s="233"/>
      <c r="AX82" s="233"/>
      <c r="AY82" s="233"/>
      <c r="AZ82" s="233"/>
      <c r="BA82" s="233"/>
      <c r="BB82" s="233"/>
      <c r="BC82" s="233"/>
      <c r="BD82" s="233"/>
      <c r="BE82" s="233"/>
      <c r="BF82" s="555"/>
      <c r="BG82" s="555"/>
      <c r="BH82" s="555"/>
      <c r="BI82" s="555"/>
      <c r="BJ82" s="555"/>
      <c r="BK82" s="555"/>
      <c r="BL82" s="555"/>
    </row>
    <row r="83">
      <c r="A83" s="689" t="s">
        <v>339</v>
      </c>
      <c r="B83" s="258" t="s">
        <v>595</v>
      </c>
      <c r="C83" s="258" t="s">
        <v>595</v>
      </c>
      <c r="D83" s="258" t="s">
        <v>595</v>
      </c>
      <c r="E83" s="258" t="s">
        <v>595</v>
      </c>
      <c r="F83" s="233"/>
      <c r="G83" s="233"/>
      <c r="H83" s="258" t="s">
        <v>595</v>
      </c>
      <c r="I83" s="258" t="s">
        <v>595</v>
      </c>
      <c r="J83" s="250" t="s">
        <v>595</v>
      </c>
      <c r="K83" s="250" t="s">
        <v>595</v>
      </c>
      <c r="L83" s="233"/>
      <c r="M83" s="233"/>
      <c r="N83" s="233"/>
      <c r="O83" s="233"/>
      <c r="P83" s="250" t="s">
        <v>595</v>
      </c>
      <c r="Q83" s="250" t="s">
        <v>595</v>
      </c>
      <c r="R83" s="250" t="s">
        <v>595</v>
      </c>
      <c r="S83" s="250" t="s">
        <v>595</v>
      </c>
      <c r="T83" s="250" t="s">
        <v>595</v>
      </c>
      <c r="U83" s="250" t="s">
        <v>595</v>
      </c>
      <c r="V83" s="250" t="s">
        <v>595</v>
      </c>
      <c r="W83" s="250" t="s">
        <v>595</v>
      </c>
      <c r="X83" s="250" t="s">
        <v>595</v>
      </c>
      <c r="Y83" s="250" t="s">
        <v>595</v>
      </c>
      <c r="Z83" s="233"/>
      <c r="AA83" s="250" t="s">
        <v>595</v>
      </c>
      <c r="AB83" s="233"/>
      <c r="AC83" s="233"/>
      <c r="AD83" s="233"/>
      <c r="AE83" s="233"/>
      <c r="AF83" s="233"/>
      <c r="AG83" s="250" t="s">
        <v>595</v>
      </c>
      <c r="AH83" s="250" t="s">
        <v>595</v>
      </c>
      <c r="AI83" s="250" t="s">
        <v>595</v>
      </c>
      <c r="AJ83" s="258" t="s">
        <v>595</v>
      </c>
      <c r="AK83" s="233"/>
      <c r="AL83" s="250" t="s">
        <v>595</v>
      </c>
      <c r="AM83" s="233"/>
      <c r="AN83" s="233"/>
      <c r="AO83" s="233"/>
      <c r="AP83" s="233" t="str">
        <f t="shared" si="7"/>
        <v/>
      </c>
      <c r="AQ83" s="250" t="s">
        <v>595</v>
      </c>
      <c r="AR83" s="692"/>
      <c r="AS83" s="233"/>
      <c r="AT83" s="233"/>
      <c r="AU83" s="233"/>
      <c r="AV83" s="233"/>
      <c r="AW83" s="233"/>
      <c r="AX83" s="233"/>
      <c r="AY83" s="233"/>
      <c r="AZ83" s="233"/>
      <c r="BA83" s="233"/>
      <c r="BB83" s="233"/>
      <c r="BC83" s="233"/>
      <c r="BD83" s="233"/>
      <c r="BE83" s="233"/>
      <c r="BF83" s="555"/>
      <c r="BG83" s="555"/>
      <c r="BH83" s="555"/>
      <c r="BI83" s="555"/>
      <c r="BJ83" s="555"/>
      <c r="BK83" s="555"/>
      <c r="BL83" s="555"/>
    </row>
    <row r="84">
      <c r="A84" s="689" t="s">
        <v>341</v>
      </c>
      <c r="B84" s="258" t="s">
        <v>595</v>
      </c>
      <c r="C84" s="233"/>
      <c r="D84" s="258" t="s">
        <v>595</v>
      </c>
      <c r="E84" s="258" t="s">
        <v>595</v>
      </c>
      <c r="F84" s="233"/>
      <c r="G84" s="233"/>
      <c r="H84" s="258" t="s">
        <v>595</v>
      </c>
      <c r="I84" s="258" t="s">
        <v>595</v>
      </c>
      <c r="J84" s="250" t="s">
        <v>595</v>
      </c>
      <c r="K84" s="250" t="s">
        <v>595</v>
      </c>
      <c r="L84" s="233"/>
      <c r="M84" s="233"/>
      <c r="N84" s="233"/>
      <c r="O84" s="250" t="s">
        <v>595</v>
      </c>
      <c r="P84" s="233"/>
      <c r="Q84" s="233"/>
      <c r="R84" s="233"/>
      <c r="S84" s="233"/>
      <c r="T84" s="233"/>
      <c r="U84" s="233"/>
      <c r="V84" s="233"/>
      <c r="W84" s="233"/>
      <c r="X84" s="233"/>
      <c r="Y84" s="233"/>
      <c r="Z84" s="250" t="s">
        <v>595</v>
      </c>
      <c r="AA84" s="250" t="s">
        <v>595</v>
      </c>
      <c r="AB84" s="233"/>
      <c r="AC84" s="233"/>
      <c r="AD84" s="233"/>
      <c r="AE84" s="233"/>
      <c r="AF84" s="233"/>
      <c r="AG84" s="250" t="s">
        <v>595</v>
      </c>
      <c r="AH84" s="250" t="s">
        <v>595</v>
      </c>
      <c r="AI84" s="233"/>
      <c r="AJ84" s="258" t="s">
        <v>595</v>
      </c>
      <c r="AK84" s="233"/>
      <c r="AL84" s="250" t="s">
        <v>595</v>
      </c>
      <c r="AM84" s="250" t="s">
        <v>595</v>
      </c>
      <c r="AN84" s="233"/>
      <c r="AO84" s="233"/>
      <c r="AP84" s="233" t="str">
        <f t="shared" si="7"/>
        <v/>
      </c>
      <c r="AQ84" s="250" t="s">
        <v>595</v>
      </c>
      <c r="AR84" s="692"/>
      <c r="AS84" s="233"/>
      <c r="AT84" s="233"/>
      <c r="AU84" s="233"/>
      <c r="AV84" s="233"/>
      <c r="AW84" s="233"/>
      <c r="AX84" s="233"/>
      <c r="AY84" s="233"/>
      <c r="AZ84" s="233"/>
      <c r="BA84" s="233"/>
      <c r="BB84" s="233"/>
      <c r="BC84" s="233"/>
      <c r="BD84" s="233"/>
      <c r="BE84" s="233"/>
      <c r="BF84" s="555"/>
      <c r="BG84" s="555"/>
      <c r="BH84" s="555"/>
      <c r="BI84" s="555"/>
      <c r="BJ84" s="555"/>
      <c r="BK84" s="555"/>
      <c r="BL84" s="555"/>
    </row>
    <row r="85">
      <c r="A85" s="689" t="s">
        <v>343</v>
      </c>
      <c r="B85" s="233"/>
      <c r="C85" s="233"/>
      <c r="D85" s="258" t="s">
        <v>595</v>
      </c>
      <c r="E85" s="233"/>
      <c r="F85" s="258" t="s">
        <v>595</v>
      </c>
      <c r="G85" s="258" t="s">
        <v>595</v>
      </c>
      <c r="H85" s="258" t="s">
        <v>595</v>
      </c>
      <c r="I85" s="233"/>
      <c r="J85" s="233"/>
      <c r="K85" s="233"/>
      <c r="L85" s="233"/>
      <c r="M85" s="250" t="s">
        <v>595</v>
      </c>
      <c r="N85" s="250" t="s">
        <v>595</v>
      </c>
      <c r="O85" s="250" t="s">
        <v>595</v>
      </c>
      <c r="P85" s="233"/>
      <c r="Q85" s="233"/>
      <c r="R85" s="250" t="s">
        <v>595</v>
      </c>
      <c r="S85" s="233"/>
      <c r="T85" s="250" t="s">
        <v>595</v>
      </c>
      <c r="U85" s="250" t="s">
        <v>595</v>
      </c>
      <c r="V85" s="233"/>
      <c r="W85" s="250" t="s">
        <v>595</v>
      </c>
      <c r="X85" s="233"/>
      <c r="Y85" s="233"/>
      <c r="Z85" s="233"/>
      <c r="AA85" s="250" t="s">
        <v>595</v>
      </c>
      <c r="AB85" s="233"/>
      <c r="AC85" s="233"/>
      <c r="AD85" s="250" t="s">
        <v>595</v>
      </c>
      <c r="AE85" s="250" t="s">
        <v>595</v>
      </c>
      <c r="AF85" s="250" t="s">
        <v>595</v>
      </c>
      <c r="AG85" s="250" t="s">
        <v>595</v>
      </c>
      <c r="AH85" s="233"/>
      <c r="AI85" s="233"/>
      <c r="AJ85" s="233"/>
      <c r="AK85" s="233"/>
      <c r="AL85" s="233"/>
      <c r="AM85" s="233"/>
      <c r="AN85" s="233"/>
      <c r="AO85" s="233"/>
      <c r="AP85" s="250" t="str">
        <f t="shared" si="7"/>
        <v>X</v>
      </c>
      <c r="AQ85" s="250" t="s">
        <v>595</v>
      </c>
      <c r="AR85" s="692"/>
      <c r="AS85" s="233"/>
      <c r="AT85" s="233"/>
      <c r="AU85" s="233"/>
      <c r="AV85" s="233"/>
      <c r="AW85" s="233"/>
      <c r="AX85" s="233"/>
      <c r="AY85" s="233"/>
      <c r="AZ85" s="233"/>
      <c r="BA85" s="233"/>
      <c r="BB85" s="233"/>
      <c r="BC85" s="233"/>
      <c r="BD85" s="233"/>
      <c r="BE85" s="233"/>
      <c r="BF85" s="555"/>
      <c r="BG85" s="555"/>
      <c r="BH85" s="555"/>
      <c r="BI85" s="555"/>
      <c r="BJ85" s="555"/>
      <c r="BK85" s="555"/>
      <c r="BL85" s="555"/>
    </row>
    <row r="86">
      <c r="A86" s="689" t="s">
        <v>345</v>
      </c>
      <c r="B86" s="233"/>
      <c r="C86" s="233"/>
      <c r="D86" s="233"/>
      <c r="E86" s="233"/>
      <c r="F86" s="233"/>
      <c r="G86" s="233"/>
      <c r="H86" s="233"/>
      <c r="I86" s="233"/>
      <c r="J86" s="233"/>
      <c r="K86" s="233"/>
      <c r="L86" s="250" t="s">
        <v>595</v>
      </c>
      <c r="M86" s="233"/>
      <c r="N86" s="250" t="s">
        <v>595</v>
      </c>
      <c r="O86" s="233"/>
      <c r="P86" s="250" t="s">
        <v>595</v>
      </c>
      <c r="Q86" s="250" t="s">
        <v>595</v>
      </c>
      <c r="R86" s="250" t="s">
        <v>595</v>
      </c>
      <c r="S86" s="250" t="s">
        <v>595</v>
      </c>
      <c r="T86" s="250" t="s">
        <v>595</v>
      </c>
      <c r="U86" s="250" t="s">
        <v>595</v>
      </c>
      <c r="V86" s="250" t="s">
        <v>595</v>
      </c>
      <c r="W86" s="250" t="s">
        <v>595</v>
      </c>
      <c r="X86" s="250" t="s">
        <v>595</v>
      </c>
      <c r="Y86" s="250" t="s">
        <v>595</v>
      </c>
      <c r="Z86" s="233"/>
      <c r="AA86" s="233"/>
      <c r="AB86" s="233"/>
      <c r="AC86" s="233"/>
      <c r="AD86" s="233"/>
      <c r="AE86" s="233"/>
      <c r="AF86" s="233"/>
      <c r="AG86" s="233"/>
      <c r="AH86" s="233"/>
      <c r="AI86" s="250" t="s">
        <v>595</v>
      </c>
      <c r="AJ86" s="233"/>
      <c r="AK86" s="233"/>
      <c r="AL86" s="233"/>
      <c r="AM86" s="250" t="s">
        <v>595</v>
      </c>
      <c r="AN86" s="228"/>
      <c r="AO86" s="228"/>
      <c r="AP86" s="233" t="str">
        <f t="shared" si="7"/>
        <v/>
      </c>
      <c r="AQ86" s="250" t="s">
        <v>595</v>
      </c>
      <c r="AR86" s="692"/>
      <c r="AS86" s="233"/>
      <c r="AT86" s="233"/>
      <c r="AU86" s="233"/>
      <c r="AV86" s="233"/>
      <c r="AW86" s="233"/>
      <c r="AX86" s="233"/>
      <c r="AY86" s="233"/>
      <c r="AZ86" s="233"/>
      <c r="BA86" s="233"/>
      <c r="BB86" s="233"/>
      <c r="BC86" s="233"/>
      <c r="BD86" s="233"/>
      <c r="BE86" s="233"/>
      <c r="BF86" s="555"/>
      <c r="BG86" s="555"/>
      <c r="BH86" s="555"/>
      <c r="BI86" s="555"/>
      <c r="BJ86" s="555"/>
      <c r="BK86" s="555"/>
      <c r="BL86" s="555"/>
    </row>
    <row r="87">
      <c r="A87" s="689" t="s">
        <v>346</v>
      </c>
      <c r="B87" s="233"/>
      <c r="C87" s="233"/>
      <c r="D87" s="233"/>
      <c r="E87" s="258" t="s">
        <v>595</v>
      </c>
      <c r="F87" s="258" t="s">
        <v>595</v>
      </c>
      <c r="G87" s="258" t="s">
        <v>595</v>
      </c>
      <c r="H87" s="258" t="s">
        <v>595</v>
      </c>
      <c r="I87" s="233"/>
      <c r="J87" s="233"/>
      <c r="K87" s="233"/>
      <c r="L87" s="233"/>
      <c r="M87" s="250" t="s">
        <v>595</v>
      </c>
      <c r="N87" s="250" t="s">
        <v>595</v>
      </c>
      <c r="O87" s="233"/>
      <c r="P87" s="233"/>
      <c r="Q87" s="233"/>
      <c r="R87" s="233"/>
      <c r="S87" s="233"/>
      <c r="T87" s="233"/>
      <c r="U87" s="233"/>
      <c r="V87" s="250" t="s">
        <v>595</v>
      </c>
      <c r="W87" s="233"/>
      <c r="X87" s="233"/>
      <c r="Y87" s="250" t="s">
        <v>595</v>
      </c>
      <c r="Z87" s="233"/>
      <c r="AA87" s="250" t="s">
        <v>595</v>
      </c>
      <c r="AB87" s="233"/>
      <c r="AC87" s="233"/>
      <c r="AD87" s="250" t="s">
        <v>595</v>
      </c>
      <c r="AE87" s="250" t="s">
        <v>595</v>
      </c>
      <c r="AF87" s="233"/>
      <c r="AG87" s="233"/>
      <c r="AH87" s="233"/>
      <c r="AI87" s="233"/>
      <c r="AJ87" s="250" t="s">
        <v>595</v>
      </c>
      <c r="AK87" s="250" t="s">
        <v>595</v>
      </c>
      <c r="AL87" s="250" t="s">
        <v>595</v>
      </c>
      <c r="AM87" s="233"/>
      <c r="AN87" s="233"/>
      <c r="AO87" s="233"/>
      <c r="AP87" s="250" t="str">
        <f t="shared" si="7"/>
        <v>X</v>
      </c>
      <c r="AQ87" s="250" t="s">
        <v>595</v>
      </c>
      <c r="AR87" s="692"/>
      <c r="AS87" s="233"/>
      <c r="AT87" s="233"/>
      <c r="AU87" s="233"/>
      <c r="AV87" s="233"/>
      <c r="AW87" s="233"/>
      <c r="AX87" s="233"/>
      <c r="AY87" s="233"/>
      <c r="AZ87" s="233"/>
      <c r="BA87" s="233"/>
      <c r="BB87" s="233"/>
      <c r="BC87" s="233"/>
      <c r="BD87" s="233"/>
      <c r="BE87" s="233"/>
      <c r="BF87" s="555"/>
      <c r="BG87" s="555"/>
      <c r="BH87" s="555"/>
      <c r="BI87" s="555"/>
      <c r="BJ87" s="555"/>
      <c r="BK87" s="555"/>
      <c r="BL87" s="555"/>
    </row>
    <row r="88">
      <c r="A88" s="689" t="s">
        <v>347</v>
      </c>
      <c r="B88" s="233"/>
      <c r="C88" s="233"/>
      <c r="D88" s="233"/>
      <c r="E88" s="233"/>
      <c r="F88" s="233"/>
      <c r="G88" s="233"/>
      <c r="H88" s="233"/>
      <c r="I88" s="258" t="s">
        <v>595</v>
      </c>
      <c r="J88" s="233"/>
      <c r="K88" s="233"/>
      <c r="L88" s="233"/>
      <c r="M88" s="233"/>
      <c r="N88" s="233"/>
      <c r="O88" s="233"/>
      <c r="P88" s="233"/>
      <c r="Q88" s="233"/>
      <c r="R88" s="250" t="s">
        <v>595</v>
      </c>
      <c r="S88" s="233"/>
      <c r="T88" s="250" t="s">
        <v>595</v>
      </c>
      <c r="U88" s="233"/>
      <c r="V88" s="233"/>
      <c r="W88" s="233"/>
      <c r="X88" s="233"/>
      <c r="Y88" s="233"/>
      <c r="Z88" s="233"/>
      <c r="AA88" s="250" t="s">
        <v>595</v>
      </c>
      <c r="AB88" s="233"/>
      <c r="AC88" s="233"/>
      <c r="AD88" s="233"/>
      <c r="AE88" s="233"/>
      <c r="AF88" s="233"/>
      <c r="AG88" s="250" t="s">
        <v>595</v>
      </c>
      <c r="AH88" s="233"/>
      <c r="AI88" s="250" t="s">
        <v>595</v>
      </c>
      <c r="AJ88" s="250" t="s">
        <v>595</v>
      </c>
      <c r="AK88" s="233"/>
      <c r="AL88" s="228"/>
      <c r="AM88" s="233"/>
      <c r="AN88" s="228"/>
      <c r="AO88" s="228"/>
      <c r="AP88" s="233" t="str">
        <f t="shared" si="7"/>
        <v/>
      </c>
      <c r="AQ88" s="250" t="s">
        <v>595</v>
      </c>
      <c r="AR88" s="692"/>
      <c r="AS88" s="233"/>
      <c r="AT88" s="233"/>
      <c r="AU88" s="233"/>
      <c r="AV88" s="233"/>
      <c r="AW88" s="233"/>
      <c r="AX88" s="233"/>
      <c r="AY88" s="233"/>
      <c r="AZ88" s="233"/>
      <c r="BA88" s="233"/>
      <c r="BB88" s="233"/>
      <c r="BC88" s="233"/>
      <c r="BD88" s="233"/>
      <c r="BE88" s="233"/>
      <c r="BF88" s="555"/>
      <c r="BG88" s="555"/>
      <c r="BH88" s="555"/>
      <c r="BI88" s="555"/>
      <c r="BJ88" s="555"/>
      <c r="BK88" s="555"/>
      <c r="BL88" s="555"/>
    </row>
    <row r="89">
      <c r="A89" s="689" t="s">
        <v>348</v>
      </c>
      <c r="B89" s="233"/>
      <c r="C89" s="233"/>
      <c r="D89" s="233"/>
      <c r="E89" s="233"/>
      <c r="F89" s="233"/>
      <c r="G89" s="233"/>
      <c r="H89" s="233"/>
      <c r="I89" s="233"/>
      <c r="J89" s="233"/>
      <c r="K89" s="233"/>
      <c r="L89" s="233"/>
      <c r="M89" s="233"/>
      <c r="N89" s="250" t="s">
        <v>595</v>
      </c>
      <c r="O89" s="233"/>
      <c r="P89" s="250" t="s">
        <v>595</v>
      </c>
      <c r="Q89" s="233"/>
      <c r="R89" s="233"/>
      <c r="S89" s="233"/>
      <c r="T89" s="233"/>
      <c r="U89" s="233"/>
      <c r="V89" s="233"/>
      <c r="W89" s="233"/>
      <c r="X89" s="233"/>
      <c r="Y89" s="250" t="s">
        <v>595</v>
      </c>
      <c r="Z89" s="233"/>
      <c r="AA89" s="233"/>
      <c r="AB89" s="233"/>
      <c r="AC89" s="233"/>
      <c r="AD89" s="233"/>
      <c r="AE89" s="233"/>
      <c r="AF89" s="250" t="s">
        <v>595</v>
      </c>
      <c r="AG89" s="250" t="s">
        <v>595</v>
      </c>
      <c r="AH89" s="233"/>
      <c r="AI89" s="250" t="s">
        <v>595</v>
      </c>
      <c r="AJ89" s="233"/>
      <c r="AK89" s="233"/>
      <c r="AL89" s="228"/>
      <c r="AM89" s="228"/>
      <c r="AN89" s="228"/>
      <c r="AO89" s="228"/>
      <c r="AP89" s="233" t="str">
        <f t="shared" si="7"/>
        <v/>
      </c>
      <c r="AQ89" s="250" t="s">
        <v>595</v>
      </c>
      <c r="AR89" s="691"/>
      <c r="AS89" s="228"/>
      <c r="AT89" s="228"/>
      <c r="AU89" s="228"/>
      <c r="AV89" s="228"/>
      <c r="AW89" s="228"/>
      <c r="AX89" s="228"/>
      <c r="AY89" s="228"/>
      <c r="AZ89" s="228"/>
      <c r="BA89" s="228"/>
      <c r="BB89" s="228"/>
      <c r="BC89" s="228"/>
      <c r="BD89" s="228"/>
      <c r="BE89" s="228"/>
      <c r="BF89" s="580"/>
      <c r="BG89" s="580"/>
      <c r="BH89" s="580"/>
      <c r="BI89" s="580"/>
      <c r="BJ89" s="580"/>
      <c r="BK89" s="580"/>
      <c r="BL89" s="580"/>
    </row>
    <row r="90">
      <c r="A90" s="689" t="s">
        <v>349</v>
      </c>
      <c r="B90" s="258" t="s">
        <v>595</v>
      </c>
      <c r="C90" s="233"/>
      <c r="D90" s="233"/>
      <c r="E90" s="233"/>
      <c r="F90" s="233"/>
      <c r="G90" s="233"/>
      <c r="H90" s="258" t="s">
        <v>595</v>
      </c>
      <c r="I90" s="233"/>
      <c r="J90" s="233"/>
      <c r="K90" s="250" t="s">
        <v>595</v>
      </c>
      <c r="L90" s="233"/>
      <c r="M90" s="233"/>
      <c r="N90" s="250" t="s">
        <v>595</v>
      </c>
      <c r="O90" s="233"/>
      <c r="P90" s="250" t="s">
        <v>595</v>
      </c>
      <c r="Q90" s="250" t="s">
        <v>595</v>
      </c>
      <c r="R90" s="250" t="s">
        <v>595</v>
      </c>
      <c r="S90" s="250" t="s">
        <v>595</v>
      </c>
      <c r="T90" s="250" t="s">
        <v>595</v>
      </c>
      <c r="U90" s="250" t="s">
        <v>595</v>
      </c>
      <c r="V90" s="250" t="s">
        <v>595</v>
      </c>
      <c r="W90" s="250" t="s">
        <v>595</v>
      </c>
      <c r="X90" s="250" t="s">
        <v>595</v>
      </c>
      <c r="Y90" s="250" t="s">
        <v>595</v>
      </c>
      <c r="Z90" s="233"/>
      <c r="AA90" s="250" t="s">
        <v>595</v>
      </c>
      <c r="AB90" s="233"/>
      <c r="AC90" s="233"/>
      <c r="AD90" s="233"/>
      <c r="AE90" s="233"/>
      <c r="AF90" s="233"/>
      <c r="AG90" s="250" t="s">
        <v>595</v>
      </c>
      <c r="AH90" s="233"/>
      <c r="AI90" s="250" t="s">
        <v>595</v>
      </c>
      <c r="AJ90" s="233"/>
      <c r="AK90" s="233"/>
      <c r="AL90" s="228"/>
      <c r="AM90" s="228"/>
      <c r="AN90" s="228"/>
      <c r="AO90" s="228"/>
      <c r="AP90" s="233" t="str">
        <f t="shared" si="7"/>
        <v/>
      </c>
      <c r="AQ90" s="250" t="s">
        <v>595</v>
      </c>
      <c r="AR90" s="691"/>
      <c r="AS90" s="228"/>
      <c r="AT90" s="228"/>
      <c r="AU90" s="228"/>
      <c r="AV90" s="228"/>
      <c r="AW90" s="228"/>
      <c r="AX90" s="228"/>
      <c r="AY90" s="228"/>
      <c r="AZ90" s="228"/>
      <c r="BA90" s="228"/>
      <c r="BB90" s="228"/>
      <c r="BC90" s="228"/>
      <c r="BD90" s="228"/>
      <c r="BE90" s="228"/>
      <c r="BF90" s="580"/>
      <c r="BG90" s="580"/>
      <c r="BH90" s="580"/>
      <c r="BI90" s="580"/>
      <c r="BJ90" s="580"/>
      <c r="BK90" s="580"/>
      <c r="BL90" s="580"/>
    </row>
    <row r="91">
      <c r="A91" s="689" t="s">
        <v>350</v>
      </c>
      <c r="B91" s="258" t="s">
        <v>595</v>
      </c>
      <c r="C91" s="233"/>
      <c r="D91" s="258" t="s">
        <v>595</v>
      </c>
      <c r="E91" s="233"/>
      <c r="F91" s="258" t="s">
        <v>595</v>
      </c>
      <c r="G91" s="258" t="s">
        <v>595</v>
      </c>
      <c r="H91" s="258" t="s">
        <v>595</v>
      </c>
      <c r="I91" s="233"/>
      <c r="J91" s="233"/>
      <c r="K91" s="233"/>
      <c r="L91" s="233"/>
      <c r="M91" s="233"/>
      <c r="N91" s="233"/>
      <c r="O91" s="250" t="s">
        <v>595</v>
      </c>
      <c r="P91" s="233"/>
      <c r="Q91" s="233"/>
      <c r="R91" s="233"/>
      <c r="S91" s="233"/>
      <c r="T91" s="233"/>
      <c r="U91" s="233"/>
      <c r="V91" s="233"/>
      <c r="W91" s="233"/>
      <c r="X91" s="233"/>
      <c r="Y91" s="233"/>
      <c r="Z91" s="233"/>
      <c r="AA91" s="233"/>
      <c r="AB91" s="250" t="s">
        <v>595</v>
      </c>
      <c r="AC91" s="250" t="s">
        <v>595</v>
      </c>
      <c r="AD91" s="250" t="s">
        <v>595</v>
      </c>
      <c r="AE91" s="250" t="s">
        <v>595</v>
      </c>
      <c r="AF91" s="233"/>
      <c r="AG91" s="233"/>
      <c r="AH91" s="233"/>
      <c r="AI91" s="233"/>
      <c r="AJ91" s="233"/>
      <c r="AK91" s="250" t="s">
        <v>595</v>
      </c>
      <c r="AL91" s="228"/>
      <c r="AM91" s="228"/>
      <c r="AN91" s="228"/>
      <c r="AO91" s="228"/>
      <c r="AP91" s="250" t="str">
        <f t="shared" si="7"/>
        <v>X</v>
      </c>
      <c r="AQ91" s="250" t="s">
        <v>595</v>
      </c>
      <c r="AR91" s="691"/>
      <c r="AS91" s="228"/>
      <c r="AT91" s="228"/>
      <c r="AU91" s="228"/>
      <c r="AV91" s="228"/>
      <c r="AW91" s="228"/>
      <c r="AX91" s="228"/>
      <c r="AY91" s="228"/>
      <c r="AZ91" s="228"/>
      <c r="BA91" s="228"/>
      <c r="BB91" s="228"/>
      <c r="BC91" s="228"/>
      <c r="BD91" s="228"/>
      <c r="BE91" s="228"/>
      <c r="BF91" s="580"/>
      <c r="BG91" s="580"/>
      <c r="BH91" s="580"/>
      <c r="BI91" s="580"/>
      <c r="BJ91" s="580"/>
      <c r="BK91" s="580"/>
      <c r="BL91" s="580"/>
    </row>
    <row r="92">
      <c r="A92" s="689" t="s">
        <v>351</v>
      </c>
      <c r="B92" s="258" t="s">
        <v>595</v>
      </c>
      <c r="C92" s="258" t="s">
        <v>595</v>
      </c>
      <c r="D92" s="233"/>
      <c r="E92" s="258" t="s">
        <v>595</v>
      </c>
      <c r="F92" s="258" t="s">
        <v>595</v>
      </c>
      <c r="G92" s="258" t="s">
        <v>595</v>
      </c>
      <c r="H92" s="258" t="s">
        <v>595</v>
      </c>
      <c r="I92" s="233"/>
      <c r="J92" s="233"/>
      <c r="K92" s="233"/>
      <c r="L92" s="233"/>
      <c r="M92" s="233"/>
      <c r="N92" s="233"/>
      <c r="O92" s="250" t="s">
        <v>595</v>
      </c>
      <c r="P92" s="233"/>
      <c r="Q92" s="233"/>
      <c r="R92" s="233"/>
      <c r="S92" s="233"/>
      <c r="T92" s="233"/>
      <c r="U92" s="250" t="s">
        <v>595</v>
      </c>
      <c r="V92" s="233"/>
      <c r="W92" s="233"/>
      <c r="X92" s="233"/>
      <c r="Y92" s="233"/>
      <c r="Z92" s="233"/>
      <c r="AA92" s="250" t="s">
        <v>595</v>
      </c>
      <c r="AB92" s="233"/>
      <c r="AC92" s="233"/>
      <c r="AD92" s="250" t="s">
        <v>595</v>
      </c>
      <c r="AE92" s="250" t="s">
        <v>595</v>
      </c>
      <c r="AF92" s="233"/>
      <c r="AG92" s="233"/>
      <c r="AH92" s="233"/>
      <c r="AI92" s="233"/>
      <c r="AJ92" s="250" t="s">
        <v>595</v>
      </c>
      <c r="AK92" s="250" t="s">
        <v>595</v>
      </c>
      <c r="AL92" s="250" t="s">
        <v>595</v>
      </c>
      <c r="AM92" s="233"/>
      <c r="AN92" s="228"/>
      <c r="AO92" s="228"/>
      <c r="AP92" s="250" t="str">
        <f t="shared" si="7"/>
        <v>X</v>
      </c>
      <c r="AQ92" s="250" t="s">
        <v>595</v>
      </c>
      <c r="AR92" s="692"/>
      <c r="AS92" s="233"/>
      <c r="AT92" s="233"/>
      <c r="AU92" s="233"/>
      <c r="AV92" s="233"/>
      <c r="AW92" s="233"/>
      <c r="AX92" s="233"/>
      <c r="AY92" s="233"/>
      <c r="AZ92" s="233"/>
      <c r="BA92" s="233"/>
      <c r="BB92" s="233"/>
      <c r="BC92" s="233"/>
      <c r="BD92" s="233"/>
      <c r="BE92" s="233"/>
      <c r="BF92" s="555"/>
      <c r="BG92" s="555"/>
      <c r="BH92" s="555"/>
      <c r="BI92" s="555"/>
      <c r="BJ92" s="555"/>
      <c r="BK92" s="555"/>
      <c r="BL92" s="555"/>
    </row>
    <row r="93">
      <c r="A93" s="689" t="s">
        <v>352</v>
      </c>
      <c r="B93" s="233"/>
      <c r="C93" s="233"/>
      <c r="D93" s="233"/>
      <c r="E93" s="233"/>
      <c r="F93" s="233"/>
      <c r="G93" s="233"/>
      <c r="H93" s="258" t="s">
        <v>595</v>
      </c>
      <c r="I93" s="233"/>
      <c r="J93" s="233"/>
      <c r="K93" s="233"/>
      <c r="L93" s="233"/>
      <c r="M93" s="250" t="s">
        <v>595</v>
      </c>
      <c r="N93" s="250" t="s">
        <v>595</v>
      </c>
      <c r="O93" s="233"/>
      <c r="P93" s="250" t="s">
        <v>595</v>
      </c>
      <c r="Q93" s="250" t="s">
        <v>595</v>
      </c>
      <c r="R93" s="250" t="s">
        <v>595</v>
      </c>
      <c r="S93" s="250" t="s">
        <v>595</v>
      </c>
      <c r="T93" s="250" t="s">
        <v>595</v>
      </c>
      <c r="U93" s="250" t="s">
        <v>595</v>
      </c>
      <c r="V93" s="250" t="s">
        <v>595</v>
      </c>
      <c r="W93" s="250" t="s">
        <v>595</v>
      </c>
      <c r="X93" s="250" t="s">
        <v>595</v>
      </c>
      <c r="Y93" s="250" t="s">
        <v>595</v>
      </c>
      <c r="Z93" s="233"/>
      <c r="AA93" s="233"/>
      <c r="AB93" s="233"/>
      <c r="AC93" s="233"/>
      <c r="AD93" s="233"/>
      <c r="AE93" s="233"/>
      <c r="AF93" s="250" t="s">
        <v>595</v>
      </c>
      <c r="AG93" s="233"/>
      <c r="AH93" s="233"/>
      <c r="AI93" s="250" t="s">
        <v>595</v>
      </c>
      <c r="AJ93" s="228"/>
      <c r="AK93" s="250" t="s">
        <v>595</v>
      </c>
      <c r="AL93" s="233"/>
      <c r="AM93" s="233"/>
      <c r="AN93" s="233"/>
      <c r="AO93" s="233"/>
      <c r="AP93" s="233" t="str">
        <f t="shared" si="7"/>
        <v/>
      </c>
      <c r="AQ93" s="250" t="s">
        <v>595</v>
      </c>
      <c r="AR93" s="692"/>
      <c r="AS93" s="233"/>
      <c r="AT93" s="233"/>
      <c r="AU93" s="233"/>
      <c r="AV93" s="233"/>
      <c r="AW93" s="233"/>
      <c r="AX93" s="233"/>
      <c r="AY93" s="233"/>
      <c r="AZ93" s="233"/>
      <c r="BA93" s="233"/>
      <c r="BB93" s="233"/>
      <c r="BC93" s="233"/>
      <c r="BD93" s="233"/>
      <c r="BE93" s="233"/>
      <c r="BF93" s="241"/>
      <c r="BG93" s="241"/>
      <c r="BH93" s="241"/>
      <c r="BI93" s="241"/>
      <c r="BJ93" s="241"/>
      <c r="BK93" s="241"/>
      <c r="BL93" s="241"/>
    </row>
    <row r="94">
      <c r="A94" s="689" t="s">
        <v>354</v>
      </c>
      <c r="B94" s="258" t="s">
        <v>595</v>
      </c>
      <c r="C94" s="258" t="s">
        <v>595</v>
      </c>
      <c r="D94" s="258" t="s">
        <v>595</v>
      </c>
      <c r="E94" s="258" t="s">
        <v>595</v>
      </c>
      <c r="F94" s="233"/>
      <c r="G94" s="233"/>
      <c r="H94" s="233"/>
      <c r="I94" s="233"/>
      <c r="J94" s="250" t="s">
        <v>595</v>
      </c>
      <c r="K94" s="250" t="s">
        <v>595</v>
      </c>
      <c r="L94" s="233"/>
      <c r="M94" s="233"/>
      <c r="N94" s="250" t="s">
        <v>595</v>
      </c>
      <c r="O94" s="250" t="s">
        <v>595</v>
      </c>
      <c r="P94" s="233"/>
      <c r="Q94" s="233"/>
      <c r="R94" s="233"/>
      <c r="S94" s="233"/>
      <c r="T94" s="233"/>
      <c r="U94" s="250" t="s">
        <v>595</v>
      </c>
      <c r="V94" s="250" t="s">
        <v>595</v>
      </c>
      <c r="W94" s="250" t="s">
        <v>595</v>
      </c>
      <c r="X94" s="233"/>
      <c r="Y94" s="250" t="s">
        <v>595</v>
      </c>
      <c r="Z94" s="233"/>
      <c r="AA94" s="250" t="s">
        <v>595</v>
      </c>
      <c r="AB94" s="233"/>
      <c r="AC94" s="233"/>
      <c r="AD94" s="233"/>
      <c r="AE94" s="233"/>
      <c r="AF94" s="233"/>
      <c r="AG94" s="250" t="s">
        <v>595</v>
      </c>
      <c r="AH94" s="233"/>
      <c r="AI94" s="233"/>
      <c r="AJ94" s="255" t="s">
        <v>595</v>
      </c>
      <c r="AK94" s="233"/>
      <c r="AL94" s="233"/>
      <c r="AM94" s="233"/>
      <c r="AN94" s="233"/>
      <c r="AO94" s="233"/>
      <c r="AP94" s="233" t="str">
        <f t="shared" si="7"/>
        <v/>
      </c>
      <c r="AQ94" s="250" t="s">
        <v>595</v>
      </c>
      <c r="AR94" s="692"/>
      <c r="AS94" s="233"/>
      <c r="AT94" s="233"/>
      <c r="AU94" s="233"/>
      <c r="AV94" s="233"/>
      <c r="AW94" s="233"/>
      <c r="AX94" s="233"/>
      <c r="AY94" s="233"/>
      <c r="AZ94" s="233"/>
      <c r="BA94" s="233"/>
      <c r="BB94" s="233"/>
      <c r="BC94" s="233"/>
      <c r="BD94" s="233"/>
      <c r="BE94" s="233"/>
      <c r="BF94" s="241"/>
      <c r="BG94" s="241"/>
      <c r="BH94" s="241"/>
      <c r="BI94" s="241"/>
      <c r="BJ94" s="241"/>
      <c r="BK94" s="241"/>
      <c r="BL94" s="241"/>
    </row>
    <row r="95">
      <c r="A95" s="689" t="s">
        <v>357</v>
      </c>
      <c r="B95" s="233"/>
      <c r="C95" s="258" t="s">
        <v>595</v>
      </c>
      <c r="D95" s="233"/>
      <c r="E95" s="258" t="s">
        <v>595</v>
      </c>
      <c r="F95" s="233"/>
      <c r="G95" s="233"/>
      <c r="H95" s="233"/>
      <c r="I95" s="258" t="s">
        <v>595</v>
      </c>
      <c r="J95" s="233"/>
      <c r="K95" s="233"/>
      <c r="L95" s="250" t="s">
        <v>595</v>
      </c>
      <c r="M95" s="233"/>
      <c r="N95" s="233"/>
      <c r="O95" s="233"/>
      <c r="P95" s="250" t="s">
        <v>595</v>
      </c>
      <c r="Q95" s="250" t="s">
        <v>595</v>
      </c>
      <c r="R95" s="250" t="s">
        <v>595</v>
      </c>
      <c r="S95" s="250" t="s">
        <v>595</v>
      </c>
      <c r="T95" s="250" t="s">
        <v>595</v>
      </c>
      <c r="U95" s="250" t="s">
        <v>595</v>
      </c>
      <c r="V95" s="250" t="s">
        <v>595</v>
      </c>
      <c r="W95" s="250" t="s">
        <v>595</v>
      </c>
      <c r="X95" s="250" t="s">
        <v>595</v>
      </c>
      <c r="Y95" s="250" t="s">
        <v>595</v>
      </c>
      <c r="Z95" s="250" t="s">
        <v>595</v>
      </c>
      <c r="AA95" s="250" t="s">
        <v>595</v>
      </c>
      <c r="AB95" s="233"/>
      <c r="AC95" s="233"/>
      <c r="AD95" s="233"/>
      <c r="AE95" s="233"/>
      <c r="AF95" s="233"/>
      <c r="AG95" s="233"/>
      <c r="AH95" s="233"/>
      <c r="AI95" s="250" t="s">
        <v>595</v>
      </c>
      <c r="AJ95" s="228"/>
      <c r="AK95" s="250" t="s">
        <v>595</v>
      </c>
      <c r="AL95" s="233"/>
      <c r="AM95" s="250" t="s">
        <v>595</v>
      </c>
      <c r="AN95" s="233"/>
      <c r="AO95" s="233"/>
      <c r="AP95" s="233" t="str">
        <f t="shared" si="7"/>
        <v/>
      </c>
      <c r="AQ95" s="250" t="s">
        <v>595</v>
      </c>
      <c r="AR95" s="692"/>
      <c r="AS95" s="233"/>
      <c r="AT95" s="233"/>
      <c r="AU95" s="233"/>
      <c r="AV95" s="233"/>
      <c r="AW95" s="233"/>
      <c r="AX95" s="233"/>
      <c r="AY95" s="233"/>
      <c r="AZ95" s="233"/>
      <c r="BA95" s="233"/>
      <c r="BB95" s="233"/>
      <c r="BC95" s="233"/>
      <c r="BD95" s="233"/>
      <c r="BE95" s="233"/>
      <c r="BF95" s="241"/>
      <c r="BG95" s="241"/>
      <c r="BH95" s="241"/>
      <c r="BI95" s="241"/>
      <c r="BJ95" s="241"/>
      <c r="BK95" s="241"/>
      <c r="BL95" s="241"/>
    </row>
    <row r="96">
      <c r="A96" s="689" t="s">
        <v>358</v>
      </c>
      <c r="B96" s="233"/>
      <c r="C96" s="258" t="s">
        <v>595</v>
      </c>
      <c r="D96" s="258" t="s">
        <v>595</v>
      </c>
      <c r="E96" s="233"/>
      <c r="F96" s="258" t="s">
        <v>595</v>
      </c>
      <c r="G96" s="258" t="s">
        <v>595</v>
      </c>
      <c r="H96" s="258" t="s">
        <v>595</v>
      </c>
      <c r="I96" s="233"/>
      <c r="J96" s="233"/>
      <c r="K96" s="233"/>
      <c r="L96" s="233"/>
      <c r="M96" s="233"/>
      <c r="N96" s="233"/>
      <c r="O96" s="233"/>
      <c r="P96" s="250" t="s">
        <v>595</v>
      </c>
      <c r="Q96" s="233"/>
      <c r="R96" s="233"/>
      <c r="S96" s="233"/>
      <c r="T96" s="233"/>
      <c r="U96" s="233"/>
      <c r="V96" s="233"/>
      <c r="W96" s="233"/>
      <c r="X96" s="250" t="s">
        <v>595</v>
      </c>
      <c r="Y96" s="233"/>
      <c r="Z96" s="250" t="s">
        <v>595</v>
      </c>
      <c r="AA96" s="233"/>
      <c r="AB96" s="233"/>
      <c r="AC96" s="233"/>
      <c r="AD96" s="233"/>
      <c r="AE96" s="233"/>
      <c r="AF96" s="233"/>
      <c r="AG96" s="233"/>
      <c r="AH96" s="233"/>
      <c r="AI96" s="250" t="s">
        <v>595</v>
      </c>
      <c r="AJ96" s="228"/>
      <c r="AK96" s="233"/>
      <c r="AL96" s="233"/>
      <c r="AM96" s="250" t="s">
        <v>595</v>
      </c>
      <c r="AN96" s="233"/>
      <c r="AO96" s="233"/>
      <c r="AP96" s="250" t="str">
        <f t="shared" si="7"/>
        <v>X</v>
      </c>
      <c r="AQ96" s="250" t="s">
        <v>595</v>
      </c>
      <c r="AR96" s="692"/>
      <c r="AS96" s="233"/>
      <c r="AT96" s="233"/>
      <c r="AU96" s="233"/>
      <c r="AV96" s="233"/>
      <c r="AW96" s="233"/>
      <c r="AX96" s="233"/>
      <c r="AY96" s="233"/>
      <c r="AZ96" s="233"/>
      <c r="BA96" s="233"/>
      <c r="BB96" s="233"/>
      <c r="BC96" s="233"/>
      <c r="BD96" s="233"/>
      <c r="BE96" s="233"/>
      <c r="BF96" s="241"/>
      <c r="BG96" s="241"/>
      <c r="BH96" s="241"/>
      <c r="BI96" s="241"/>
      <c r="BJ96" s="241"/>
      <c r="BK96" s="241"/>
      <c r="BL96" s="241"/>
    </row>
    <row r="97">
      <c r="A97" s="689" t="s">
        <v>361</v>
      </c>
      <c r="B97" s="258" t="s">
        <v>595</v>
      </c>
      <c r="C97" s="258" t="s">
        <v>595</v>
      </c>
      <c r="D97" s="258" t="s">
        <v>595</v>
      </c>
      <c r="E97" s="258" t="s">
        <v>595</v>
      </c>
      <c r="F97" s="233"/>
      <c r="G97" s="233"/>
      <c r="H97" s="258" t="s">
        <v>595</v>
      </c>
      <c r="I97" s="258" t="s">
        <v>595</v>
      </c>
      <c r="J97" s="233"/>
      <c r="K97" s="250" t="s">
        <v>595</v>
      </c>
      <c r="L97" s="233"/>
      <c r="M97" s="233"/>
      <c r="N97" s="233"/>
      <c r="O97" s="233"/>
      <c r="P97" s="250" t="s">
        <v>595</v>
      </c>
      <c r="Q97" s="250" t="s">
        <v>595</v>
      </c>
      <c r="R97" s="250" t="s">
        <v>595</v>
      </c>
      <c r="S97" s="250" t="s">
        <v>595</v>
      </c>
      <c r="T97" s="250" t="s">
        <v>595</v>
      </c>
      <c r="U97" s="250" t="s">
        <v>595</v>
      </c>
      <c r="V97" s="250" t="s">
        <v>595</v>
      </c>
      <c r="W97" s="250" t="s">
        <v>595</v>
      </c>
      <c r="X97" s="250" t="s">
        <v>595</v>
      </c>
      <c r="Y97" s="250" t="s">
        <v>595</v>
      </c>
      <c r="Z97" s="250" t="s">
        <v>595</v>
      </c>
      <c r="AA97" s="250" t="s">
        <v>595</v>
      </c>
      <c r="AB97" s="233"/>
      <c r="AC97" s="233"/>
      <c r="AD97" s="233"/>
      <c r="AE97" s="233"/>
      <c r="AF97" s="233"/>
      <c r="AG97" s="250" t="s">
        <v>595</v>
      </c>
      <c r="AH97" s="250" t="s">
        <v>595</v>
      </c>
      <c r="AI97" s="233"/>
      <c r="AJ97" s="255" t="s">
        <v>595</v>
      </c>
      <c r="AK97" s="250" t="s">
        <v>595</v>
      </c>
      <c r="AL97" s="250" t="s">
        <v>595</v>
      </c>
      <c r="AM97" s="250" t="s">
        <v>595</v>
      </c>
      <c r="AN97" s="233"/>
      <c r="AO97" s="233"/>
      <c r="AP97" s="233" t="str">
        <f t="shared" si="7"/>
        <v/>
      </c>
      <c r="AQ97" s="250" t="s">
        <v>595</v>
      </c>
      <c r="AR97" s="692"/>
      <c r="AS97" s="233"/>
      <c r="AT97" s="233"/>
      <c r="AU97" s="233"/>
      <c r="AV97" s="233"/>
      <c r="AW97" s="233"/>
      <c r="AX97" s="233"/>
      <c r="AY97" s="233"/>
      <c r="AZ97" s="233"/>
      <c r="BA97" s="233"/>
      <c r="BB97" s="233"/>
      <c r="BC97" s="233"/>
      <c r="BD97" s="233"/>
      <c r="BE97" s="233"/>
      <c r="BF97" s="241"/>
      <c r="BG97" s="241"/>
      <c r="BH97" s="241"/>
      <c r="BI97" s="241"/>
      <c r="BJ97" s="241"/>
      <c r="BK97" s="241"/>
      <c r="BL97" s="241"/>
    </row>
    <row r="98">
      <c r="A98" s="689" t="s">
        <v>362</v>
      </c>
      <c r="B98" s="233"/>
      <c r="C98" s="233"/>
      <c r="D98" s="258" t="s">
        <v>595</v>
      </c>
      <c r="E98" s="233"/>
      <c r="F98" s="233"/>
      <c r="G98" s="233"/>
      <c r="H98" s="233"/>
      <c r="I98" s="233"/>
      <c r="J98" s="233"/>
      <c r="K98" s="233"/>
      <c r="L98" s="233"/>
      <c r="M98" s="233"/>
      <c r="N98" s="233"/>
      <c r="O98" s="250" t="s">
        <v>595</v>
      </c>
      <c r="P98" s="250" t="s">
        <v>595</v>
      </c>
      <c r="Q98" s="233"/>
      <c r="R98" s="233"/>
      <c r="S98" s="233"/>
      <c r="T98" s="233"/>
      <c r="U98" s="233"/>
      <c r="V98" s="233"/>
      <c r="W98" s="233"/>
      <c r="X98" s="250" t="s">
        <v>595</v>
      </c>
      <c r="Y98" s="233"/>
      <c r="Z98" s="233"/>
      <c r="AA98" s="233"/>
      <c r="AB98" s="233"/>
      <c r="AC98" s="233"/>
      <c r="AD98" s="233"/>
      <c r="AE98" s="233"/>
      <c r="AF98" s="233"/>
      <c r="AG98" s="250" t="s">
        <v>595</v>
      </c>
      <c r="AH98" s="233"/>
      <c r="AI98" s="250" t="s">
        <v>595</v>
      </c>
      <c r="AJ98" s="228"/>
      <c r="AK98" s="233"/>
      <c r="AL98" s="233"/>
      <c r="AM98" s="233"/>
      <c r="AN98" s="233"/>
      <c r="AO98" s="233"/>
      <c r="AP98" s="233" t="str">
        <f t="shared" si="7"/>
        <v/>
      </c>
      <c r="AQ98" s="250" t="s">
        <v>595</v>
      </c>
      <c r="AR98" s="692"/>
      <c r="AS98" s="233"/>
      <c r="AT98" s="233"/>
      <c r="AU98" s="233"/>
      <c r="AV98" s="233"/>
      <c r="AW98" s="233"/>
      <c r="AX98" s="233"/>
      <c r="AY98" s="233"/>
      <c r="AZ98" s="233"/>
      <c r="BA98" s="233"/>
      <c r="BB98" s="233"/>
      <c r="BC98" s="233"/>
      <c r="BD98" s="233"/>
      <c r="BE98" s="233"/>
      <c r="BF98" s="241"/>
      <c r="BG98" s="241"/>
      <c r="BH98" s="241"/>
      <c r="BI98" s="241"/>
      <c r="BJ98" s="241"/>
      <c r="BK98" s="241"/>
      <c r="BL98" s="241"/>
    </row>
    <row r="99">
      <c r="A99" s="689" t="s">
        <v>363</v>
      </c>
      <c r="B99" s="233"/>
      <c r="C99" s="258" t="s">
        <v>595</v>
      </c>
      <c r="D99" s="233"/>
      <c r="E99" s="258" t="s">
        <v>595</v>
      </c>
      <c r="F99" s="233"/>
      <c r="G99" s="233"/>
      <c r="H99" s="233"/>
      <c r="I99" s="233"/>
      <c r="J99" s="233"/>
      <c r="K99" s="233"/>
      <c r="L99" s="233"/>
      <c r="M99" s="233"/>
      <c r="N99" s="233"/>
      <c r="O99" s="250" t="s">
        <v>595</v>
      </c>
      <c r="P99" s="233"/>
      <c r="Q99" s="233"/>
      <c r="R99" s="233"/>
      <c r="S99" s="233"/>
      <c r="T99" s="233"/>
      <c r="U99" s="233"/>
      <c r="V99" s="250" t="s">
        <v>595</v>
      </c>
      <c r="W99" s="233"/>
      <c r="X99" s="233"/>
      <c r="Y99" s="233"/>
      <c r="Z99" s="233"/>
      <c r="AA99" s="233"/>
      <c r="AB99" s="233"/>
      <c r="AC99" s="233"/>
      <c r="AD99" s="250" t="s">
        <v>595</v>
      </c>
      <c r="AE99" s="250" t="s">
        <v>595</v>
      </c>
      <c r="AF99" s="233"/>
      <c r="AG99" s="233"/>
      <c r="AH99" s="233"/>
      <c r="AI99" s="233"/>
      <c r="AJ99" s="228"/>
      <c r="AK99" s="233"/>
      <c r="AL99" s="250" t="s">
        <v>595</v>
      </c>
      <c r="AM99" s="233"/>
      <c r="AN99" s="233"/>
      <c r="AO99" s="233"/>
      <c r="AP99" s="233" t="str">
        <f t="shared" si="7"/>
        <v/>
      </c>
      <c r="AQ99" s="250" t="s">
        <v>595</v>
      </c>
      <c r="AR99" s="692"/>
      <c r="AS99" s="233"/>
      <c r="AT99" s="233"/>
      <c r="AU99" s="233"/>
      <c r="AV99" s="233"/>
      <c r="AW99" s="233"/>
      <c r="AX99" s="233"/>
      <c r="AY99" s="233"/>
      <c r="AZ99" s="233"/>
      <c r="BA99" s="233"/>
      <c r="BB99" s="233"/>
      <c r="BC99" s="233"/>
      <c r="BD99" s="233"/>
      <c r="BE99" s="233"/>
      <c r="BF99" s="241"/>
      <c r="BG99" s="241"/>
      <c r="BH99" s="241"/>
      <c r="BI99" s="241"/>
      <c r="BJ99" s="241"/>
      <c r="BK99" s="241"/>
      <c r="BL99" s="241"/>
    </row>
    <row r="100">
      <c r="A100" s="689" t="s">
        <v>364</v>
      </c>
      <c r="B100" s="233"/>
      <c r="C100" s="233"/>
      <c r="D100" s="258" t="s">
        <v>595</v>
      </c>
      <c r="E100" s="233"/>
      <c r="F100" s="233"/>
      <c r="G100" s="233"/>
      <c r="H100" s="233"/>
      <c r="I100" s="233"/>
      <c r="J100" s="233"/>
      <c r="K100" s="233"/>
      <c r="L100" s="233"/>
      <c r="M100" s="233"/>
      <c r="N100" s="233"/>
      <c r="O100" s="250" t="s">
        <v>595</v>
      </c>
      <c r="P100" s="233"/>
      <c r="Q100" s="233"/>
      <c r="R100" s="233"/>
      <c r="S100" s="233"/>
      <c r="T100" s="233"/>
      <c r="U100" s="233"/>
      <c r="V100" s="233"/>
      <c r="W100" s="233"/>
      <c r="X100" s="250" t="s">
        <v>595</v>
      </c>
      <c r="Y100" s="250" t="s">
        <v>595</v>
      </c>
      <c r="Z100" s="233"/>
      <c r="AA100" s="233"/>
      <c r="AB100" s="233"/>
      <c r="AC100" s="233"/>
      <c r="AD100" s="233"/>
      <c r="AE100" s="233"/>
      <c r="AF100" s="233"/>
      <c r="AG100" s="250" t="s">
        <v>595</v>
      </c>
      <c r="AH100" s="233"/>
      <c r="AI100" s="250" t="s">
        <v>595</v>
      </c>
      <c r="AJ100" s="255" t="s">
        <v>595</v>
      </c>
      <c r="AK100" s="233"/>
      <c r="AL100" s="233"/>
      <c r="AM100" s="233"/>
      <c r="AN100" s="233"/>
      <c r="AO100" s="233"/>
      <c r="AP100" s="233" t="str">
        <f t="shared" si="7"/>
        <v/>
      </c>
      <c r="AQ100" s="250" t="s">
        <v>595</v>
      </c>
      <c r="AR100" s="692"/>
      <c r="AS100" s="233"/>
      <c r="AT100" s="233"/>
      <c r="AU100" s="233"/>
      <c r="AV100" s="233"/>
      <c r="AW100" s="233"/>
      <c r="AX100" s="233"/>
      <c r="AY100" s="233"/>
      <c r="AZ100" s="233"/>
      <c r="BA100" s="233"/>
      <c r="BB100" s="233"/>
      <c r="BC100" s="233"/>
      <c r="BD100" s="233"/>
      <c r="BE100" s="233"/>
      <c r="BF100" s="241"/>
      <c r="BG100" s="241"/>
      <c r="BH100" s="241"/>
      <c r="BI100" s="241"/>
      <c r="BJ100" s="241"/>
      <c r="BK100" s="241"/>
      <c r="BL100" s="241"/>
    </row>
    <row r="101">
      <c r="A101" s="689" t="s">
        <v>365</v>
      </c>
      <c r="B101" s="233"/>
      <c r="C101" s="233"/>
      <c r="D101" s="258" t="s">
        <v>595</v>
      </c>
      <c r="E101" s="233"/>
      <c r="F101" s="233"/>
      <c r="G101" s="233"/>
      <c r="H101" s="258" t="s">
        <v>595</v>
      </c>
      <c r="I101" s="233"/>
      <c r="J101" s="233"/>
      <c r="K101" s="233"/>
      <c r="L101" s="233"/>
      <c r="M101" s="233"/>
      <c r="N101" s="233"/>
      <c r="O101" s="250" t="s">
        <v>595</v>
      </c>
      <c r="P101" s="250" t="s">
        <v>595</v>
      </c>
      <c r="Q101" s="233"/>
      <c r="R101" s="233"/>
      <c r="S101" s="233"/>
      <c r="T101" s="233"/>
      <c r="U101" s="233"/>
      <c r="V101" s="233"/>
      <c r="W101" s="233"/>
      <c r="X101" s="250" t="s">
        <v>595</v>
      </c>
      <c r="Y101" s="250" t="s">
        <v>595</v>
      </c>
      <c r="Z101" s="233"/>
      <c r="AA101" s="233"/>
      <c r="AB101" s="233"/>
      <c r="AC101" s="233"/>
      <c r="AD101" s="233"/>
      <c r="AE101" s="233"/>
      <c r="AF101" s="233"/>
      <c r="AG101" s="250" t="s">
        <v>595</v>
      </c>
      <c r="AH101" s="233"/>
      <c r="AI101" s="250" t="s">
        <v>595</v>
      </c>
      <c r="AJ101" s="228"/>
      <c r="AK101" s="233"/>
      <c r="AL101" s="233"/>
      <c r="AM101" s="233"/>
      <c r="AN101" s="233"/>
      <c r="AO101" s="233"/>
      <c r="AP101" s="233" t="str">
        <f t="shared" si="7"/>
        <v/>
      </c>
      <c r="AQ101" s="250" t="s">
        <v>595</v>
      </c>
      <c r="AR101" s="692"/>
      <c r="AS101" s="233"/>
      <c r="AT101" s="233"/>
      <c r="AU101" s="233"/>
      <c r="AV101" s="233"/>
      <c r="AW101" s="233"/>
      <c r="AX101" s="233"/>
      <c r="AY101" s="233"/>
      <c r="AZ101" s="233"/>
      <c r="BA101" s="233"/>
      <c r="BB101" s="233"/>
      <c r="BC101" s="233"/>
      <c r="BD101" s="233"/>
      <c r="BE101" s="233"/>
      <c r="BF101" s="241"/>
      <c r="BG101" s="241"/>
      <c r="BH101" s="241"/>
      <c r="BI101" s="241"/>
      <c r="BJ101" s="241"/>
      <c r="BK101" s="241"/>
      <c r="BL101" s="241"/>
    </row>
    <row r="102">
      <c r="A102" s="689" t="s">
        <v>366</v>
      </c>
      <c r="B102" s="233"/>
      <c r="C102" s="233"/>
      <c r="D102" s="258" t="s">
        <v>595</v>
      </c>
      <c r="E102" s="233"/>
      <c r="F102" s="233"/>
      <c r="G102" s="233"/>
      <c r="H102" s="258" t="s">
        <v>595</v>
      </c>
      <c r="I102" s="233"/>
      <c r="J102" s="250" t="s">
        <v>595</v>
      </c>
      <c r="K102" s="233"/>
      <c r="L102" s="233"/>
      <c r="M102" s="233"/>
      <c r="N102" s="233"/>
      <c r="O102" s="233"/>
      <c r="P102" s="233"/>
      <c r="Q102" s="233"/>
      <c r="R102" s="233"/>
      <c r="S102" s="233"/>
      <c r="T102" s="250" t="s">
        <v>595</v>
      </c>
      <c r="U102" s="250" t="s">
        <v>595</v>
      </c>
      <c r="V102" s="233"/>
      <c r="W102" s="233"/>
      <c r="X102" s="233"/>
      <c r="Y102" s="250" t="s">
        <v>595</v>
      </c>
      <c r="Z102" s="233"/>
      <c r="AA102" s="250" t="s">
        <v>595</v>
      </c>
      <c r="AB102" s="250" t="s">
        <v>595</v>
      </c>
      <c r="AC102" s="250" t="s">
        <v>595</v>
      </c>
      <c r="AD102" s="233"/>
      <c r="AE102" s="233"/>
      <c r="AF102" s="233"/>
      <c r="AG102" s="250" t="s">
        <v>595</v>
      </c>
      <c r="AH102" s="250" t="s">
        <v>595</v>
      </c>
      <c r="AI102" s="233"/>
      <c r="AJ102" s="255" t="s">
        <v>595</v>
      </c>
      <c r="AK102" s="233"/>
      <c r="AL102" s="233"/>
      <c r="AM102" s="233"/>
      <c r="AN102" s="233"/>
      <c r="AO102" s="233"/>
      <c r="AP102" s="250" t="str">
        <f t="shared" si="7"/>
        <v>X</v>
      </c>
      <c r="AQ102" s="250" t="s">
        <v>595</v>
      </c>
      <c r="AR102" s="692"/>
      <c r="AS102" s="233"/>
      <c r="AT102" s="233"/>
      <c r="AU102" s="233"/>
      <c r="AV102" s="233"/>
      <c r="AW102" s="233"/>
      <c r="AX102" s="233"/>
      <c r="AY102" s="233"/>
      <c r="AZ102" s="233"/>
      <c r="BA102" s="233"/>
      <c r="BB102" s="233"/>
      <c r="BC102" s="233"/>
      <c r="BD102" s="233"/>
      <c r="BE102" s="233"/>
      <c r="BF102" s="241"/>
      <c r="BG102" s="241"/>
      <c r="BH102" s="241"/>
      <c r="BI102" s="241"/>
      <c r="BJ102" s="241"/>
      <c r="BK102" s="241"/>
      <c r="BL102" s="241"/>
    </row>
    <row r="103">
      <c r="A103" s="689" t="s">
        <v>367</v>
      </c>
      <c r="B103" s="233"/>
      <c r="C103" s="258" t="s">
        <v>595</v>
      </c>
      <c r="D103" s="233"/>
      <c r="E103" s="233"/>
      <c r="F103" s="258" t="s">
        <v>595</v>
      </c>
      <c r="G103" s="258" t="s">
        <v>595</v>
      </c>
      <c r="H103" s="258" t="s">
        <v>595</v>
      </c>
      <c r="I103" s="258" t="s">
        <v>595</v>
      </c>
      <c r="J103" s="233"/>
      <c r="K103" s="233"/>
      <c r="L103" s="233"/>
      <c r="M103" s="233"/>
      <c r="N103" s="250" t="s">
        <v>595</v>
      </c>
      <c r="O103" s="233"/>
      <c r="P103" s="233"/>
      <c r="Q103" s="250" t="s">
        <v>595</v>
      </c>
      <c r="R103" s="233"/>
      <c r="S103" s="233"/>
      <c r="T103" s="233"/>
      <c r="U103" s="250" t="s">
        <v>595</v>
      </c>
      <c r="V103" s="233"/>
      <c r="W103" s="233"/>
      <c r="X103" s="233"/>
      <c r="Y103" s="250" t="s">
        <v>595</v>
      </c>
      <c r="Z103" s="233"/>
      <c r="AA103" s="250" t="s">
        <v>595</v>
      </c>
      <c r="AB103" s="233"/>
      <c r="AC103" s="233"/>
      <c r="AD103" s="250" t="s">
        <v>595</v>
      </c>
      <c r="AE103" s="250" t="s">
        <v>595</v>
      </c>
      <c r="AF103" s="233"/>
      <c r="AG103" s="233"/>
      <c r="AH103" s="233"/>
      <c r="AI103" s="250" t="s">
        <v>595</v>
      </c>
      <c r="AJ103" s="228"/>
      <c r="AK103" s="233"/>
      <c r="AL103" s="233"/>
      <c r="AM103" s="233"/>
      <c r="AN103" s="233"/>
      <c r="AO103" s="233"/>
      <c r="AP103" s="250" t="str">
        <f t="shared" si="7"/>
        <v>X</v>
      </c>
      <c r="AQ103" s="250" t="s">
        <v>595</v>
      </c>
      <c r="AR103" s="692"/>
      <c r="AS103" s="233"/>
      <c r="AT103" s="233"/>
      <c r="AU103" s="233"/>
      <c r="AV103" s="233"/>
      <c r="AW103" s="233"/>
      <c r="AX103" s="233"/>
      <c r="AY103" s="233"/>
      <c r="AZ103" s="233"/>
      <c r="BA103" s="233"/>
      <c r="BB103" s="233"/>
      <c r="BC103" s="233"/>
      <c r="BD103" s="233"/>
      <c r="BE103" s="233"/>
      <c r="BF103" s="241"/>
      <c r="BG103" s="241"/>
      <c r="BH103" s="241"/>
      <c r="BI103" s="241"/>
      <c r="BJ103" s="241"/>
      <c r="BK103" s="241"/>
      <c r="BL103" s="241"/>
    </row>
    <row r="104">
      <c r="A104" s="689" t="s">
        <v>369</v>
      </c>
      <c r="B104" s="233"/>
      <c r="C104" s="233"/>
      <c r="D104" s="233"/>
      <c r="E104" s="233"/>
      <c r="F104" s="233"/>
      <c r="G104" s="233"/>
      <c r="H104" s="258" t="s">
        <v>595</v>
      </c>
      <c r="I104" s="233"/>
      <c r="J104" s="233"/>
      <c r="K104" s="233"/>
      <c r="L104" s="250" t="s">
        <v>595</v>
      </c>
      <c r="M104" s="233"/>
      <c r="N104" s="233"/>
      <c r="O104" s="233"/>
      <c r="P104" s="233"/>
      <c r="Q104" s="233"/>
      <c r="R104" s="233"/>
      <c r="S104" s="233"/>
      <c r="T104" s="233"/>
      <c r="U104" s="233"/>
      <c r="V104" s="233"/>
      <c r="W104" s="233"/>
      <c r="X104" s="250" t="s">
        <v>595</v>
      </c>
      <c r="Y104" s="250" t="s">
        <v>595</v>
      </c>
      <c r="Z104" s="233"/>
      <c r="AA104" s="250" t="s">
        <v>595</v>
      </c>
      <c r="AB104" s="250" t="s">
        <v>595</v>
      </c>
      <c r="AC104" s="250" t="s">
        <v>595</v>
      </c>
      <c r="AD104" s="250" t="s">
        <v>595</v>
      </c>
      <c r="AE104" s="250" t="s">
        <v>595</v>
      </c>
      <c r="AF104" s="233"/>
      <c r="AG104" s="233"/>
      <c r="AH104" s="233"/>
      <c r="AI104" s="250" t="s">
        <v>595</v>
      </c>
      <c r="AJ104" s="228"/>
      <c r="AK104" s="233"/>
      <c r="AL104" s="233"/>
      <c r="AM104" s="233"/>
      <c r="AN104" s="233"/>
      <c r="AO104" s="233"/>
      <c r="AP104" s="250" t="str">
        <f t="shared" si="7"/>
        <v>X</v>
      </c>
      <c r="AQ104" s="250" t="s">
        <v>595</v>
      </c>
      <c r="AR104" s="692"/>
      <c r="AS104" s="233"/>
      <c r="AT104" s="233"/>
      <c r="AU104" s="233"/>
      <c r="AV104" s="233"/>
      <c r="AW104" s="233"/>
      <c r="AX104" s="233"/>
      <c r="AY104" s="233"/>
      <c r="AZ104" s="233"/>
      <c r="BA104" s="233"/>
      <c r="BB104" s="233"/>
      <c r="BC104" s="233"/>
      <c r="BD104" s="233"/>
      <c r="BE104" s="233"/>
      <c r="BF104" s="241"/>
      <c r="BG104" s="241"/>
      <c r="BH104" s="241"/>
      <c r="BI104" s="241"/>
      <c r="BJ104" s="241"/>
      <c r="BK104" s="241"/>
      <c r="BL104" s="241"/>
    </row>
    <row r="105">
      <c r="A105" s="689" t="s">
        <v>370</v>
      </c>
      <c r="B105" s="233"/>
      <c r="C105" s="233"/>
      <c r="D105" s="233"/>
      <c r="E105" s="233"/>
      <c r="F105" s="233"/>
      <c r="G105" s="233"/>
      <c r="H105" s="258" t="s">
        <v>595</v>
      </c>
      <c r="I105" s="233"/>
      <c r="J105" s="233"/>
      <c r="K105" s="250" t="s">
        <v>595</v>
      </c>
      <c r="L105" s="250" t="s">
        <v>595</v>
      </c>
      <c r="M105" s="233"/>
      <c r="N105" s="233"/>
      <c r="O105" s="233"/>
      <c r="P105" s="250" t="s">
        <v>595</v>
      </c>
      <c r="Q105" s="250" t="s">
        <v>595</v>
      </c>
      <c r="R105" s="250" t="s">
        <v>595</v>
      </c>
      <c r="S105" s="250" t="s">
        <v>595</v>
      </c>
      <c r="T105" s="250" t="s">
        <v>595</v>
      </c>
      <c r="U105" s="250" t="s">
        <v>595</v>
      </c>
      <c r="V105" s="250" t="s">
        <v>595</v>
      </c>
      <c r="W105" s="250" t="s">
        <v>595</v>
      </c>
      <c r="X105" s="250" t="s">
        <v>595</v>
      </c>
      <c r="Y105" s="250" t="s">
        <v>595</v>
      </c>
      <c r="Z105" s="233"/>
      <c r="AA105" s="250" t="s">
        <v>595</v>
      </c>
      <c r="AB105" s="233"/>
      <c r="AC105" s="233"/>
      <c r="AD105" s="233"/>
      <c r="AE105" s="233"/>
      <c r="AF105" s="233"/>
      <c r="AG105" s="233"/>
      <c r="AH105" s="233"/>
      <c r="AI105" s="250" t="s">
        <v>595</v>
      </c>
      <c r="AJ105" s="228"/>
      <c r="AK105" s="233"/>
      <c r="AL105" s="233"/>
      <c r="AM105" s="233"/>
      <c r="AN105" s="233"/>
      <c r="AO105" s="233"/>
      <c r="AP105" s="233" t="str">
        <f t="shared" si="7"/>
        <v/>
      </c>
      <c r="AQ105" s="250" t="s">
        <v>595</v>
      </c>
      <c r="AR105" s="692"/>
      <c r="AS105" s="233"/>
      <c r="AT105" s="233"/>
      <c r="AU105" s="233"/>
      <c r="AV105" s="233"/>
      <c r="AW105" s="233"/>
      <c r="AX105" s="233"/>
      <c r="AY105" s="233"/>
      <c r="AZ105" s="233"/>
      <c r="BA105" s="233"/>
      <c r="BB105" s="233"/>
      <c r="BC105" s="233"/>
      <c r="BD105" s="233"/>
      <c r="BE105" s="233"/>
      <c r="BF105" s="241"/>
      <c r="BG105" s="241"/>
      <c r="BH105" s="241"/>
      <c r="BI105" s="241"/>
      <c r="BJ105" s="241"/>
      <c r="BK105" s="241"/>
      <c r="BL105" s="241"/>
    </row>
    <row r="106">
      <c r="A106" s="689" t="s">
        <v>371</v>
      </c>
      <c r="B106" s="258" t="s">
        <v>595</v>
      </c>
      <c r="C106" s="233"/>
      <c r="D106" s="258" t="s">
        <v>595</v>
      </c>
      <c r="E106" s="233"/>
      <c r="F106" s="233"/>
      <c r="G106" s="233"/>
      <c r="H106" s="233"/>
      <c r="I106" s="233"/>
      <c r="J106" s="233"/>
      <c r="K106" s="250" t="s">
        <v>595</v>
      </c>
      <c r="L106" s="233"/>
      <c r="M106" s="233"/>
      <c r="N106" s="233"/>
      <c r="O106" s="233"/>
      <c r="P106" s="233"/>
      <c r="Q106" s="233"/>
      <c r="R106" s="233"/>
      <c r="S106" s="233"/>
      <c r="T106" s="233"/>
      <c r="U106" s="233"/>
      <c r="V106" s="233"/>
      <c r="W106" s="233"/>
      <c r="X106" s="233"/>
      <c r="Y106" s="233"/>
      <c r="Z106" s="233"/>
      <c r="AA106" s="250" t="s">
        <v>595</v>
      </c>
      <c r="AB106" s="250" t="s">
        <v>595</v>
      </c>
      <c r="AC106" s="250" t="s">
        <v>595</v>
      </c>
      <c r="AD106" s="233"/>
      <c r="AE106" s="233"/>
      <c r="AF106" s="233"/>
      <c r="AG106" s="250" t="s">
        <v>595</v>
      </c>
      <c r="AH106" s="233"/>
      <c r="AI106" s="233"/>
      <c r="AJ106" s="228"/>
      <c r="AK106" s="233"/>
      <c r="AL106" s="233"/>
      <c r="AM106" s="233"/>
      <c r="AN106" s="233"/>
      <c r="AO106" s="233"/>
      <c r="AP106" s="250" t="str">
        <f t="shared" si="7"/>
        <v>X</v>
      </c>
      <c r="AQ106" s="250" t="s">
        <v>595</v>
      </c>
      <c r="AR106" s="692"/>
      <c r="AS106" s="233"/>
      <c r="AT106" s="233"/>
      <c r="AU106" s="233"/>
      <c r="AV106" s="233"/>
      <c r="AW106" s="233"/>
      <c r="AX106" s="233"/>
      <c r="AY106" s="233"/>
      <c r="AZ106" s="233"/>
      <c r="BA106" s="233"/>
      <c r="BB106" s="233"/>
      <c r="BC106" s="233"/>
      <c r="BD106" s="233"/>
      <c r="BE106" s="233"/>
      <c r="BF106" s="241"/>
      <c r="BG106" s="241"/>
      <c r="BH106" s="241"/>
      <c r="BI106" s="241"/>
      <c r="BJ106" s="241"/>
      <c r="BK106" s="241"/>
      <c r="BL106" s="241"/>
    </row>
    <row r="107">
      <c r="A107" s="689" t="s">
        <v>372</v>
      </c>
      <c r="B107" s="233"/>
      <c r="C107" s="233"/>
      <c r="D107" s="233"/>
      <c r="E107" s="258" t="s">
        <v>595</v>
      </c>
      <c r="F107" s="233"/>
      <c r="G107" s="233"/>
      <c r="H107" s="233"/>
      <c r="I107" s="233"/>
      <c r="J107" s="233"/>
      <c r="K107" s="233"/>
      <c r="L107" s="233"/>
      <c r="M107" s="233"/>
      <c r="N107" s="233"/>
      <c r="O107" s="233"/>
      <c r="P107" s="250" t="s">
        <v>595</v>
      </c>
      <c r="Q107" s="233"/>
      <c r="R107" s="233"/>
      <c r="S107" s="233"/>
      <c r="T107" s="233"/>
      <c r="U107" s="233"/>
      <c r="V107" s="233"/>
      <c r="W107" s="250" t="s">
        <v>595</v>
      </c>
      <c r="X107" s="233"/>
      <c r="Y107" s="233"/>
      <c r="Z107" s="250" t="s">
        <v>595</v>
      </c>
      <c r="AA107" s="233"/>
      <c r="AB107" s="233"/>
      <c r="AC107" s="233"/>
      <c r="AD107" s="233"/>
      <c r="AE107" s="233"/>
      <c r="AF107" s="250" t="s">
        <v>595</v>
      </c>
      <c r="AG107" s="250" t="s">
        <v>595</v>
      </c>
      <c r="AH107" s="233"/>
      <c r="AI107" s="250" t="s">
        <v>595</v>
      </c>
      <c r="AJ107" s="228"/>
      <c r="AK107" s="233"/>
      <c r="AL107" s="250" t="s">
        <v>595</v>
      </c>
      <c r="AM107" s="233"/>
      <c r="AN107" s="233"/>
      <c r="AO107" s="233"/>
      <c r="AP107" s="233" t="str">
        <f t="shared" si="7"/>
        <v/>
      </c>
      <c r="AQ107" s="250" t="s">
        <v>595</v>
      </c>
      <c r="AR107" s="692"/>
      <c r="AS107" s="233"/>
      <c r="AT107" s="233"/>
      <c r="AU107" s="233"/>
      <c r="AV107" s="233"/>
      <c r="AW107" s="233"/>
      <c r="AX107" s="233"/>
      <c r="AY107" s="233"/>
      <c r="AZ107" s="233"/>
      <c r="BA107" s="233"/>
      <c r="BB107" s="233"/>
      <c r="BC107" s="233"/>
      <c r="BD107" s="233"/>
      <c r="BE107" s="233"/>
      <c r="BF107" s="241"/>
      <c r="BG107" s="241"/>
      <c r="BH107" s="241"/>
      <c r="BI107" s="241"/>
      <c r="BJ107" s="241"/>
      <c r="BK107" s="241"/>
      <c r="BL107" s="241"/>
    </row>
    <row r="108">
      <c r="A108" s="689" t="s">
        <v>373</v>
      </c>
      <c r="B108" s="233"/>
      <c r="C108" s="233"/>
      <c r="D108" s="233"/>
      <c r="E108" s="233"/>
      <c r="F108" s="233"/>
      <c r="G108" s="233"/>
      <c r="H108" s="258" t="s">
        <v>595</v>
      </c>
      <c r="I108" s="233"/>
      <c r="J108" s="233"/>
      <c r="K108" s="233"/>
      <c r="L108" s="233"/>
      <c r="M108" s="233"/>
      <c r="N108" s="233"/>
      <c r="O108" s="233"/>
      <c r="P108" s="250" t="s">
        <v>595</v>
      </c>
      <c r="Q108" s="250" t="s">
        <v>595</v>
      </c>
      <c r="R108" s="250" t="s">
        <v>595</v>
      </c>
      <c r="S108" s="250" t="s">
        <v>595</v>
      </c>
      <c r="T108" s="250" t="s">
        <v>595</v>
      </c>
      <c r="U108" s="250" t="s">
        <v>595</v>
      </c>
      <c r="V108" s="250" t="s">
        <v>595</v>
      </c>
      <c r="W108" s="250" t="s">
        <v>595</v>
      </c>
      <c r="X108" s="250" t="s">
        <v>595</v>
      </c>
      <c r="Y108" s="250" t="s">
        <v>595</v>
      </c>
      <c r="Z108" s="250" t="s">
        <v>595</v>
      </c>
      <c r="AA108" s="233"/>
      <c r="AB108" s="233"/>
      <c r="AC108" s="233"/>
      <c r="AD108" s="233"/>
      <c r="AE108" s="233"/>
      <c r="AF108" s="233"/>
      <c r="AG108" s="233"/>
      <c r="AH108" s="233"/>
      <c r="AI108" s="233"/>
      <c r="AJ108" s="228"/>
      <c r="AK108" s="233"/>
      <c r="AL108" s="233"/>
      <c r="AM108" s="250" t="s">
        <v>595</v>
      </c>
      <c r="AN108" s="233"/>
      <c r="AO108" s="233"/>
      <c r="AP108" s="233" t="str">
        <f t="shared" si="7"/>
        <v/>
      </c>
      <c r="AQ108" s="250" t="s">
        <v>595</v>
      </c>
      <c r="AR108" s="692"/>
      <c r="AS108" s="233"/>
      <c r="AT108" s="233"/>
      <c r="AU108" s="233"/>
      <c r="AV108" s="233"/>
      <c r="AW108" s="233"/>
      <c r="AX108" s="233"/>
      <c r="AY108" s="233"/>
      <c r="AZ108" s="233"/>
      <c r="BA108" s="233"/>
      <c r="BB108" s="233"/>
      <c r="BC108" s="233"/>
      <c r="BD108" s="233"/>
      <c r="BE108" s="233"/>
      <c r="BF108" s="241"/>
      <c r="BG108" s="241"/>
      <c r="BH108" s="241"/>
      <c r="BI108" s="241"/>
      <c r="BJ108" s="241"/>
      <c r="BK108" s="241"/>
      <c r="BL108" s="241"/>
    </row>
    <row r="109">
      <c r="A109" s="689" t="s">
        <v>374</v>
      </c>
      <c r="B109" s="233"/>
      <c r="C109" s="233"/>
      <c r="D109" s="233"/>
      <c r="E109" s="233"/>
      <c r="F109" s="258" t="s">
        <v>595</v>
      </c>
      <c r="G109" s="258" t="s">
        <v>595</v>
      </c>
      <c r="H109" s="258" t="s">
        <v>595</v>
      </c>
      <c r="I109" s="233"/>
      <c r="J109" s="233"/>
      <c r="K109" s="233"/>
      <c r="L109" s="233"/>
      <c r="M109" s="233"/>
      <c r="N109" s="250" t="s">
        <v>595</v>
      </c>
      <c r="O109" s="233"/>
      <c r="P109" s="233"/>
      <c r="Q109" s="233"/>
      <c r="R109" s="233"/>
      <c r="S109" s="233"/>
      <c r="T109" s="233"/>
      <c r="U109" s="233"/>
      <c r="V109" s="233"/>
      <c r="W109" s="233"/>
      <c r="X109" s="233"/>
      <c r="Y109" s="250" t="s">
        <v>595</v>
      </c>
      <c r="Z109" s="233"/>
      <c r="AA109" s="250" t="s">
        <v>595</v>
      </c>
      <c r="AB109" s="233"/>
      <c r="AC109" s="233"/>
      <c r="AD109" s="250" t="s">
        <v>595</v>
      </c>
      <c r="AE109" s="250" t="s">
        <v>595</v>
      </c>
      <c r="AF109" s="233"/>
      <c r="AG109" s="233"/>
      <c r="AH109" s="233"/>
      <c r="AI109" s="233"/>
      <c r="AJ109" s="228"/>
      <c r="AK109" s="233"/>
      <c r="AL109" s="233"/>
      <c r="AM109" s="233"/>
      <c r="AN109" s="233"/>
      <c r="AO109" s="233"/>
      <c r="AP109" s="250" t="str">
        <f t="shared" si="7"/>
        <v>X</v>
      </c>
      <c r="AQ109" s="250" t="s">
        <v>595</v>
      </c>
      <c r="AR109" s="692"/>
      <c r="AS109" s="233"/>
      <c r="AT109" s="233"/>
      <c r="AU109" s="233"/>
      <c r="AV109" s="233"/>
      <c r="AW109" s="233"/>
      <c r="AX109" s="233"/>
      <c r="AY109" s="233"/>
      <c r="AZ109" s="233"/>
      <c r="BA109" s="233"/>
      <c r="BB109" s="233"/>
      <c r="BC109" s="233"/>
      <c r="BD109" s="233"/>
      <c r="BE109" s="233"/>
      <c r="BF109" s="241"/>
      <c r="BG109" s="241"/>
      <c r="BH109" s="241"/>
      <c r="BI109" s="241"/>
      <c r="BJ109" s="241"/>
      <c r="BK109" s="241"/>
      <c r="BL109" s="241"/>
    </row>
    <row r="110">
      <c r="A110" s="689" t="s">
        <v>375</v>
      </c>
      <c r="B110" s="233"/>
      <c r="C110" s="233"/>
      <c r="D110" s="233"/>
      <c r="E110" s="233"/>
      <c r="F110" s="258" t="s">
        <v>595</v>
      </c>
      <c r="G110" s="258" t="s">
        <v>595</v>
      </c>
      <c r="H110" s="258" t="s">
        <v>595</v>
      </c>
      <c r="I110" s="233"/>
      <c r="J110" s="233"/>
      <c r="K110" s="233"/>
      <c r="L110" s="233"/>
      <c r="M110" s="233"/>
      <c r="N110" s="250" t="s">
        <v>595</v>
      </c>
      <c r="O110" s="250" t="s">
        <v>595</v>
      </c>
      <c r="P110" s="233"/>
      <c r="Q110" s="233"/>
      <c r="R110" s="233"/>
      <c r="S110" s="233"/>
      <c r="T110" s="233"/>
      <c r="U110" s="233"/>
      <c r="V110" s="233"/>
      <c r="W110" s="233"/>
      <c r="X110" s="250" t="s">
        <v>595</v>
      </c>
      <c r="Y110" s="250" t="s">
        <v>595</v>
      </c>
      <c r="Z110" s="250" t="s">
        <v>595</v>
      </c>
      <c r="AA110" s="233"/>
      <c r="AB110" s="250" t="s">
        <v>595</v>
      </c>
      <c r="AC110" s="250" t="s">
        <v>595</v>
      </c>
      <c r="AD110" s="250" t="s">
        <v>595</v>
      </c>
      <c r="AE110" s="250" t="s">
        <v>595</v>
      </c>
      <c r="AF110" s="233"/>
      <c r="AG110" s="250" t="s">
        <v>595</v>
      </c>
      <c r="AH110" s="233"/>
      <c r="AI110" s="250" t="s">
        <v>595</v>
      </c>
      <c r="AJ110" s="228"/>
      <c r="AK110" s="233"/>
      <c r="AL110" s="233"/>
      <c r="AM110" s="233"/>
      <c r="AN110" s="233"/>
      <c r="AO110" s="233"/>
      <c r="AP110" s="233"/>
      <c r="AQ110" s="233"/>
      <c r="AR110" s="692"/>
      <c r="AS110" s="233"/>
      <c r="AT110" s="233"/>
      <c r="AU110" s="233"/>
      <c r="AV110" s="233"/>
      <c r="AW110" s="233"/>
      <c r="AX110" s="233"/>
      <c r="AY110" s="233"/>
      <c r="AZ110" s="233"/>
      <c r="BA110" s="233"/>
      <c r="BB110" s="233"/>
      <c r="BC110" s="233"/>
      <c r="BD110" s="233"/>
      <c r="BE110" s="233"/>
      <c r="BF110" s="241"/>
      <c r="BG110" s="241"/>
      <c r="BH110" s="241"/>
      <c r="BI110" s="241"/>
      <c r="BJ110" s="241"/>
      <c r="BK110" s="241"/>
      <c r="BL110" s="241"/>
    </row>
    <row r="111">
      <c r="A111" s="689" t="s">
        <v>376</v>
      </c>
      <c r="B111" s="233"/>
      <c r="C111" s="233"/>
      <c r="D111" s="258" t="s">
        <v>595</v>
      </c>
      <c r="E111" s="233"/>
      <c r="F111" s="233"/>
      <c r="G111" s="233"/>
      <c r="H111" s="258" t="s">
        <v>595</v>
      </c>
      <c r="I111" s="233"/>
      <c r="J111" s="233"/>
      <c r="K111" s="233"/>
      <c r="L111" s="233"/>
      <c r="M111" s="233"/>
      <c r="N111" s="233"/>
      <c r="O111" s="250" t="s">
        <v>595</v>
      </c>
      <c r="P111" s="233"/>
      <c r="Q111" s="233"/>
      <c r="R111" s="233"/>
      <c r="S111" s="233"/>
      <c r="T111" s="233"/>
      <c r="U111" s="233"/>
      <c r="V111" s="233"/>
      <c r="W111" s="233"/>
      <c r="X111" s="233"/>
      <c r="Y111" s="250" t="s">
        <v>595</v>
      </c>
      <c r="Z111" s="233"/>
      <c r="AA111" s="233"/>
      <c r="AB111" s="233"/>
      <c r="AC111" s="233"/>
      <c r="AD111" s="233"/>
      <c r="AE111" s="233"/>
      <c r="AF111" s="233"/>
      <c r="AG111" s="250" t="s">
        <v>595</v>
      </c>
      <c r="AH111" s="233"/>
      <c r="AI111" s="233"/>
      <c r="AJ111" s="228"/>
      <c r="AK111" s="233"/>
      <c r="AL111" s="233"/>
      <c r="AM111" s="250" t="s">
        <v>595</v>
      </c>
      <c r="AN111" s="233"/>
      <c r="AO111" s="233"/>
      <c r="AP111" s="233" t="str">
        <f t="shared" ref="AP111:AP166" si="8">IF(OR(F111="X",G111="X",AB111="X",AC111="X"),"X",)</f>
        <v/>
      </c>
      <c r="AQ111" s="250" t="s">
        <v>595</v>
      </c>
      <c r="AR111" s="692"/>
      <c r="AS111" s="233"/>
      <c r="AT111" s="233"/>
      <c r="AU111" s="233"/>
      <c r="AV111" s="233"/>
      <c r="AW111" s="233"/>
      <c r="AX111" s="233"/>
      <c r="AY111" s="233"/>
      <c r="AZ111" s="233"/>
      <c r="BA111" s="233"/>
      <c r="BB111" s="233"/>
      <c r="BC111" s="233"/>
      <c r="BD111" s="233"/>
      <c r="BE111" s="233"/>
      <c r="BF111" s="241"/>
      <c r="BG111" s="241"/>
      <c r="BH111" s="241"/>
      <c r="BI111" s="241"/>
      <c r="BJ111" s="241"/>
      <c r="BK111" s="241"/>
      <c r="BL111" s="241"/>
    </row>
    <row r="112">
      <c r="A112" s="689" t="s">
        <v>377</v>
      </c>
      <c r="B112" s="233"/>
      <c r="C112" s="233"/>
      <c r="D112" s="258" t="s">
        <v>595</v>
      </c>
      <c r="E112" s="258" t="s">
        <v>595</v>
      </c>
      <c r="F112" s="233"/>
      <c r="G112" s="233"/>
      <c r="H112" s="258" t="s">
        <v>595</v>
      </c>
      <c r="I112" s="258" t="s">
        <v>595</v>
      </c>
      <c r="J112" s="233"/>
      <c r="K112" s="250" t="s">
        <v>595</v>
      </c>
      <c r="L112" s="233"/>
      <c r="M112" s="233"/>
      <c r="N112" s="250" t="s">
        <v>595</v>
      </c>
      <c r="O112" s="233"/>
      <c r="P112" s="250" t="s">
        <v>595</v>
      </c>
      <c r="Q112" s="250" t="s">
        <v>595</v>
      </c>
      <c r="R112" s="250" t="s">
        <v>595</v>
      </c>
      <c r="S112" s="250" t="s">
        <v>595</v>
      </c>
      <c r="T112" s="250" t="s">
        <v>595</v>
      </c>
      <c r="U112" s="250" t="s">
        <v>595</v>
      </c>
      <c r="V112" s="250" t="s">
        <v>595</v>
      </c>
      <c r="W112" s="250" t="s">
        <v>595</v>
      </c>
      <c r="X112" s="250" t="s">
        <v>595</v>
      </c>
      <c r="Y112" s="250" t="s">
        <v>595</v>
      </c>
      <c r="Z112" s="250" t="s">
        <v>595</v>
      </c>
      <c r="AA112" s="250" t="s">
        <v>595</v>
      </c>
      <c r="AB112" s="233"/>
      <c r="AC112" s="233"/>
      <c r="AD112" s="233"/>
      <c r="AE112" s="233"/>
      <c r="AF112" s="233"/>
      <c r="AG112" s="250" t="s">
        <v>595</v>
      </c>
      <c r="AH112" s="233"/>
      <c r="AI112" s="233"/>
      <c r="AJ112" s="255" t="s">
        <v>595</v>
      </c>
      <c r="AK112" s="233"/>
      <c r="AL112" s="250" t="s">
        <v>595</v>
      </c>
      <c r="AM112" s="250" t="s">
        <v>595</v>
      </c>
      <c r="AN112" s="233"/>
      <c r="AO112" s="233"/>
      <c r="AP112" s="233" t="str">
        <f t="shared" si="8"/>
        <v/>
      </c>
      <c r="AQ112" s="250" t="s">
        <v>595</v>
      </c>
      <c r="AR112" s="692"/>
      <c r="AS112" s="233"/>
      <c r="AT112" s="233"/>
      <c r="AU112" s="233"/>
      <c r="AV112" s="233"/>
      <c r="AW112" s="233"/>
      <c r="AX112" s="233"/>
      <c r="AY112" s="233"/>
      <c r="AZ112" s="233"/>
      <c r="BA112" s="233"/>
      <c r="BB112" s="233"/>
      <c r="BC112" s="233"/>
      <c r="BD112" s="233"/>
      <c r="BE112" s="233"/>
      <c r="BF112" s="241"/>
      <c r="BG112" s="241"/>
      <c r="BH112" s="241"/>
      <c r="BI112" s="241"/>
      <c r="BJ112" s="241"/>
      <c r="BK112" s="241"/>
      <c r="BL112" s="241"/>
    </row>
    <row r="113">
      <c r="A113" s="689" t="s">
        <v>378</v>
      </c>
      <c r="B113" s="233"/>
      <c r="C113" s="233"/>
      <c r="D113" s="233"/>
      <c r="E113" s="233"/>
      <c r="F113" s="233"/>
      <c r="G113" s="233"/>
      <c r="H113" s="258" t="s">
        <v>595</v>
      </c>
      <c r="I113" s="233"/>
      <c r="J113" s="233"/>
      <c r="K113" s="233"/>
      <c r="L113" s="233"/>
      <c r="M113" s="233"/>
      <c r="N113" s="233"/>
      <c r="O113" s="233"/>
      <c r="P113" s="233"/>
      <c r="Q113" s="233"/>
      <c r="R113" s="233"/>
      <c r="S113" s="233"/>
      <c r="T113" s="233"/>
      <c r="U113" s="233"/>
      <c r="V113" s="233"/>
      <c r="W113" s="250" t="s">
        <v>595</v>
      </c>
      <c r="X113" s="233"/>
      <c r="Y113" s="233"/>
      <c r="Z113" s="233"/>
      <c r="AA113" s="250" t="s">
        <v>595</v>
      </c>
      <c r="AB113" s="233"/>
      <c r="AC113" s="233"/>
      <c r="AD113" s="233"/>
      <c r="AE113" s="233"/>
      <c r="AF113" s="233"/>
      <c r="AG113" s="250" t="s">
        <v>595</v>
      </c>
      <c r="AH113" s="233"/>
      <c r="AI113" s="233"/>
      <c r="AJ113" s="228"/>
      <c r="AK113" s="233"/>
      <c r="AL113" s="233"/>
      <c r="AM113" s="233"/>
      <c r="AN113" s="233"/>
      <c r="AO113" s="233"/>
      <c r="AP113" s="233" t="str">
        <f t="shared" si="8"/>
        <v/>
      </c>
      <c r="AQ113" s="250" t="s">
        <v>595</v>
      </c>
      <c r="AR113" s="692"/>
      <c r="AS113" s="233"/>
      <c r="AT113" s="233"/>
      <c r="AU113" s="233"/>
      <c r="AV113" s="233"/>
      <c r="AW113" s="233"/>
      <c r="AX113" s="233"/>
      <c r="AY113" s="233"/>
      <c r="AZ113" s="233"/>
      <c r="BA113" s="233"/>
      <c r="BB113" s="233"/>
      <c r="BC113" s="233"/>
      <c r="BD113" s="233"/>
      <c r="BE113" s="233"/>
      <c r="BF113" s="241"/>
      <c r="BG113" s="241"/>
      <c r="BH113" s="241"/>
      <c r="BI113" s="241"/>
      <c r="BJ113" s="241"/>
      <c r="BK113" s="241"/>
      <c r="BL113" s="241"/>
    </row>
    <row r="114">
      <c r="A114" s="689" t="s">
        <v>379</v>
      </c>
      <c r="B114" s="233"/>
      <c r="C114" s="233"/>
      <c r="D114" s="258" t="s">
        <v>595</v>
      </c>
      <c r="E114" s="233"/>
      <c r="F114" s="258" t="s">
        <v>595</v>
      </c>
      <c r="G114" s="258" t="s">
        <v>595</v>
      </c>
      <c r="H114" s="258" t="s">
        <v>595</v>
      </c>
      <c r="I114" s="233"/>
      <c r="J114" s="233"/>
      <c r="K114" s="233"/>
      <c r="L114" s="233"/>
      <c r="M114" s="233"/>
      <c r="N114" s="233"/>
      <c r="O114" s="250" t="s">
        <v>595</v>
      </c>
      <c r="P114" s="250" t="s">
        <v>595</v>
      </c>
      <c r="Q114" s="233"/>
      <c r="R114" s="233"/>
      <c r="S114" s="233"/>
      <c r="T114" s="233"/>
      <c r="U114" s="233"/>
      <c r="V114" s="233"/>
      <c r="W114" s="250" t="s">
        <v>595</v>
      </c>
      <c r="X114" s="250" t="s">
        <v>595</v>
      </c>
      <c r="Y114" s="233"/>
      <c r="Z114" s="233"/>
      <c r="AA114" s="233"/>
      <c r="AB114" s="233"/>
      <c r="AC114" s="233"/>
      <c r="AD114" s="233"/>
      <c r="AE114" s="233"/>
      <c r="AF114" s="233"/>
      <c r="AG114" s="250" t="s">
        <v>595</v>
      </c>
      <c r="AH114" s="233"/>
      <c r="AI114" s="250" t="s">
        <v>595</v>
      </c>
      <c r="AJ114" s="228"/>
      <c r="AK114" s="233"/>
      <c r="AL114" s="233"/>
      <c r="AM114" s="233"/>
      <c r="AN114" s="233"/>
      <c r="AO114" s="233"/>
      <c r="AP114" s="250" t="str">
        <f t="shared" si="8"/>
        <v>X</v>
      </c>
      <c r="AQ114" s="250" t="s">
        <v>595</v>
      </c>
      <c r="AR114" s="692"/>
      <c r="AS114" s="233"/>
      <c r="AT114" s="233"/>
      <c r="AU114" s="233"/>
      <c r="AV114" s="233"/>
      <c r="AW114" s="233"/>
      <c r="AX114" s="233"/>
      <c r="AY114" s="233"/>
      <c r="AZ114" s="233"/>
      <c r="BA114" s="233"/>
      <c r="BB114" s="233"/>
      <c r="BC114" s="233"/>
      <c r="BD114" s="233"/>
      <c r="BE114" s="233"/>
      <c r="BF114" s="241"/>
      <c r="BG114" s="241"/>
      <c r="BH114" s="241"/>
      <c r="BI114" s="241"/>
      <c r="BJ114" s="241"/>
      <c r="BK114" s="241"/>
      <c r="BL114" s="241"/>
    </row>
    <row r="115">
      <c r="A115" s="689" t="s">
        <v>382</v>
      </c>
      <c r="B115" s="233"/>
      <c r="C115" s="233"/>
      <c r="D115" s="233"/>
      <c r="E115" s="258" t="s">
        <v>595</v>
      </c>
      <c r="F115" s="233"/>
      <c r="G115" s="233"/>
      <c r="H115" s="233"/>
      <c r="I115" s="233"/>
      <c r="J115" s="233"/>
      <c r="K115" s="233"/>
      <c r="L115" s="233"/>
      <c r="M115" s="233"/>
      <c r="N115" s="250" t="s">
        <v>595</v>
      </c>
      <c r="O115" s="233"/>
      <c r="P115" s="233"/>
      <c r="Q115" s="233"/>
      <c r="R115" s="233"/>
      <c r="S115" s="233"/>
      <c r="T115" s="233"/>
      <c r="U115" s="233"/>
      <c r="V115" s="233"/>
      <c r="W115" s="233"/>
      <c r="X115" s="233"/>
      <c r="Y115" s="233"/>
      <c r="Z115" s="233"/>
      <c r="AA115" s="233"/>
      <c r="AB115" s="233"/>
      <c r="AC115" s="233"/>
      <c r="AD115" s="233"/>
      <c r="AE115" s="233"/>
      <c r="AF115" s="250" t="s">
        <v>595</v>
      </c>
      <c r="AG115" s="233"/>
      <c r="AH115" s="233"/>
      <c r="AI115" s="233"/>
      <c r="AJ115" s="228"/>
      <c r="AK115" s="250" t="s">
        <v>595</v>
      </c>
      <c r="AL115" s="250" t="s">
        <v>595</v>
      </c>
      <c r="AM115" s="233"/>
      <c r="AN115" s="233"/>
      <c r="AO115" s="233"/>
      <c r="AP115" s="233" t="str">
        <f t="shared" si="8"/>
        <v/>
      </c>
      <c r="AQ115" s="250" t="s">
        <v>595</v>
      </c>
      <c r="AR115" s="692"/>
      <c r="AS115" s="233"/>
      <c r="AT115" s="233"/>
      <c r="AU115" s="233"/>
      <c r="AV115" s="233"/>
      <c r="AW115" s="233"/>
      <c r="AX115" s="233"/>
      <c r="AY115" s="233"/>
      <c r="AZ115" s="233"/>
      <c r="BA115" s="233"/>
      <c r="BB115" s="233"/>
      <c r="BC115" s="233"/>
      <c r="BD115" s="233"/>
      <c r="BE115" s="233"/>
      <c r="BF115" s="241"/>
      <c r="BG115" s="241"/>
      <c r="BH115" s="241"/>
      <c r="BI115" s="241"/>
      <c r="BJ115" s="241"/>
      <c r="BK115" s="241"/>
      <c r="BL115" s="241"/>
    </row>
    <row r="116">
      <c r="A116" s="689" t="s">
        <v>383</v>
      </c>
      <c r="B116" s="258" t="s">
        <v>595</v>
      </c>
      <c r="C116" s="233"/>
      <c r="D116" s="258" t="s">
        <v>595</v>
      </c>
      <c r="E116" s="233"/>
      <c r="F116" s="233"/>
      <c r="G116" s="233"/>
      <c r="H116" s="258" t="s">
        <v>595</v>
      </c>
      <c r="I116" s="258" t="s">
        <v>595</v>
      </c>
      <c r="J116" s="233"/>
      <c r="K116" s="233"/>
      <c r="L116" s="233"/>
      <c r="M116" s="233"/>
      <c r="N116" s="233"/>
      <c r="O116" s="250" t="s">
        <v>595</v>
      </c>
      <c r="P116" s="233"/>
      <c r="Q116" s="233"/>
      <c r="R116" s="250" t="s">
        <v>595</v>
      </c>
      <c r="S116" s="233"/>
      <c r="T116" s="233"/>
      <c r="U116" s="250" t="s">
        <v>595</v>
      </c>
      <c r="V116" s="233"/>
      <c r="W116" s="233"/>
      <c r="X116" s="233"/>
      <c r="Y116" s="233"/>
      <c r="Z116" s="233"/>
      <c r="AA116" s="250" t="s">
        <v>595</v>
      </c>
      <c r="AB116" s="233"/>
      <c r="AC116" s="233"/>
      <c r="AD116" s="233"/>
      <c r="AE116" s="233"/>
      <c r="AF116" s="233"/>
      <c r="AG116" s="250" t="s">
        <v>595</v>
      </c>
      <c r="AH116" s="233"/>
      <c r="AI116" s="233"/>
      <c r="AJ116" s="255" t="s">
        <v>595</v>
      </c>
      <c r="AK116" s="250" t="s">
        <v>595</v>
      </c>
      <c r="AL116" s="233"/>
      <c r="AM116" s="233"/>
      <c r="AN116" s="233"/>
      <c r="AO116" s="233"/>
      <c r="AP116" s="233" t="str">
        <f t="shared" si="8"/>
        <v/>
      </c>
      <c r="AQ116" s="250" t="s">
        <v>595</v>
      </c>
      <c r="AR116" s="692"/>
      <c r="AS116" s="233"/>
      <c r="AT116" s="233"/>
      <c r="AU116" s="233"/>
      <c r="AV116" s="233"/>
      <c r="AW116" s="233"/>
      <c r="AX116" s="233"/>
      <c r="AY116" s="233"/>
      <c r="AZ116" s="233"/>
      <c r="BA116" s="233"/>
      <c r="BB116" s="233"/>
      <c r="BC116" s="233"/>
      <c r="BD116" s="233"/>
      <c r="BE116" s="233"/>
      <c r="BF116" s="241"/>
      <c r="BG116" s="241"/>
      <c r="BH116" s="241"/>
      <c r="BI116" s="241"/>
      <c r="BJ116" s="241"/>
      <c r="BK116" s="241"/>
      <c r="BL116" s="241"/>
    </row>
    <row r="117">
      <c r="A117" s="689" t="s">
        <v>384</v>
      </c>
      <c r="B117" s="233"/>
      <c r="C117" s="233"/>
      <c r="D117" s="258" t="s">
        <v>595</v>
      </c>
      <c r="E117" s="233"/>
      <c r="F117" s="233"/>
      <c r="G117" s="233"/>
      <c r="H117" s="258" t="s">
        <v>595</v>
      </c>
      <c r="I117" s="233"/>
      <c r="J117" s="250" t="s">
        <v>595</v>
      </c>
      <c r="K117" s="233"/>
      <c r="L117" s="233"/>
      <c r="M117" s="233"/>
      <c r="N117" s="233"/>
      <c r="O117" s="250" t="s">
        <v>595</v>
      </c>
      <c r="P117" s="233"/>
      <c r="Q117" s="233"/>
      <c r="R117" s="233"/>
      <c r="S117" s="233"/>
      <c r="T117" s="233"/>
      <c r="U117" s="250" t="s">
        <v>595</v>
      </c>
      <c r="V117" s="233"/>
      <c r="W117" s="233"/>
      <c r="X117" s="233"/>
      <c r="Y117" s="233"/>
      <c r="Z117" s="233"/>
      <c r="AA117" s="250" t="s">
        <v>595</v>
      </c>
      <c r="AB117" s="233"/>
      <c r="AC117" s="233"/>
      <c r="AD117" s="233"/>
      <c r="AE117" s="233"/>
      <c r="AF117" s="233"/>
      <c r="AG117" s="250" t="s">
        <v>595</v>
      </c>
      <c r="AH117" s="233"/>
      <c r="AI117" s="233"/>
      <c r="AJ117" s="255" t="s">
        <v>595</v>
      </c>
      <c r="AK117" s="233"/>
      <c r="AL117" s="233"/>
      <c r="AM117" s="233"/>
      <c r="AN117" s="233"/>
      <c r="AO117" s="233"/>
      <c r="AP117" s="233" t="str">
        <f t="shared" si="8"/>
        <v/>
      </c>
      <c r="AQ117" s="250" t="s">
        <v>595</v>
      </c>
      <c r="AR117" s="692"/>
      <c r="AS117" s="233"/>
      <c r="AT117" s="233"/>
      <c r="AU117" s="233"/>
      <c r="AV117" s="233"/>
      <c r="AW117" s="233"/>
      <c r="AX117" s="233"/>
      <c r="AY117" s="233"/>
      <c r="AZ117" s="233"/>
      <c r="BA117" s="233"/>
      <c r="BB117" s="233"/>
      <c r="BC117" s="233"/>
      <c r="BD117" s="233"/>
      <c r="BE117" s="233"/>
      <c r="BF117" s="241"/>
      <c r="BG117" s="241"/>
      <c r="BH117" s="241"/>
      <c r="BI117" s="241"/>
      <c r="BJ117" s="241"/>
      <c r="BK117" s="241"/>
      <c r="BL117" s="241"/>
    </row>
    <row r="118">
      <c r="A118" s="689" t="s">
        <v>386</v>
      </c>
      <c r="B118" s="233"/>
      <c r="C118" s="233"/>
      <c r="D118" s="233"/>
      <c r="E118" s="258" t="s">
        <v>595</v>
      </c>
      <c r="F118" s="233"/>
      <c r="G118" s="233"/>
      <c r="H118" s="233"/>
      <c r="I118" s="233"/>
      <c r="J118" s="233"/>
      <c r="K118" s="233"/>
      <c r="L118" s="250" t="s">
        <v>595</v>
      </c>
      <c r="M118" s="250" t="s">
        <v>595</v>
      </c>
      <c r="N118" s="250" t="s">
        <v>595</v>
      </c>
      <c r="O118" s="233"/>
      <c r="P118" s="233"/>
      <c r="Q118" s="233"/>
      <c r="R118" s="233"/>
      <c r="S118" s="250" t="s">
        <v>595</v>
      </c>
      <c r="T118" s="233"/>
      <c r="U118" s="233"/>
      <c r="V118" s="250" t="s">
        <v>595</v>
      </c>
      <c r="W118" s="233"/>
      <c r="X118" s="233"/>
      <c r="Y118" s="233"/>
      <c r="Z118" s="233"/>
      <c r="AA118" s="233"/>
      <c r="AB118" s="233"/>
      <c r="AC118" s="233"/>
      <c r="AD118" s="233"/>
      <c r="AE118" s="233"/>
      <c r="AF118" s="233"/>
      <c r="AG118" s="233"/>
      <c r="AH118" s="233"/>
      <c r="AI118" s="233"/>
      <c r="AJ118" s="228"/>
      <c r="AK118" s="250" t="s">
        <v>595</v>
      </c>
      <c r="AL118" s="250" t="s">
        <v>595</v>
      </c>
      <c r="AM118" s="233"/>
      <c r="AN118" s="233"/>
      <c r="AO118" s="233"/>
      <c r="AP118" s="233" t="str">
        <f t="shared" si="8"/>
        <v/>
      </c>
      <c r="AQ118" s="250" t="s">
        <v>595</v>
      </c>
      <c r="AR118" s="692"/>
      <c r="AS118" s="233"/>
      <c r="AT118" s="233"/>
      <c r="AU118" s="233"/>
      <c r="AV118" s="233"/>
      <c r="AW118" s="233"/>
      <c r="AX118" s="233"/>
      <c r="AY118" s="233"/>
      <c r="AZ118" s="233"/>
      <c r="BA118" s="233"/>
      <c r="BB118" s="233"/>
      <c r="BC118" s="233"/>
      <c r="BD118" s="233"/>
      <c r="BE118" s="233"/>
      <c r="BF118" s="241"/>
      <c r="BG118" s="241"/>
      <c r="BH118" s="241"/>
      <c r="BI118" s="241"/>
      <c r="BJ118" s="241"/>
      <c r="BK118" s="241"/>
      <c r="BL118" s="241"/>
    </row>
    <row r="119">
      <c r="A119" s="689" t="s">
        <v>387</v>
      </c>
      <c r="B119" s="258" t="s">
        <v>595</v>
      </c>
      <c r="C119" s="233"/>
      <c r="D119" s="258" t="s">
        <v>595</v>
      </c>
      <c r="E119" s="233"/>
      <c r="F119" s="233"/>
      <c r="G119" s="233"/>
      <c r="H119" s="258" t="s">
        <v>595</v>
      </c>
      <c r="I119" s="233"/>
      <c r="J119" s="250" t="s">
        <v>595</v>
      </c>
      <c r="K119" s="250" t="s">
        <v>595</v>
      </c>
      <c r="L119" s="233"/>
      <c r="M119" s="233"/>
      <c r="N119" s="250" t="s">
        <v>595</v>
      </c>
      <c r="O119" s="250" t="s">
        <v>595</v>
      </c>
      <c r="P119" s="233"/>
      <c r="Q119" s="233"/>
      <c r="R119" s="233"/>
      <c r="S119" s="250" t="s">
        <v>595</v>
      </c>
      <c r="T119" s="233"/>
      <c r="U119" s="250" t="s">
        <v>595</v>
      </c>
      <c r="V119" s="233"/>
      <c r="W119" s="233"/>
      <c r="X119" s="233"/>
      <c r="Y119" s="233"/>
      <c r="Z119" s="233"/>
      <c r="AA119" s="250" t="s">
        <v>595</v>
      </c>
      <c r="AB119" s="233"/>
      <c r="AC119" s="233"/>
      <c r="AD119" s="233"/>
      <c r="AE119" s="233"/>
      <c r="AF119" s="233"/>
      <c r="AG119" s="250" t="s">
        <v>595</v>
      </c>
      <c r="AH119" s="250" t="s">
        <v>595</v>
      </c>
      <c r="AI119" s="233"/>
      <c r="AJ119" s="255" t="s">
        <v>595</v>
      </c>
      <c r="AK119" s="250" t="s">
        <v>595</v>
      </c>
      <c r="AL119" s="233"/>
      <c r="AM119" s="233"/>
      <c r="AN119" s="233"/>
      <c r="AO119" s="233"/>
      <c r="AP119" s="233" t="str">
        <f t="shared" si="8"/>
        <v/>
      </c>
      <c r="AQ119" s="250" t="s">
        <v>595</v>
      </c>
      <c r="AR119" s="692"/>
      <c r="AS119" s="233"/>
      <c r="AT119" s="233"/>
      <c r="AU119" s="233"/>
      <c r="AV119" s="233"/>
      <c r="AW119" s="233"/>
      <c r="AX119" s="233"/>
      <c r="AY119" s="233"/>
      <c r="AZ119" s="233"/>
      <c r="BA119" s="233"/>
      <c r="BB119" s="233"/>
      <c r="BC119" s="233"/>
      <c r="BD119" s="233"/>
      <c r="BE119" s="233"/>
      <c r="BF119" s="241"/>
      <c r="BG119" s="241"/>
      <c r="BH119" s="241"/>
      <c r="BI119" s="241"/>
      <c r="BJ119" s="241"/>
      <c r="BK119" s="241"/>
      <c r="BL119" s="241"/>
    </row>
    <row r="120">
      <c r="A120" s="689" t="s">
        <v>388</v>
      </c>
      <c r="B120" s="233"/>
      <c r="C120" s="233"/>
      <c r="D120" s="258" t="s">
        <v>595</v>
      </c>
      <c r="E120" s="233"/>
      <c r="F120" s="233"/>
      <c r="G120" s="233"/>
      <c r="H120" s="233"/>
      <c r="I120" s="233"/>
      <c r="J120" s="250" t="s">
        <v>595</v>
      </c>
      <c r="K120" s="233"/>
      <c r="L120" s="233"/>
      <c r="M120" s="233"/>
      <c r="N120" s="233"/>
      <c r="O120" s="233"/>
      <c r="P120" s="250" t="s">
        <v>595</v>
      </c>
      <c r="Q120" s="233"/>
      <c r="R120" s="233"/>
      <c r="S120" s="233"/>
      <c r="T120" s="250" t="s">
        <v>595</v>
      </c>
      <c r="U120" s="233"/>
      <c r="V120" s="233"/>
      <c r="W120" s="233"/>
      <c r="X120" s="233"/>
      <c r="Y120" s="233"/>
      <c r="Z120" s="233"/>
      <c r="AA120" s="233"/>
      <c r="AB120" s="233"/>
      <c r="AC120" s="233"/>
      <c r="AD120" s="233"/>
      <c r="AE120" s="233"/>
      <c r="AF120" s="233"/>
      <c r="AG120" s="250" t="s">
        <v>595</v>
      </c>
      <c r="AH120" s="250" t="s">
        <v>595</v>
      </c>
      <c r="AI120" s="233"/>
      <c r="AJ120" s="228"/>
      <c r="AK120" s="233"/>
      <c r="AL120" s="233"/>
      <c r="AM120" s="250" t="s">
        <v>595</v>
      </c>
      <c r="AN120" s="233"/>
      <c r="AO120" s="233"/>
      <c r="AP120" s="233" t="str">
        <f t="shared" si="8"/>
        <v/>
      </c>
      <c r="AQ120" s="250" t="s">
        <v>595</v>
      </c>
      <c r="AR120" s="692"/>
      <c r="AS120" s="233"/>
      <c r="AT120" s="233"/>
      <c r="AU120" s="233"/>
      <c r="AV120" s="233"/>
      <c r="AW120" s="233"/>
      <c r="AX120" s="233"/>
      <c r="AY120" s="233"/>
      <c r="AZ120" s="233"/>
      <c r="BA120" s="233"/>
      <c r="BB120" s="233"/>
      <c r="BC120" s="233"/>
      <c r="BD120" s="233"/>
      <c r="BE120" s="233"/>
      <c r="BF120" s="241"/>
      <c r="BG120" s="241"/>
      <c r="BH120" s="241"/>
      <c r="BI120" s="241"/>
      <c r="BJ120" s="241"/>
      <c r="BK120" s="241"/>
      <c r="BL120" s="241"/>
    </row>
    <row r="121">
      <c r="A121" s="689" t="s">
        <v>389</v>
      </c>
      <c r="B121" s="233"/>
      <c r="C121" s="233"/>
      <c r="D121" s="258" t="s">
        <v>595</v>
      </c>
      <c r="E121" s="233"/>
      <c r="F121" s="233"/>
      <c r="G121" s="233"/>
      <c r="H121" s="233"/>
      <c r="I121" s="233"/>
      <c r="J121" s="250" t="s">
        <v>595</v>
      </c>
      <c r="K121" s="250" t="s">
        <v>595</v>
      </c>
      <c r="L121" s="233"/>
      <c r="M121" s="233"/>
      <c r="N121" s="250" t="s">
        <v>595</v>
      </c>
      <c r="O121" s="233"/>
      <c r="P121" s="233"/>
      <c r="Q121" s="233"/>
      <c r="R121" s="233"/>
      <c r="S121" s="233"/>
      <c r="T121" s="233"/>
      <c r="U121" s="233"/>
      <c r="V121" s="233"/>
      <c r="W121" s="233"/>
      <c r="X121" s="233"/>
      <c r="Y121" s="233"/>
      <c r="Z121" s="233"/>
      <c r="AA121" s="233"/>
      <c r="AB121" s="233"/>
      <c r="AC121" s="233"/>
      <c r="AD121" s="233"/>
      <c r="AE121" s="233"/>
      <c r="AF121" s="233"/>
      <c r="AG121" s="233"/>
      <c r="AH121" s="250" t="s">
        <v>595</v>
      </c>
      <c r="AI121" s="233"/>
      <c r="AJ121" s="255" t="s">
        <v>595</v>
      </c>
      <c r="AK121" s="233"/>
      <c r="AL121" s="233"/>
      <c r="AM121" s="233"/>
      <c r="AN121" s="233"/>
      <c r="AO121" s="233"/>
      <c r="AP121" s="233" t="str">
        <f t="shared" si="8"/>
        <v/>
      </c>
      <c r="AQ121" s="250" t="s">
        <v>595</v>
      </c>
      <c r="AR121" s="692"/>
      <c r="AS121" s="233"/>
      <c r="AT121" s="233"/>
      <c r="AU121" s="233"/>
      <c r="AV121" s="233"/>
      <c r="AW121" s="233"/>
      <c r="AX121" s="233"/>
      <c r="AY121" s="233"/>
      <c r="AZ121" s="233"/>
      <c r="BA121" s="233"/>
      <c r="BB121" s="233"/>
      <c r="BC121" s="233"/>
      <c r="BD121" s="233"/>
      <c r="BE121" s="233"/>
      <c r="BF121" s="241"/>
      <c r="BG121" s="241"/>
      <c r="BH121" s="241"/>
      <c r="BI121" s="241"/>
      <c r="BJ121" s="241"/>
      <c r="BK121" s="241"/>
      <c r="BL121" s="241"/>
    </row>
    <row r="122">
      <c r="A122" s="689" t="s">
        <v>390</v>
      </c>
      <c r="B122" s="258" t="s">
        <v>595</v>
      </c>
      <c r="C122" s="233"/>
      <c r="D122" s="258" t="s">
        <v>595</v>
      </c>
      <c r="E122" s="258" t="s">
        <v>595</v>
      </c>
      <c r="F122" s="233"/>
      <c r="G122" s="233"/>
      <c r="H122" s="258" t="s">
        <v>595</v>
      </c>
      <c r="I122" s="258" t="s">
        <v>595</v>
      </c>
      <c r="J122" s="250" t="s">
        <v>595</v>
      </c>
      <c r="K122" s="250" t="s">
        <v>595</v>
      </c>
      <c r="L122" s="233"/>
      <c r="M122" s="233"/>
      <c r="N122" s="233"/>
      <c r="O122" s="233"/>
      <c r="P122" s="233"/>
      <c r="Q122" s="233"/>
      <c r="R122" s="233"/>
      <c r="S122" s="233"/>
      <c r="T122" s="233"/>
      <c r="U122" s="233"/>
      <c r="V122" s="233"/>
      <c r="W122" s="233"/>
      <c r="X122" s="233"/>
      <c r="Y122" s="233"/>
      <c r="Z122" s="250" t="s">
        <v>595</v>
      </c>
      <c r="AA122" s="250" t="s">
        <v>595</v>
      </c>
      <c r="AB122" s="250" t="s">
        <v>595</v>
      </c>
      <c r="AC122" s="250" t="s">
        <v>595</v>
      </c>
      <c r="AD122" s="233"/>
      <c r="AE122" s="233"/>
      <c r="AF122" s="233"/>
      <c r="AG122" s="250" t="s">
        <v>595</v>
      </c>
      <c r="AH122" s="250" t="s">
        <v>595</v>
      </c>
      <c r="AI122" s="233"/>
      <c r="AJ122" s="255" t="s">
        <v>595</v>
      </c>
      <c r="AK122" s="233"/>
      <c r="AL122" s="250" t="s">
        <v>595</v>
      </c>
      <c r="AM122" s="233"/>
      <c r="AN122" s="233"/>
      <c r="AO122" s="233"/>
      <c r="AP122" s="250" t="str">
        <f t="shared" si="8"/>
        <v>X</v>
      </c>
      <c r="AQ122" s="250" t="s">
        <v>595</v>
      </c>
      <c r="AR122" s="692"/>
      <c r="AS122" s="233"/>
      <c r="AT122" s="233"/>
      <c r="AU122" s="233"/>
      <c r="AV122" s="233"/>
      <c r="AW122" s="233"/>
      <c r="AX122" s="233"/>
      <c r="AY122" s="233"/>
      <c r="AZ122" s="233"/>
      <c r="BA122" s="233"/>
      <c r="BB122" s="233"/>
      <c r="BC122" s="233"/>
      <c r="BD122" s="233"/>
      <c r="BE122" s="233"/>
      <c r="BF122" s="241"/>
      <c r="BG122" s="241"/>
      <c r="BH122" s="241"/>
      <c r="BI122" s="241"/>
      <c r="BJ122" s="241"/>
      <c r="BK122" s="241"/>
      <c r="BL122" s="241"/>
    </row>
    <row r="123">
      <c r="A123" s="689" t="s">
        <v>391</v>
      </c>
      <c r="B123" s="233"/>
      <c r="C123" s="233"/>
      <c r="D123" s="258" t="s">
        <v>595</v>
      </c>
      <c r="E123" s="233"/>
      <c r="F123" s="258" t="s">
        <v>595</v>
      </c>
      <c r="G123" s="258" t="s">
        <v>595</v>
      </c>
      <c r="H123" s="258" t="s">
        <v>595</v>
      </c>
      <c r="I123" s="233"/>
      <c r="J123" s="233"/>
      <c r="K123" s="233"/>
      <c r="L123" s="233"/>
      <c r="M123" s="233"/>
      <c r="N123" s="233"/>
      <c r="O123" s="233"/>
      <c r="P123" s="250" t="s">
        <v>595</v>
      </c>
      <c r="Q123" s="233"/>
      <c r="R123" s="233"/>
      <c r="S123" s="233"/>
      <c r="T123" s="233"/>
      <c r="U123" s="250" t="s">
        <v>595</v>
      </c>
      <c r="V123" s="233"/>
      <c r="W123" s="233"/>
      <c r="X123" s="250" t="s">
        <v>595</v>
      </c>
      <c r="Y123" s="250" t="s">
        <v>595</v>
      </c>
      <c r="Z123" s="233"/>
      <c r="AA123" s="233"/>
      <c r="AB123" s="250" t="s">
        <v>595</v>
      </c>
      <c r="AC123" s="250" t="s">
        <v>595</v>
      </c>
      <c r="AD123" s="250" t="s">
        <v>595</v>
      </c>
      <c r="AE123" s="250" t="s">
        <v>595</v>
      </c>
      <c r="AF123" s="233"/>
      <c r="AG123" s="233"/>
      <c r="AH123" s="233"/>
      <c r="AI123" s="250" t="s">
        <v>595</v>
      </c>
      <c r="AJ123" s="228"/>
      <c r="AK123" s="233"/>
      <c r="AL123" s="233"/>
      <c r="AM123" s="250" t="s">
        <v>595</v>
      </c>
      <c r="AN123" s="233"/>
      <c r="AO123" s="233"/>
      <c r="AP123" s="250" t="str">
        <f t="shared" si="8"/>
        <v>X</v>
      </c>
      <c r="AQ123" s="250" t="s">
        <v>595</v>
      </c>
      <c r="AR123" s="692"/>
      <c r="AS123" s="233"/>
      <c r="AT123" s="233"/>
      <c r="AU123" s="233"/>
      <c r="AV123" s="233"/>
      <c r="AW123" s="233"/>
      <c r="AX123" s="233"/>
      <c r="AY123" s="233"/>
      <c r="AZ123" s="233"/>
      <c r="BA123" s="233"/>
      <c r="BB123" s="233"/>
      <c r="BC123" s="233"/>
      <c r="BD123" s="233"/>
      <c r="BE123" s="233"/>
      <c r="BF123" s="241"/>
      <c r="BG123" s="241"/>
      <c r="BH123" s="241"/>
      <c r="BI123" s="241"/>
      <c r="BJ123" s="241"/>
      <c r="BK123" s="241"/>
      <c r="BL123" s="241"/>
    </row>
    <row r="124">
      <c r="A124" s="689" t="s">
        <v>393</v>
      </c>
      <c r="B124" s="233"/>
      <c r="C124" s="233"/>
      <c r="D124" s="233"/>
      <c r="E124" s="233"/>
      <c r="F124" s="233"/>
      <c r="G124" s="233"/>
      <c r="H124" s="233"/>
      <c r="I124" s="233"/>
      <c r="J124" s="233"/>
      <c r="K124" s="233"/>
      <c r="L124" s="233"/>
      <c r="M124" s="233"/>
      <c r="N124" s="233"/>
      <c r="O124" s="250" t="s">
        <v>595</v>
      </c>
      <c r="P124" s="233"/>
      <c r="Q124" s="233"/>
      <c r="R124" s="233"/>
      <c r="S124" s="233"/>
      <c r="T124" s="233"/>
      <c r="U124" s="250" t="s">
        <v>595</v>
      </c>
      <c r="V124" s="233"/>
      <c r="W124" s="233"/>
      <c r="X124" s="233"/>
      <c r="Y124" s="233"/>
      <c r="Z124" s="233"/>
      <c r="AA124" s="250" t="s">
        <v>595</v>
      </c>
      <c r="AB124" s="233"/>
      <c r="AC124" s="233"/>
      <c r="AD124" s="233"/>
      <c r="AE124" s="233"/>
      <c r="AF124" s="250" t="s">
        <v>595</v>
      </c>
      <c r="AG124" s="250" t="s">
        <v>595</v>
      </c>
      <c r="AH124" s="233"/>
      <c r="AI124" s="233"/>
      <c r="AJ124" s="228"/>
      <c r="AK124" s="233"/>
      <c r="AL124" s="233"/>
      <c r="AM124" s="233"/>
      <c r="AN124" s="233"/>
      <c r="AO124" s="233"/>
      <c r="AP124" s="233" t="str">
        <f t="shared" si="8"/>
        <v/>
      </c>
      <c r="AQ124" s="250" t="s">
        <v>595</v>
      </c>
      <c r="AR124" s="692"/>
      <c r="AS124" s="233"/>
      <c r="AT124" s="233"/>
      <c r="AU124" s="233"/>
      <c r="AV124" s="233"/>
      <c r="AW124" s="233"/>
      <c r="AX124" s="233"/>
      <c r="AY124" s="233"/>
      <c r="AZ124" s="233"/>
      <c r="BA124" s="233"/>
      <c r="BB124" s="233"/>
      <c r="BC124" s="233"/>
      <c r="BD124" s="233"/>
      <c r="BE124" s="233"/>
      <c r="BF124" s="241"/>
      <c r="BG124" s="241"/>
      <c r="BH124" s="241"/>
      <c r="BI124" s="241"/>
      <c r="BJ124" s="241"/>
      <c r="BK124" s="241"/>
      <c r="BL124" s="241"/>
    </row>
    <row r="125">
      <c r="A125" s="689" t="s">
        <v>395</v>
      </c>
      <c r="B125" s="233"/>
      <c r="C125" s="233"/>
      <c r="D125" s="233"/>
      <c r="E125" s="233"/>
      <c r="F125" s="233"/>
      <c r="G125" s="233"/>
      <c r="H125" s="258" t="s">
        <v>595</v>
      </c>
      <c r="I125" s="233"/>
      <c r="J125" s="233"/>
      <c r="K125" s="233"/>
      <c r="L125" s="233"/>
      <c r="M125" s="233"/>
      <c r="N125" s="233"/>
      <c r="O125" s="250" t="s">
        <v>595</v>
      </c>
      <c r="P125" s="250" t="s">
        <v>595</v>
      </c>
      <c r="Q125" s="250" t="s">
        <v>595</v>
      </c>
      <c r="R125" s="250" t="s">
        <v>595</v>
      </c>
      <c r="S125" s="250" t="s">
        <v>595</v>
      </c>
      <c r="T125" s="250" t="s">
        <v>595</v>
      </c>
      <c r="U125" s="250" t="s">
        <v>595</v>
      </c>
      <c r="V125" s="250" t="s">
        <v>595</v>
      </c>
      <c r="W125" s="250" t="s">
        <v>595</v>
      </c>
      <c r="X125" s="250" t="s">
        <v>595</v>
      </c>
      <c r="Y125" s="250" t="s">
        <v>595</v>
      </c>
      <c r="Z125" s="250" t="s">
        <v>595</v>
      </c>
      <c r="AA125" s="233"/>
      <c r="AB125" s="233"/>
      <c r="AC125" s="233"/>
      <c r="AD125" s="250" t="s">
        <v>595</v>
      </c>
      <c r="AE125" s="250" t="s">
        <v>595</v>
      </c>
      <c r="AF125" s="233"/>
      <c r="AG125" s="250" t="s">
        <v>595</v>
      </c>
      <c r="AH125" s="233"/>
      <c r="AI125" s="250" t="s">
        <v>595</v>
      </c>
      <c r="AJ125" s="228"/>
      <c r="AK125" s="233"/>
      <c r="AL125" s="233"/>
      <c r="AM125" s="233"/>
      <c r="AN125" s="233"/>
      <c r="AO125" s="233"/>
      <c r="AP125" s="233" t="str">
        <f t="shared" si="8"/>
        <v/>
      </c>
      <c r="AQ125" s="250" t="s">
        <v>595</v>
      </c>
      <c r="AR125" s="692"/>
      <c r="AS125" s="233"/>
      <c r="AT125" s="233"/>
      <c r="AU125" s="233"/>
      <c r="AV125" s="233"/>
      <c r="AW125" s="233"/>
      <c r="AX125" s="233"/>
      <c r="AY125" s="233"/>
      <c r="AZ125" s="233"/>
      <c r="BA125" s="233"/>
      <c r="BB125" s="233"/>
      <c r="BC125" s="233"/>
      <c r="BD125" s="233"/>
      <c r="BE125" s="233"/>
      <c r="BF125" s="241"/>
      <c r="BG125" s="241"/>
      <c r="BH125" s="241"/>
      <c r="BI125" s="241"/>
      <c r="BJ125" s="241"/>
      <c r="BK125" s="241"/>
      <c r="BL125" s="241"/>
    </row>
    <row r="126">
      <c r="A126" s="689" t="s">
        <v>396</v>
      </c>
      <c r="B126" s="233"/>
      <c r="C126" s="233"/>
      <c r="D126" s="233"/>
      <c r="E126" s="258" t="s">
        <v>595</v>
      </c>
      <c r="F126" s="233"/>
      <c r="G126" s="233"/>
      <c r="H126" s="233"/>
      <c r="I126" s="233"/>
      <c r="J126" s="233"/>
      <c r="K126" s="233"/>
      <c r="L126" s="233"/>
      <c r="M126" s="233"/>
      <c r="N126" s="250" t="s">
        <v>595</v>
      </c>
      <c r="O126" s="250" t="s">
        <v>595</v>
      </c>
      <c r="P126" s="233"/>
      <c r="Q126" s="233"/>
      <c r="R126" s="233"/>
      <c r="S126" s="233"/>
      <c r="T126" s="233"/>
      <c r="U126" s="233"/>
      <c r="V126" s="233"/>
      <c r="W126" s="233"/>
      <c r="X126" s="250" t="s">
        <v>595</v>
      </c>
      <c r="Y126" s="250" t="s">
        <v>595</v>
      </c>
      <c r="Z126" s="233"/>
      <c r="AA126" s="233"/>
      <c r="AB126" s="233"/>
      <c r="AC126" s="233"/>
      <c r="AD126" s="233"/>
      <c r="AE126" s="233"/>
      <c r="AF126" s="250" t="s">
        <v>595</v>
      </c>
      <c r="AG126" s="250" t="s">
        <v>595</v>
      </c>
      <c r="AH126" s="233"/>
      <c r="AI126" s="250" t="s">
        <v>595</v>
      </c>
      <c r="AJ126" s="228"/>
      <c r="AK126" s="233"/>
      <c r="AL126" s="250" t="s">
        <v>595</v>
      </c>
      <c r="AM126" s="233"/>
      <c r="AN126" s="233"/>
      <c r="AO126" s="233"/>
      <c r="AP126" s="233" t="str">
        <f t="shared" si="8"/>
        <v/>
      </c>
      <c r="AQ126" s="250" t="s">
        <v>595</v>
      </c>
      <c r="AR126" s="692"/>
      <c r="AS126" s="233"/>
      <c r="AT126" s="233"/>
      <c r="AU126" s="233"/>
      <c r="AV126" s="233"/>
      <c r="AW126" s="233"/>
      <c r="AX126" s="233"/>
      <c r="AY126" s="233"/>
      <c r="AZ126" s="233"/>
      <c r="BA126" s="233"/>
      <c r="BB126" s="233"/>
      <c r="BC126" s="233"/>
      <c r="BD126" s="233"/>
      <c r="BE126" s="233"/>
      <c r="BF126" s="241"/>
      <c r="BG126" s="241"/>
      <c r="BH126" s="241"/>
      <c r="BI126" s="241"/>
      <c r="BJ126" s="241"/>
      <c r="BK126" s="241"/>
      <c r="BL126" s="241"/>
    </row>
    <row r="127">
      <c r="A127" s="689" t="s">
        <v>397</v>
      </c>
      <c r="B127" s="233"/>
      <c r="C127" s="233"/>
      <c r="D127" s="233"/>
      <c r="E127" s="258" t="s">
        <v>595</v>
      </c>
      <c r="F127" s="233"/>
      <c r="G127" s="233"/>
      <c r="H127" s="258" t="s">
        <v>595</v>
      </c>
      <c r="I127" s="233"/>
      <c r="J127" s="233"/>
      <c r="K127" s="233"/>
      <c r="L127" s="233"/>
      <c r="M127" s="250" t="s">
        <v>595</v>
      </c>
      <c r="N127" s="233"/>
      <c r="O127" s="233"/>
      <c r="P127" s="233"/>
      <c r="Q127" s="233"/>
      <c r="R127" s="233"/>
      <c r="S127" s="250" t="s">
        <v>595</v>
      </c>
      <c r="T127" s="233"/>
      <c r="U127" s="233"/>
      <c r="V127" s="250" t="s">
        <v>595</v>
      </c>
      <c r="W127" s="233"/>
      <c r="X127" s="250" t="s">
        <v>595</v>
      </c>
      <c r="Y127" s="233"/>
      <c r="Z127" s="250" t="s">
        <v>595</v>
      </c>
      <c r="AA127" s="250" t="s">
        <v>595</v>
      </c>
      <c r="AB127" s="233"/>
      <c r="AC127" s="233"/>
      <c r="AD127" s="233"/>
      <c r="AE127" s="233"/>
      <c r="AF127" s="233"/>
      <c r="AG127" s="233"/>
      <c r="AH127" s="233"/>
      <c r="AI127" s="233"/>
      <c r="AJ127" s="255" t="s">
        <v>595</v>
      </c>
      <c r="AK127" s="250" t="s">
        <v>595</v>
      </c>
      <c r="AL127" s="250" t="s">
        <v>595</v>
      </c>
      <c r="AM127" s="233"/>
      <c r="AN127" s="233"/>
      <c r="AO127" s="233"/>
      <c r="AP127" s="233" t="str">
        <f t="shared" si="8"/>
        <v/>
      </c>
      <c r="AQ127" s="250" t="s">
        <v>595</v>
      </c>
      <c r="AR127" s="692"/>
      <c r="AS127" s="233"/>
      <c r="AT127" s="233"/>
      <c r="AU127" s="233"/>
      <c r="AV127" s="233"/>
      <c r="AW127" s="233"/>
      <c r="AX127" s="233"/>
      <c r="AY127" s="233"/>
      <c r="AZ127" s="233"/>
      <c r="BA127" s="233"/>
      <c r="BB127" s="233"/>
      <c r="BC127" s="233"/>
      <c r="BD127" s="233"/>
      <c r="BE127" s="233"/>
      <c r="BF127" s="241"/>
      <c r="BG127" s="241"/>
      <c r="BH127" s="241"/>
      <c r="BI127" s="241"/>
      <c r="BJ127" s="241"/>
      <c r="BK127" s="241"/>
      <c r="BL127" s="241"/>
    </row>
    <row r="128">
      <c r="A128" s="689" t="s">
        <v>399</v>
      </c>
      <c r="B128" s="233"/>
      <c r="C128" s="233"/>
      <c r="D128" s="233"/>
      <c r="E128" s="233"/>
      <c r="F128" s="233"/>
      <c r="G128" s="233"/>
      <c r="H128" s="258" t="s">
        <v>595</v>
      </c>
      <c r="I128" s="233"/>
      <c r="J128" s="233"/>
      <c r="K128" s="233"/>
      <c r="L128" s="233"/>
      <c r="M128" s="233"/>
      <c r="N128" s="258" t="s">
        <v>595</v>
      </c>
      <c r="O128" s="233"/>
      <c r="P128" s="233"/>
      <c r="Q128" s="233"/>
      <c r="R128" s="233"/>
      <c r="S128" s="233"/>
      <c r="T128" s="258" t="s">
        <v>595</v>
      </c>
      <c r="U128" s="233"/>
      <c r="V128" s="233"/>
      <c r="W128" s="258" t="s">
        <v>595</v>
      </c>
      <c r="X128" s="233"/>
      <c r="Y128" s="233"/>
      <c r="Z128" s="233"/>
      <c r="AA128" s="233"/>
      <c r="AB128" s="233"/>
      <c r="AC128" s="233"/>
      <c r="AD128" s="233"/>
      <c r="AE128" s="233"/>
      <c r="AF128" s="233"/>
      <c r="AG128" s="258" t="s">
        <v>595</v>
      </c>
      <c r="AH128" s="233"/>
      <c r="AI128" s="233"/>
      <c r="AJ128" s="228"/>
      <c r="AK128" s="233"/>
      <c r="AL128" s="233"/>
      <c r="AM128" s="233"/>
      <c r="AN128" s="233"/>
      <c r="AO128" s="233"/>
      <c r="AP128" s="233" t="str">
        <f t="shared" si="8"/>
        <v/>
      </c>
      <c r="AQ128" s="250" t="s">
        <v>595</v>
      </c>
      <c r="AR128" s="692"/>
      <c r="AS128" s="233"/>
      <c r="AT128" s="233"/>
      <c r="AU128" s="233"/>
      <c r="AV128" s="233"/>
      <c r="AW128" s="233"/>
      <c r="AX128" s="233"/>
      <c r="AY128" s="233"/>
      <c r="AZ128" s="233"/>
      <c r="BA128" s="233"/>
      <c r="BB128" s="233"/>
      <c r="BC128" s="233"/>
      <c r="BD128" s="233"/>
      <c r="BE128" s="233"/>
      <c r="BF128" s="241"/>
      <c r="BG128" s="241"/>
      <c r="BH128" s="241"/>
      <c r="BI128" s="241"/>
      <c r="BJ128" s="241"/>
      <c r="BK128" s="241"/>
      <c r="BL128" s="241"/>
    </row>
    <row r="129">
      <c r="A129" s="689" t="s">
        <v>402</v>
      </c>
      <c r="B129" s="233"/>
      <c r="C129" s="258" t="s">
        <v>595</v>
      </c>
      <c r="D129" s="258" t="s">
        <v>595</v>
      </c>
      <c r="E129" s="233"/>
      <c r="F129" s="233"/>
      <c r="G129" s="233"/>
      <c r="H129" s="258" t="s">
        <v>595</v>
      </c>
      <c r="I129" s="233"/>
      <c r="J129" s="233"/>
      <c r="K129" s="233"/>
      <c r="L129" s="233"/>
      <c r="M129" s="233"/>
      <c r="N129" s="233"/>
      <c r="O129" s="258" t="s">
        <v>595</v>
      </c>
      <c r="P129" s="233"/>
      <c r="Q129" s="233"/>
      <c r="R129" s="233"/>
      <c r="S129" s="233"/>
      <c r="T129" s="233"/>
      <c r="U129" s="233"/>
      <c r="V129" s="233"/>
      <c r="W129" s="233"/>
      <c r="X129" s="233"/>
      <c r="Y129" s="233"/>
      <c r="Z129" s="258" t="s">
        <v>595</v>
      </c>
      <c r="AA129" s="233"/>
      <c r="AB129" s="233"/>
      <c r="AC129" s="233"/>
      <c r="AD129" s="233"/>
      <c r="AE129" s="233"/>
      <c r="AF129" s="233"/>
      <c r="AG129" s="258" t="s">
        <v>595</v>
      </c>
      <c r="AH129" s="233"/>
      <c r="AI129" s="233"/>
      <c r="AJ129" s="228"/>
      <c r="AK129" s="258" t="s">
        <v>595</v>
      </c>
      <c r="AL129" s="233"/>
      <c r="AM129" s="233"/>
      <c r="AN129" s="233"/>
      <c r="AO129" s="233"/>
      <c r="AP129" s="233" t="str">
        <f t="shared" si="8"/>
        <v/>
      </c>
      <c r="AQ129" s="250" t="s">
        <v>595</v>
      </c>
      <c r="AR129" s="692"/>
      <c r="AS129" s="233"/>
      <c r="AT129" s="233"/>
      <c r="AU129" s="233"/>
      <c r="AV129" s="233"/>
      <c r="AW129" s="233"/>
      <c r="AX129" s="233"/>
      <c r="AY129" s="233"/>
      <c r="AZ129" s="233"/>
      <c r="BA129" s="233"/>
      <c r="BB129" s="233"/>
      <c r="BC129" s="233"/>
      <c r="BD129" s="233"/>
      <c r="BE129" s="233"/>
      <c r="BF129" s="241"/>
      <c r="BG129" s="241"/>
      <c r="BH129" s="241"/>
      <c r="BI129" s="241"/>
      <c r="BJ129" s="241"/>
      <c r="BK129" s="241"/>
      <c r="BL129" s="241"/>
    </row>
    <row r="130">
      <c r="A130" s="689" t="s">
        <v>404</v>
      </c>
      <c r="B130" s="233"/>
      <c r="C130" s="233"/>
      <c r="D130" s="233"/>
      <c r="E130" s="233"/>
      <c r="F130" s="233"/>
      <c r="G130" s="233"/>
      <c r="H130" s="233"/>
      <c r="I130" s="233"/>
      <c r="J130" s="233"/>
      <c r="K130" s="233"/>
      <c r="L130" s="233"/>
      <c r="M130" s="233"/>
      <c r="N130" s="258" t="s">
        <v>595</v>
      </c>
      <c r="O130" s="233"/>
      <c r="P130" s="233"/>
      <c r="Q130" s="258" t="s">
        <v>595</v>
      </c>
      <c r="R130" s="233"/>
      <c r="S130" s="233"/>
      <c r="T130" s="233"/>
      <c r="U130" s="233"/>
      <c r="V130" s="258" t="s">
        <v>595</v>
      </c>
      <c r="W130" s="233"/>
      <c r="X130" s="258" t="s">
        <v>595</v>
      </c>
      <c r="Y130" s="233"/>
      <c r="Z130" s="233"/>
      <c r="AA130" s="258" t="s">
        <v>595</v>
      </c>
      <c r="AB130" s="233"/>
      <c r="AC130" s="233"/>
      <c r="AD130" s="233"/>
      <c r="AE130" s="233"/>
      <c r="AF130" s="233"/>
      <c r="AG130" s="233"/>
      <c r="AH130" s="233"/>
      <c r="AI130" s="233"/>
      <c r="AJ130" s="252" t="s">
        <v>595</v>
      </c>
      <c r="AK130" s="258" t="s">
        <v>595</v>
      </c>
      <c r="AL130" s="233"/>
      <c r="AM130" s="233"/>
      <c r="AN130" s="233"/>
      <c r="AO130" s="233"/>
      <c r="AP130" s="233" t="str">
        <f t="shared" si="8"/>
        <v/>
      </c>
      <c r="AQ130" s="250" t="s">
        <v>595</v>
      </c>
      <c r="AR130" s="692"/>
      <c r="AS130" s="233"/>
      <c r="AT130" s="233"/>
      <c r="AU130" s="233"/>
      <c r="AV130" s="233"/>
      <c r="AW130" s="233"/>
      <c r="AX130" s="233"/>
      <c r="AY130" s="233"/>
      <c r="AZ130" s="233"/>
      <c r="BA130" s="233"/>
      <c r="BB130" s="233"/>
      <c r="BC130" s="233"/>
      <c r="BD130" s="233"/>
      <c r="BE130" s="233"/>
      <c r="BF130" s="241"/>
      <c r="BG130" s="241"/>
      <c r="BH130" s="241"/>
      <c r="BI130" s="241"/>
      <c r="BJ130" s="241"/>
      <c r="BK130" s="241"/>
      <c r="BL130" s="241"/>
    </row>
    <row r="131">
      <c r="A131" s="689" t="s">
        <v>405</v>
      </c>
      <c r="B131" s="233"/>
      <c r="C131" s="233"/>
      <c r="D131" s="233"/>
      <c r="E131" s="258" t="s">
        <v>595</v>
      </c>
      <c r="F131" s="233"/>
      <c r="G131" s="233"/>
      <c r="H131" s="258" t="s">
        <v>595</v>
      </c>
      <c r="I131" s="258" t="s">
        <v>595</v>
      </c>
      <c r="J131" s="233"/>
      <c r="K131" s="258" t="s">
        <v>595</v>
      </c>
      <c r="L131" s="233"/>
      <c r="M131" s="233"/>
      <c r="N131" s="233"/>
      <c r="O131" s="258" t="s">
        <v>595</v>
      </c>
      <c r="P131" s="233"/>
      <c r="Q131" s="258" t="s">
        <v>595</v>
      </c>
      <c r="R131" s="233"/>
      <c r="S131" s="233"/>
      <c r="T131" s="233"/>
      <c r="U131" s="258" t="s">
        <v>595</v>
      </c>
      <c r="V131" s="233"/>
      <c r="W131" s="233"/>
      <c r="X131" s="233"/>
      <c r="Y131" s="233"/>
      <c r="Z131" s="233"/>
      <c r="AA131" s="258" t="s">
        <v>595</v>
      </c>
      <c r="AB131" s="233"/>
      <c r="AC131" s="233"/>
      <c r="AD131" s="233"/>
      <c r="AE131" s="233"/>
      <c r="AF131" s="233"/>
      <c r="AG131" s="233"/>
      <c r="AH131" s="233"/>
      <c r="AI131" s="233"/>
      <c r="AJ131" s="252" t="s">
        <v>595</v>
      </c>
      <c r="AK131" s="258" t="s">
        <v>595</v>
      </c>
      <c r="AL131" s="233"/>
      <c r="AM131" s="233"/>
      <c r="AN131" s="233"/>
      <c r="AO131" s="233"/>
      <c r="AP131" s="233" t="str">
        <f t="shared" si="8"/>
        <v/>
      </c>
      <c r="AQ131" s="250" t="s">
        <v>595</v>
      </c>
      <c r="AR131" s="692"/>
      <c r="AS131" s="233"/>
      <c r="AT131" s="233"/>
      <c r="AU131" s="233"/>
      <c r="AV131" s="233"/>
      <c r="AW131" s="233"/>
      <c r="AX131" s="233"/>
      <c r="AY131" s="233"/>
      <c r="AZ131" s="233"/>
      <c r="BA131" s="233"/>
      <c r="BB131" s="233"/>
      <c r="BC131" s="233"/>
      <c r="BD131" s="233"/>
      <c r="BE131" s="233"/>
      <c r="BF131" s="241"/>
      <c r="BG131" s="241"/>
      <c r="BH131" s="241"/>
      <c r="BI131" s="241"/>
      <c r="BJ131" s="241"/>
      <c r="BK131" s="241"/>
      <c r="BL131" s="241"/>
    </row>
    <row r="132">
      <c r="A132" s="689" t="s">
        <v>406</v>
      </c>
      <c r="B132" s="258" t="s">
        <v>595</v>
      </c>
      <c r="C132" s="233"/>
      <c r="D132" s="258" t="s">
        <v>595</v>
      </c>
      <c r="E132" s="258" t="s">
        <v>595</v>
      </c>
      <c r="F132" s="233"/>
      <c r="G132" s="233"/>
      <c r="H132" s="258" t="s">
        <v>595</v>
      </c>
      <c r="I132" s="258" t="s">
        <v>595</v>
      </c>
      <c r="J132" s="258" t="s">
        <v>595</v>
      </c>
      <c r="K132" s="233"/>
      <c r="L132" s="233"/>
      <c r="M132" s="233"/>
      <c r="N132" s="233"/>
      <c r="O132" s="258" t="s">
        <v>595</v>
      </c>
      <c r="P132" s="233"/>
      <c r="Q132" s="233"/>
      <c r="R132" s="233"/>
      <c r="S132" s="233"/>
      <c r="T132" s="233"/>
      <c r="U132" s="233"/>
      <c r="V132" s="233"/>
      <c r="W132" s="233"/>
      <c r="X132" s="233"/>
      <c r="Y132" s="233"/>
      <c r="Z132" s="233"/>
      <c r="AA132" s="258" t="s">
        <v>595</v>
      </c>
      <c r="AB132" s="233"/>
      <c r="AC132" s="233"/>
      <c r="AD132" s="233"/>
      <c r="AE132" s="233"/>
      <c r="AF132" s="233"/>
      <c r="AG132" s="233"/>
      <c r="AH132" s="233"/>
      <c r="AI132" s="233"/>
      <c r="AJ132" s="252" t="s">
        <v>595</v>
      </c>
      <c r="AK132" s="233"/>
      <c r="AL132" s="233"/>
      <c r="AM132" s="233"/>
      <c r="AN132" s="233"/>
      <c r="AO132" s="233"/>
      <c r="AP132" s="233" t="str">
        <f t="shared" si="8"/>
        <v/>
      </c>
      <c r="AQ132" s="250" t="s">
        <v>595</v>
      </c>
      <c r="AR132" s="692"/>
      <c r="AS132" s="233"/>
      <c r="AT132" s="233"/>
      <c r="AU132" s="233"/>
      <c r="AV132" s="233"/>
      <c r="AW132" s="233"/>
      <c r="AX132" s="233"/>
      <c r="AY132" s="233"/>
      <c r="AZ132" s="233"/>
      <c r="BA132" s="233"/>
      <c r="BB132" s="233"/>
      <c r="BC132" s="233"/>
      <c r="BD132" s="233"/>
      <c r="BE132" s="233"/>
      <c r="BF132" s="241"/>
      <c r="BG132" s="241"/>
      <c r="BH132" s="241"/>
      <c r="BI132" s="241"/>
      <c r="BJ132" s="241"/>
      <c r="BK132" s="241"/>
      <c r="BL132" s="241"/>
    </row>
    <row r="133">
      <c r="A133" s="689" t="s">
        <v>407</v>
      </c>
      <c r="B133" s="258" t="s">
        <v>595</v>
      </c>
      <c r="C133" s="233"/>
      <c r="D133" s="233"/>
      <c r="E133" s="258" t="s">
        <v>595</v>
      </c>
      <c r="F133" s="233"/>
      <c r="G133" s="233"/>
      <c r="H133" s="233"/>
      <c r="I133" s="233"/>
      <c r="J133" s="233"/>
      <c r="K133" s="233"/>
      <c r="L133" s="233"/>
      <c r="M133" s="233"/>
      <c r="N133" s="233"/>
      <c r="O133" s="258" t="s">
        <v>595</v>
      </c>
      <c r="P133" s="233"/>
      <c r="Q133" s="233"/>
      <c r="R133" s="258" t="s">
        <v>595</v>
      </c>
      <c r="S133" s="233"/>
      <c r="T133" s="258" t="s">
        <v>595</v>
      </c>
      <c r="U133" s="233"/>
      <c r="V133" s="233"/>
      <c r="W133" s="233"/>
      <c r="X133" s="233"/>
      <c r="Y133" s="233"/>
      <c r="Z133" s="258" t="s">
        <v>595</v>
      </c>
      <c r="AA133" s="258" t="s">
        <v>595</v>
      </c>
      <c r="AB133" s="233"/>
      <c r="AC133" s="233"/>
      <c r="AD133" s="233"/>
      <c r="AE133" s="233"/>
      <c r="AF133" s="233"/>
      <c r="AG133" s="258" t="s">
        <v>595</v>
      </c>
      <c r="AH133" s="233"/>
      <c r="AI133" s="233"/>
      <c r="AJ133" s="228"/>
      <c r="AK133" s="233"/>
      <c r="AL133" s="233"/>
      <c r="AM133" s="233"/>
      <c r="AN133" s="233"/>
      <c r="AO133" s="233"/>
      <c r="AP133" s="233" t="str">
        <f t="shared" si="8"/>
        <v/>
      </c>
      <c r="AQ133" s="250" t="s">
        <v>595</v>
      </c>
      <c r="AR133" s="692"/>
      <c r="AS133" s="233"/>
      <c r="AT133" s="233"/>
      <c r="AU133" s="233"/>
      <c r="AV133" s="233"/>
      <c r="AW133" s="233"/>
      <c r="AX133" s="233"/>
      <c r="AY133" s="233"/>
      <c r="AZ133" s="233"/>
      <c r="BA133" s="233"/>
      <c r="BB133" s="233"/>
      <c r="BC133" s="233"/>
      <c r="BD133" s="233"/>
      <c r="BE133" s="233"/>
      <c r="BF133" s="241"/>
      <c r="BG133" s="241"/>
      <c r="BH133" s="241"/>
      <c r="BI133" s="241"/>
      <c r="BJ133" s="241"/>
      <c r="BK133" s="241"/>
      <c r="BL133" s="241"/>
    </row>
    <row r="134">
      <c r="A134" s="689" t="s">
        <v>408</v>
      </c>
      <c r="B134" s="233"/>
      <c r="C134" s="258" t="s">
        <v>595</v>
      </c>
      <c r="D134" s="233"/>
      <c r="E134" s="233"/>
      <c r="F134" s="233"/>
      <c r="G134" s="233"/>
      <c r="H134" s="258" t="s">
        <v>595</v>
      </c>
      <c r="I134" s="233"/>
      <c r="J134" s="233"/>
      <c r="K134" s="233"/>
      <c r="L134" s="233"/>
      <c r="M134" s="250" t="s">
        <v>595</v>
      </c>
      <c r="N134" s="250" t="s">
        <v>595</v>
      </c>
      <c r="O134" s="233"/>
      <c r="P134" s="250" t="s">
        <v>595</v>
      </c>
      <c r="Q134" s="250" t="s">
        <v>595</v>
      </c>
      <c r="R134" s="250" t="s">
        <v>595</v>
      </c>
      <c r="S134" s="250" t="s">
        <v>595</v>
      </c>
      <c r="T134" s="250" t="s">
        <v>595</v>
      </c>
      <c r="U134" s="250" t="s">
        <v>595</v>
      </c>
      <c r="V134" s="250" t="s">
        <v>595</v>
      </c>
      <c r="W134" s="250" t="s">
        <v>595</v>
      </c>
      <c r="X134" s="250" t="s">
        <v>595</v>
      </c>
      <c r="Y134" s="250" t="s">
        <v>595</v>
      </c>
      <c r="Z134" s="250" t="s">
        <v>595</v>
      </c>
      <c r="AA134" s="233"/>
      <c r="AB134" s="250" t="s">
        <v>595</v>
      </c>
      <c r="AC134" s="250" t="s">
        <v>595</v>
      </c>
      <c r="AD134" s="233"/>
      <c r="AE134" s="233"/>
      <c r="AF134" s="233"/>
      <c r="AG134" s="233"/>
      <c r="AH134" s="233"/>
      <c r="AI134" s="250" t="s">
        <v>595</v>
      </c>
      <c r="AJ134" s="228"/>
      <c r="AK134" s="233"/>
      <c r="AL134" s="233"/>
      <c r="AM134" s="250" t="s">
        <v>595</v>
      </c>
      <c r="AN134" s="233"/>
      <c r="AO134" s="233"/>
      <c r="AP134" s="250" t="str">
        <f t="shared" si="8"/>
        <v>X</v>
      </c>
      <c r="AQ134" s="250" t="s">
        <v>595</v>
      </c>
      <c r="AR134" s="692"/>
      <c r="AS134" s="233"/>
      <c r="AT134" s="233"/>
      <c r="AU134" s="233"/>
      <c r="AV134" s="233"/>
      <c r="AW134" s="233"/>
      <c r="AX134" s="233"/>
      <c r="AY134" s="233"/>
      <c r="AZ134" s="233"/>
      <c r="BA134" s="233"/>
      <c r="BB134" s="233"/>
      <c r="BC134" s="233"/>
      <c r="BD134" s="233"/>
      <c r="BE134" s="233"/>
      <c r="BF134" s="241"/>
      <c r="BG134" s="241"/>
      <c r="BH134" s="241"/>
      <c r="BI134" s="241"/>
      <c r="BJ134" s="241"/>
      <c r="BK134" s="241"/>
      <c r="BL134" s="241"/>
    </row>
    <row r="135">
      <c r="A135" s="689" t="s">
        <v>409</v>
      </c>
      <c r="B135" s="233"/>
      <c r="C135" s="258" t="s">
        <v>595</v>
      </c>
      <c r="D135" s="258" t="s">
        <v>595</v>
      </c>
      <c r="E135" s="233"/>
      <c r="F135" s="233"/>
      <c r="G135" s="233"/>
      <c r="H135" s="258" t="s">
        <v>595</v>
      </c>
      <c r="I135" s="233"/>
      <c r="J135" s="258" t="s">
        <v>595</v>
      </c>
      <c r="K135" s="233"/>
      <c r="L135" s="233"/>
      <c r="M135" s="258" t="s">
        <v>595</v>
      </c>
      <c r="N135" s="233"/>
      <c r="O135" s="258" t="s">
        <v>595</v>
      </c>
      <c r="P135" s="233"/>
      <c r="Q135" s="233"/>
      <c r="R135" s="233"/>
      <c r="S135" s="233"/>
      <c r="T135" s="233"/>
      <c r="U135" s="258" t="s">
        <v>595</v>
      </c>
      <c r="V135" s="233"/>
      <c r="W135" s="258" t="s">
        <v>595</v>
      </c>
      <c r="X135" s="258" t="s">
        <v>595</v>
      </c>
      <c r="Y135" s="233"/>
      <c r="Z135" s="258" t="s">
        <v>595</v>
      </c>
      <c r="AA135" s="233"/>
      <c r="AB135" s="233"/>
      <c r="AC135" s="233"/>
      <c r="AD135" s="233"/>
      <c r="AE135" s="233"/>
      <c r="AF135" s="258" t="s">
        <v>595</v>
      </c>
      <c r="AG135" s="258" t="s">
        <v>595</v>
      </c>
      <c r="AH135" s="233"/>
      <c r="AI135" s="233"/>
      <c r="AJ135" s="252" t="s">
        <v>595</v>
      </c>
      <c r="AK135" s="258" t="s">
        <v>595</v>
      </c>
      <c r="AL135" s="233"/>
      <c r="AM135" s="233"/>
      <c r="AN135" s="233"/>
      <c r="AO135" s="233"/>
      <c r="AP135" s="233" t="str">
        <f t="shared" si="8"/>
        <v/>
      </c>
      <c r="AQ135" s="250" t="s">
        <v>595</v>
      </c>
      <c r="AR135" s="692"/>
      <c r="AS135" s="233"/>
      <c r="AT135" s="233"/>
      <c r="AU135" s="233"/>
      <c r="AV135" s="233"/>
      <c r="AW135" s="233"/>
      <c r="AX135" s="233"/>
      <c r="AY135" s="233"/>
      <c r="AZ135" s="233"/>
      <c r="BA135" s="233"/>
      <c r="BB135" s="233"/>
      <c r="BC135" s="233"/>
      <c r="BD135" s="233"/>
      <c r="BE135" s="233"/>
      <c r="BF135" s="241"/>
      <c r="BG135" s="241"/>
      <c r="BH135" s="241"/>
      <c r="BI135" s="241"/>
      <c r="BJ135" s="241"/>
      <c r="BK135" s="241"/>
      <c r="BL135" s="241"/>
    </row>
    <row r="136">
      <c r="A136" s="689" t="s">
        <v>410</v>
      </c>
      <c r="B136" s="233"/>
      <c r="C136" s="233"/>
      <c r="D136" s="233"/>
      <c r="E136" s="233"/>
      <c r="F136" s="233"/>
      <c r="G136" s="233"/>
      <c r="H136" s="258" t="s">
        <v>595</v>
      </c>
      <c r="I136" s="233"/>
      <c r="J136" s="233"/>
      <c r="K136" s="233"/>
      <c r="L136" s="233"/>
      <c r="M136" s="233"/>
      <c r="N136" s="233"/>
      <c r="O136" s="233"/>
      <c r="P136" s="233"/>
      <c r="Q136" s="233"/>
      <c r="R136" s="233"/>
      <c r="S136" s="233"/>
      <c r="T136" s="233"/>
      <c r="U136" s="233"/>
      <c r="V136" s="233"/>
      <c r="W136" s="233"/>
      <c r="X136" s="233"/>
      <c r="Y136" s="233"/>
      <c r="Z136" s="258" t="s">
        <v>595</v>
      </c>
      <c r="AA136" s="233"/>
      <c r="AB136" s="233"/>
      <c r="AC136" s="233"/>
      <c r="AD136" s="233"/>
      <c r="AE136" s="233"/>
      <c r="AF136" s="233"/>
      <c r="AG136" s="258" t="s">
        <v>595</v>
      </c>
      <c r="AH136" s="233"/>
      <c r="AI136" s="233"/>
      <c r="AJ136" s="228"/>
      <c r="AK136" s="233"/>
      <c r="AL136" s="233"/>
      <c r="AM136" s="233"/>
      <c r="AN136" s="233"/>
      <c r="AO136" s="233"/>
      <c r="AP136" s="233" t="str">
        <f t="shared" si="8"/>
        <v/>
      </c>
      <c r="AQ136" s="250" t="s">
        <v>595</v>
      </c>
      <c r="AR136" s="692"/>
      <c r="AS136" s="233"/>
      <c r="AT136" s="233"/>
      <c r="AU136" s="233"/>
      <c r="AV136" s="233"/>
      <c r="AW136" s="233"/>
      <c r="AX136" s="233"/>
      <c r="AY136" s="233"/>
      <c r="AZ136" s="233"/>
      <c r="BA136" s="233"/>
      <c r="BB136" s="233"/>
      <c r="BC136" s="233"/>
      <c r="BD136" s="233"/>
      <c r="BE136" s="233"/>
      <c r="BF136" s="241"/>
      <c r="BG136" s="241"/>
      <c r="BH136" s="241"/>
      <c r="BI136" s="241"/>
      <c r="BJ136" s="241"/>
      <c r="BK136" s="241"/>
      <c r="BL136" s="241"/>
    </row>
    <row r="137">
      <c r="A137" s="689" t="s">
        <v>412</v>
      </c>
      <c r="B137" s="233"/>
      <c r="C137" s="233"/>
      <c r="D137" s="233"/>
      <c r="E137" s="233"/>
      <c r="F137" s="233"/>
      <c r="G137" s="233"/>
      <c r="H137" s="233"/>
      <c r="I137" s="233"/>
      <c r="J137" s="233"/>
      <c r="K137" s="233"/>
      <c r="L137" s="233"/>
      <c r="M137" s="233"/>
      <c r="N137" s="258" t="s">
        <v>595</v>
      </c>
      <c r="O137" s="258" t="s">
        <v>595</v>
      </c>
      <c r="P137" s="233"/>
      <c r="Q137" s="233"/>
      <c r="R137" s="233"/>
      <c r="S137" s="233"/>
      <c r="T137" s="233"/>
      <c r="U137" s="233"/>
      <c r="V137" s="233"/>
      <c r="W137" s="233"/>
      <c r="X137" s="233"/>
      <c r="Y137" s="233"/>
      <c r="Z137" s="233"/>
      <c r="AA137" s="233"/>
      <c r="AB137" s="233"/>
      <c r="AC137" s="233"/>
      <c r="AD137" s="233"/>
      <c r="AE137" s="233"/>
      <c r="AF137" s="258" t="s">
        <v>595</v>
      </c>
      <c r="AG137" s="233"/>
      <c r="AH137" s="233"/>
      <c r="AI137" s="233"/>
      <c r="AJ137" s="228"/>
      <c r="AK137" s="258" t="s">
        <v>595</v>
      </c>
      <c r="AL137" s="233"/>
      <c r="AM137" s="233"/>
      <c r="AN137" s="233"/>
      <c r="AO137" s="233"/>
      <c r="AP137" s="233" t="str">
        <f t="shared" si="8"/>
        <v/>
      </c>
      <c r="AQ137" s="250" t="s">
        <v>595</v>
      </c>
      <c r="AR137" s="692"/>
      <c r="AS137" s="233"/>
      <c r="AT137" s="233"/>
      <c r="AU137" s="233"/>
      <c r="AV137" s="233"/>
      <c r="AW137" s="233"/>
      <c r="AX137" s="233"/>
      <c r="AY137" s="233"/>
      <c r="AZ137" s="233"/>
      <c r="BA137" s="233"/>
      <c r="BB137" s="233"/>
      <c r="BC137" s="233"/>
      <c r="BD137" s="233"/>
      <c r="BE137" s="233"/>
      <c r="BF137" s="241"/>
      <c r="BG137" s="241"/>
      <c r="BH137" s="241"/>
      <c r="BI137" s="241"/>
      <c r="BJ137" s="241"/>
      <c r="BK137" s="241"/>
      <c r="BL137" s="241"/>
    </row>
    <row r="138">
      <c r="A138" s="689" t="s">
        <v>413</v>
      </c>
      <c r="B138" s="258" t="s">
        <v>595</v>
      </c>
      <c r="C138" s="233"/>
      <c r="D138" s="233"/>
      <c r="E138" s="258" t="s">
        <v>595</v>
      </c>
      <c r="F138" s="233"/>
      <c r="G138" s="233"/>
      <c r="H138" s="233"/>
      <c r="I138" s="233"/>
      <c r="J138" s="233"/>
      <c r="K138" s="258" t="s">
        <v>595</v>
      </c>
      <c r="L138" s="233"/>
      <c r="M138" s="233"/>
      <c r="N138" s="233"/>
      <c r="O138" s="258" t="s">
        <v>595</v>
      </c>
      <c r="P138" s="233"/>
      <c r="Q138" s="258" t="s">
        <v>595</v>
      </c>
      <c r="R138" s="233"/>
      <c r="S138" s="233"/>
      <c r="T138" s="233"/>
      <c r="U138" s="233"/>
      <c r="V138" s="233"/>
      <c r="W138" s="233"/>
      <c r="X138" s="233"/>
      <c r="Y138" s="233"/>
      <c r="Z138" s="233"/>
      <c r="AA138" s="233"/>
      <c r="AB138" s="233"/>
      <c r="AC138" s="233"/>
      <c r="AD138" s="233"/>
      <c r="AE138" s="233"/>
      <c r="AF138" s="233"/>
      <c r="AG138" s="258" t="s">
        <v>595</v>
      </c>
      <c r="AH138" s="233"/>
      <c r="AI138" s="233"/>
      <c r="AJ138" s="252" t="s">
        <v>595</v>
      </c>
      <c r="AK138" s="233"/>
      <c r="AL138" s="258" t="s">
        <v>595</v>
      </c>
      <c r="AM138" s="233"/>
      <c r="AN138" s="233"/>
      <c r="AO138" s="233"/>
      <c r="AP138" s="233" t="str">
        <f t="shared" si="8"/>
        <v/>
      </c>
      <c r="AQ138" s="250" t="s">
        <v>595</v>
      </c>
      <c r="AR138" s="692"/>
      <c r="AS138" s="233"/>
      <c r="AT138" s="233"/>
      <c r="AU138" s="233"/>
      <c r="AV138" s="233"/>
      <c r="AW138" s="233"/>
      <c r="AX138" s="233"/>
      <c r="AY138" s="233"/>
      <c r="AZ138" s="233"/>
      <c r="BA138" s="233"/>
      <c r="BB138" s="233"/>
      <c r="BC138" s="233"/>
      <c r="BD138" s="233"/>
      <c r="BE138" s="233"/>
      <c r="BF138" s="241"/>
      <c r="BG138" s="241"/>
      <c r="BH138" s="241"/>
      <c r="BI138" s="241"/>
      <c r="BJ138" s="241"/>
      <c r="BK138" s="241"/>
      <c r="BL138" s="241"/>
    </row>
    <row r="139">
      <c r="A139" s="689" t="s">
        <v>414</v>
      </c>
      <c r="B139" s="233"/>
      <c r="C139" s="233"/>
      <c r="D139" s="233"/>
      <c r="E139" s="233"/>
      <c r="F139" s="233"/>
      <c r="G139" s="233"/>
      <c r="H139" s="233"/>
      <c r="I139" s="233"/>
      <c r="J139" s="233"/>
      <c r="K139" s="233"/>
      <c r="L139" s="258" t="s">
        <v>595</v>
      </c>
      <c r="M139" s="233"/>
      <c r="N139" s="233"/>
      <c r="O139" s="233"/>
      <c r="P139" s="233"/>
      <c r="Q139" s="233"/>
      <c r="R139" s="233"/>
      <c r="S139" s="233"/>
      <c r="T139" s="258" t="s">
        <v>595</v>
      </c>
      <c r="U139" s="233"/>
      <c r="V139" s="258" t="s">
        <v>595</v>
      </c>
      <c r="W139" s="233"/>
      <c r="X139" s="233"/>
      <c r="Y139" s="233"/>
      <c r="Z139" s="233"/>
      <c r="AA139" s="258" t="s">
        <v>595</v>
      </c>
      <c r="AB139" s="233"/>
      <c r="AC139" s="233"/>
      <c r="AD139" s="233"/>
      <c r="AE139" s="233"/>
      <c r="AF139" s="233"/>
      <c r="AG139" s="233"/>
      <c r="AH139" s="233"/>
      <c r="AI139" s="233"/>
      <c r="AJ139" s="228"/>
      <c r="AK139" s="258" t="s">
        <v>595</v>
      </c>
      <c r="AL139" s="258" t="s">
        <v>595</v>
      </c>
      <c r="AM139" s="233"/>
      <c r="AN139" s="233"/>
      <c r="AO139" s="233"/>
      <c r="AP139" s="233" t="str">
        <f t="shared" si="8"/>
        <v/>
      </c>
      <c r="AQ139" s="250" t="s">
        <v>595</v>
      </c>
      <c r="AR139" s="692"/>
      <c r="AS139" s="233"/>
      <c r="AT139" s="233"/>
      <c r="AU139" s="233"/>
      <c r="AV139" s="233"/>
      <c r="AW139" s="233"/>
      <c r="AX139" s="233"/>
      <c r="AY139" s="233"/>
      <c r="AZ139" s="233"/>
      <c r="BA139" s="233"/>
      <c r="BB139" s="233"/>
      <c r="BC139" s="233"/>
      <c r="BD139" s="233"/>
      <c r="BE139" s="233"/>
      <c r="BF139" s="241"/>
      <c r="BG139" s="241"/>
      <c r="BH139" s="241"/>
      <c r="BI139" s="241"/>
      <c r="BJ139" s="241"/>
      <c r="BK139" s="241"/>
      <c r="BL139" s="241"/>
    </row>
    <row r="140">
      <c r="A140" s="689" t="s">
        <v>416</v>
      </c>
      <c r="B140" s="233"/>
      <c r="C140" s="233"/>
      <c r="D140" s="258" t="s">
        <v>595</v>
      </c>
      <c r="E140" s="233"/>
      <c r="F140" s="233"/>
      <c r="G140" s="233"/>
      <c r="H140" s="258" t="s">
        <v>595</v>
      </c>
      <c r="I140" s="233"/>
      <c r="J140" s="258" t="s">
        <v>595</v>
      </c>
      <c r="K140" s="258" t="s">
        <v>595</v>
      </c>
      <c r="L140" s="233"/>
      <c r="M140" s="233"/>
      <c r="N140" s="233"/>
      <c r="O140" s="233"/>
      <c r="P140" s="233"/>
      <c r="Q140" s="233"/>
      <c r="R140" s="233"/>
      <c r="S140" s="233"/>
      <c r="T140" s="233"/>
      <c r="U140" s="233"/>
      <c r="V140" s="233"/>
      <c r="W140" s="233"/>
      <c r="X140" s="233"/>
      <c r="Y140" s="233"/>
      <c r="Z140" s="258" t="s">
        <v>595</v>
      </c>
      <c r="AA140" s="258" t="s">
        <v>595</v>
      </c>
      <c r="AB140" s="233"/>
      <c r="AC140" s="233"/>
      <c r="AD140" s="233"/>
      <c r="AE140" s="233"/>
      <c r="AF140" s="233"/>
      <c r="AG140" s="258" t="s">
        <v>595</v>
      </c>
      <c r="AH140" s="258" t="s">
        <v>595</v>
      </c>
      <c r="AI140" s="233"/>
      <c r="AJ140" s="252" t="s">
        <v>595</v>
      </c>
      <c r="AK140" s="233"/>
      <c r="AL140" s="233"/>
      <c r="AM140" s="258" t="s">
        <v>595</v>
      </c>
      <c r="AN140" s="233"/>
      <c r="AO140" s="233"/>
      <c r="AP140" s="233" t="str">
        <f t="shared" si="8"/>
        <v/>
      </c>
      <c r="AQ140" s="250" t="s">
        <v>595</v>
      </c>
      <c r="AR140" s="692"/>
      <c r="AS140" s="233"/>
      <c r="AT140" s="233"/>
      <c r="AU140" s="233"/>
      <c r="AV140" s="233"/>
      <c r="AW140" s="233"/>
      <c r="AX140" s="233"/>
      <c r="AY140" s="233"/>
      <c r="AZ140" s="233"/>
      <c r="BA140" s="233"/>
      <c r="BB140" s="233"/>
      <c r="BC140" s="233"/>
      <c r="BD140" s="233"/>
      <c r="BE140" s="233"/>
      <c r="BF140" s="241"/>
      <c r="BG140" s="241"/>
      <c r="BH140" s="241"/>
      <c r="BI140" s="241"/>
      <c r="BJ140" s="241"/>
      <c r="BK140" s="241"/>
      <c r="BL140" s="241"/>
    </row>
    <row r="141">
      <c r="A141" s="689" t="s">
        <v>420</v>
      </c>
      <c r="B141" s="233"/>
      <c r="C141" s="233"/>
      <c r="D141" s="233"/>
      <c r="E141" s="233"/>
      <c r="F141" s="233"/>
      <c r="G141" s="233"/>
      <c r="H141" s="233"/>
      <c r="I141" s="233"/>
      <c r="J141" s="233"/>
      <c r="K141" s="233"/>
      <c r="L141" s="233"/>
      <c r="M141" s="233"/>
      <c r="N141" s="233"/>
      <c r="O141" s="233"/>
      <c r="P141" s="258" t="s">
        <v>595</v>
      </c>
      <c r="Q141" s="233"/>
      <c r="R141" s="233"/>
      <c r="S141" s="233"/>
      <c r="T141" s="233"/>
      <c r="U141" s="233"/>
      <c r="V141" s="233"/>
      <c r="W141" s="233"/>
      <c r="X141" s="233"/>
      <c r="Y141" s="233"/>
      <c r="Z141" s="233"/>
      <c r="AA141" s="233"/>
      <c r="AB141" s="233"/>
      <c r="AC141" s="233"/>
      <c r="AD141" s="233"/>
      <c r="AE141" s="233"/>
      <c r="AF141" s="233"/>
      <c r="AG141" s="258" t="s">
        <v>595</v>
      </c>
      <c r="AH141" s="233"/>
      <c r="AI141" s="258" t="s">
        <v>595</v>
      </c>
      <c r="AJ141" s="228"/>
      <c r="AK141" s="233"/>
      <c r="AL141" s="233"/>
      <c r="AM141" s="233"/>
      <c r="AN141" s="233"/>
      <c r="AO141" s="233"/>
      <c r="AP141" s="233" t="str">
        <f t="shared" si="8"/>
        <v/>
      </c>
      <c r="AQ141" s="250" t="s">
        <v>595</v>
      </c>
      <c r="AR141" s="692"/>
      <c r="AS141" s="233"/>
      <c r="AT141" s="233"/>
      <c r="AU141" s="233"/>
      <c r="AV141" s="233"/>
      <c r="AW141" s="233"/>
      <c r="AX141" s="233"/>
      <c r="AY141" s="233"/>
      <c r="AZ141" s="233"/>
      <c r="BA141" s="233"/>
      <c r="BB141" s="233"/>
      <c r="BC141" s="233"/>
      <c r="BD141" s="233"/>
      <c r="BE141" s="233"/>
      <c r="BF141" s="241"/>
      <c r="BG141" s="241"/>
      <c r="BH141" s="241"/>
      <c r="BI141" s="241"/>
      <c r="BJ141" s="241"/>
      <c r="BK141" s="241"/>
      <c r="BL141" s="241"/>
    </row>
    <row r="142">
      <c r="A142" s="689" t="s">
        <v>421</v>
      </c>
      <c r="B142" s="233"/>
      <c r="C142" s="233"/>
      <c r="D142" s="233"/>
      <c r="E142" s="233"/>
      <c r="F142" s="233"/>
      <c r="G142" s="233"/>
      <c r="H142" s="233"/>
      <c r="I142" s="233"/>
      <c r="J142" s="233"/>
      <c r="K142" s="233"/>
      <c r="L142" s="233"/>
      <c r="M142" s="233"/>
      <c r="N142" s="258" t="s">
        <v>595</v>
      </c>
      <c r="O142" s="233"/>
      <c r="P142" s="233"/>
      <c r="Q142" s="233"/>
      <c r="R142" s="233"/>
      <c r="S142" s="233"/>
      <c r="T142" s="233"/>
      <c r="U142" s="233"/>
      <c r="V142" s="258" t="s">
        <v>595</v>
      </c>
      <c r="W142" s="233"/>
      <c r="X142" s="233"/>
      <c r="Y142" s="233"/>
      <c r="Z142" s="233"/>
      <c r="AA142" s="233"/>
      <c r="AB142" s="233"/>
      <c r="AC142" s="233"/>
      <c r="AD142" s="233"/>
      <c r="AE142" s="233"/>
      <c r="AF142" s="233"/>
      <c r="AG142" s="233"/>
      <c r="AH142" s="233"/>
      <c r="AI142" s="258" t="s">
        <v>595</v>
      </c>
      <c r="AJ142" s="228"/>
      <c r="AK142" s="258" t="s">
        <v>595</v>
      </c>
      <c r="AL142" s="233"/>
      <c r="AM142" s="258" t="s">
        <v>595</v>
      </c>
      <c r="AN142" s="233"/>
      <c r="AO142" s="233"/>
      <c r="AP142" s="233" t="str">
        <f t="shared" si="8"/>
        <v/>
      </c>
      <c r="AQ142" s="250" t="s">
        <v>595</v>
      </c>
      <c r="AR142" s="692"/>
      <c r="AS142" s="233"/>
      <c r="AT142" s="233"/>
      <c r="AU142" s="233"/>
      <c r="AV142" s="233"/>
      <c r="AW142" s="233"/>
      <c r="AX142" s="233"/>
      <c r="AY142" s="233"/>
      <c r="AZ142" s="233"/>
      <c r="BA142" s="233"/>
      <c r="BB142" s="233"/>
      <c r="BC142" s="233"/>
      <c r="BD142" s="233"/>
      <c r="BE142" s="233"/>
      <c r="BF142" s="241"/>
      <c r="BG142" s="241"/>
      <c r="BH142" s="241"/>
      <c r="BI142" s="241"/>
      <c r="BJ142" s="241"/>
      <c r="BK142" s="241"/>
      <c r="BL142" s="241"/>
    </row>
    <row r="143">
      <c r="A143" s="689" t="s">
        <v>422</v>
      </c>
      <c r="B143" s="233"/>
      <c r="C143" s="233"/>
      <c r="D143" s="233"/>
      <c r="E143" s="258" t="s">
        <v>595</v>
      </c>
      <c r="F143" s="233"/>
      <c r="G143" s="233"/>
      <c r="H143" s="233"/>
      <c r="I143" s="233"/>
      <c r="J143" s="233"/>
      <c r="K143" s="233"/>
      <c r="L143" s="233"/>
      <c r="M143" s="258" t="s">
        <v>595</v>
      </c>
      <c r="N143" s="258" t="s">
        <v>595</v>
      </c>
      <c r="O143" s="233"/>
      <c r="P143" s="233"/>
      <c r="Q143" s="233"/>
      <c r="R143" s="233"/>
      <c r="S143" s="258" t="s">
        <v>595</v>
      </c>
      <c r="T143" s="233"/>
      <c r="U143" s="233"/>
      <c r="V143" s="258" t="s">
        <v>595</v>
      </c>
      <c r="W143" s="233"/>
      <c r="X143" s="233"/>
      <c r="Y143" s="233"/>
      <c r="Z143" s="233"/>
      <c r="AA143" s="258" t="s">
        <v>595</v>
      </c>
      <c r="AB143" s="233"/>
      <c r="AC143" s="233"/>
      <c r="AD143" s="233"/>
      <c r="AE143" s="233"/>
      <c r="AF143" s="258" t="s">
        <v>595</v>
      </c>
      <c r="AG143" s="258" t="s">
        <v>595</v>
      </c>
      <c r="AH143" s="233"/>
      <c r="AI143" s="233"/>
      <c r="AJ143" s="228"/>
      <c r="AK143" s="258" t="s">
        <v>595</v>
      </c>
      <c r="AL143" s="258" t="s">
        <v>595</v>
      </c>
      <c r="AM143" s="233"/>
      <c r="AN143" s="233"/>
      <c r="AO143" s="233"/>
      <c r="AP143" s="233" t="str">
        <f t="shared" si="8"/>
        <v/>
      </c>
      <c r="AQ143" s="250" t="s">
        <v>595</v>
      </c>
      <c r="AR143" s="692"/>
      <c r="AS143" s="233"/>
      <c r="AT143" s="233"/>
      <c r="AU143" s="233"/>
      <c r="AV143" s="233"/>
      <c r="AW143" s="233"/>
      <c r="AX143" s="233"/>
      <c r="AY143" s="233"/>
      <c r="AZ143" s="233"/>
      <c r="BA143" s="233"/>
      <c r="BB143" s="233"/>
      <c r="BC143" s="233"/>
      <c r="BD143" s="233"/>
      <c r="BE143" s="233"/>
      <c r="BF143" s="241"/>
      <c r="BG143" s="241"/>
      <c r="BH143" s="241"/>
      <c r="BI143" s="241"/>
      <c r="BJ143" s="241"/>
      <c r="BK143" s="241"/>
      <c r="BL143" s="241"/>
    </row>
    <row r="144">
      <c r="A144" s="689" t="s">
        <v>423</v>
      </c>
      <c r="B144" s="233"/>
      <c r="C144" s="258" t="s">
        <v>595</v>
      </c>
      <c r="D144" s="258" t="s">
        <v>595</v>
      </c>
      <c r="E144" s="233"/>
      <c r="F144" s="233"/>
      <c r="G144" s="233"/>
      <c r="H144" s="258" t="s">
        <v>595</v>
      </c>
      <c r="I144" s="233"/>
      <c r="J144" s="258" t="s">
        <v>595</v>
      </c>
      <c r="K144" s="233"/>
      <c r="L144" s="233"/>
      <c r="M144" s="233"/>
      <c r="N144" s="233"/>
      <c r="O144" s="258" t="s">
        <v>595</v>
      </c>
      <c r="P144" s="233"/>
      <c r="Q144" s="233"/>
      <c r="R144" s="233"/>
      <c r="S144" s="233"/>
      <c r="T144" s="233"/>
      <c r="U144" s="233"/>
      <c r="V144" s="233"/>
      <c r="W144" s="233"/>
      <c r="X144" s="233"/>
      <c r="Y144" s="233"/>
      <c r="Z144" s="233"/>
      <c r="AA144" s="258" t="s">
        <v>595</v>
      </c>
      <c r="AB144" s="233"/>
      <c r="AC144" s="233"/>
      <c r="AD144" s="233"/>
      <c r="AE144" s="233"/>
      <c r="AF144" s="258" t="s">
        <v>595</v>
      </c>
      <c r="AG144" s="258" t="s">
        <v>595</v>
      </c>
      <c r="AH144" s="233"/>
      <c r="AI144" s="233"/>
      <c r="AJ144" s="228"/>
      <c r="AK144" s="233"/>
      <c r="AL144" s="233"/>
      <c r="AM144" s="233"/>
      <c r="AN144" s="233"/>
      <c r="AO144" s="233"/>
      <c r="AP144" s="233" t="str">
        <f t="shared" si="8"/>
        <v/>
      </c>
      <c r="AQ144" s="250" t="s">
        <v>595</v>
      </c>
      <c r="AR144" s="692"/>
      <c r="AS144" s="233"/>
      <c r="AT144" s="233"/>
      <c r="AU144" s="233"/>
      <c r="AV144" s="233"/>
      <c r="AW144" s="233"/>
      <c r="AX144" s="233"/>
      <c r="AY144" s="233"/>
      <c r="AZ144" s="233"/>
      <c r="BA144" s="233"/>
      <c r="BB144" s="233"/>
      <c r="BC144" s="233"/>
      <c r="BD144" s="233"/>
      <c r="BE144" s="233"/>
      <c r="BF144" s="241"/>
      <c r="BG144" s="241"/>
      <c r="BH144" s="241"/>
      <c r="BI144" s="241"/>
      <c r="BJ144" s="241"/>
      <c r="BK144" s="241"/>
      <c r="BL144" s="241"/>
    </row>
    <row r="145">
      <c r="A145" s="689" t="s">
        <v>424</v>
      </c>
      <c r="B145" s="233"/>
      <c r="C145" s="233"/>
      <c r="D145" s="233"/>
      <c r="E145" s="233"/>
      <c r="F145" s="233"/>
      <c r="G145" s="233"/>
      <c r="H145" s="233"/>
      <c r="I145" s="233"/>
      <c r="J145" s="258" t="s">
        <v>595</v>
      </c>
      <c r="K145" s="258" t="s">
        <v>595</v>
      </c>
      <c r="L145" s="233"/>
      <c r="M145" s="233"/>
      <c r="N145" s="258" t="s">
        <v>595</v>
      </c>
      <c r="O145" s="258" t="s">
        <v>595</v>
      </c>
      <c r="P145" s="233"/>
      <c r="Q145" s="233"/>
      <c r="R145" s="233"/>
      <c r="S145" s="233"/>
      <c r="T145" s="233"/>
      <c r="U145" s="233"/>
      <c r="V145" s="233"/>
      <c r="W145" s="233"/>
      <c r="X145" s="233"/>
      <c r="Y145" s="233"/>
      <c r="Z145" s="233"/>
      <c r="AA145" s="233"/>
      <c r="AB145" s="233"/>
      <c r="AC145" s="233"/>
      <c r="AD145" s="233"/>
      <c r="AE145" s="233"/>
      <c r="AF145" s="233"/>
      <c r="AG145" s="258" t="s">
        <v>595</v>
      </c>
      <c r="AH145" s="233"/>
      <c r="AI145" s="233"/>
      <c r="AJ145" s="228"/>
      <c r="AK145" s="258" t="s">
        <v>595</v>
      </c>
      <c r="AL145" s="233"/>
      <c r="AM145" s="233"/>
      <c r="AN145" s="233"/>
      <c r="AO145" s="233"/>
      <c r="AP145" s="233" t="str">
        <f t="shared" si="8"/>
        <v/>
      </c>
      <c r="AQ145" s="250" t="s">
        <v>595</v>
      </c>
      <c r="AR145" s="692"/>
      <c r="AS145" s="233"/>
      <c r="AT145" s="233"/>
      <c r="AU145" s="233"/>
      <c r="AV145" s="233"/>
      <c r="AW145" s="233"/>
      <c r="AX145" s="233"/>
      <c r="AY145" s="233"/>
      <c r="AZ145" s="233"/>
      <c r="BA145" s="233"/>
      <c r="BB145" s="233"/>
      <c r="BC145" s="233"/>
      <c r="BD145" s="233"/>
      <c r="BE145" s="233"/>
      <c r="BF145" s="241"/>
      <c r="BG145" s="241"/>
      <c r="BH145" s="241"/>
      <c r="BI145" s="241"/>
      <c r="BJ145" s="241"/>
      <c r="BK145" s="241"/>
      <c r="BL145" s="241"/>
    </row>
    <row r="146">
      <c r="A146" s="689" t="s">
        <v>425</v>
      </c>
      <c r="B146" s="258" t="s">
        <v>595</v>
      </c>
      <c r="C146" s="233"/>
      <c r="D146" s="258" t="s">
        <v>595</v>
      </c>
      <c r="E146" s="233"/>
      <c r="F146" s="233"/>
      <c r="G146" s="233"/>
      <c r="H146" s="258" t="s">
        <v>595</v>
      </c>
      <c r="I146" s="233"/>
      <c r="J146" s="250" t="s">
        <v>595</v>
      </c>
      <c r="K146" s="250" t="s">
        <v>595</v>
      </c>
      <c r="L146" s="233"/>
      <c r="M146" s="233"/>
      <c r="N146" s="233"/>
      <c r="O146" s="250" t="s">
        <v>595</v>
      </c>
      <c r="P146" s="250" t="s">
        <v>595</v>
      </c>
      <c r="Q146" s="250" t="s">
        <v>595</v>
      </c>
      <c r="R146" s="250" t="s">
        <v>595</v>
      </c>
      <c r="S146" s="250" t="s">
        <v>595</v>
      </c>
      <c r="T146" s="250" t="s">
        <v>595</v>
      </c>
      <c r="U146" s="250" t="s">
        <v>595</v>
      </c>
      <c r="V146" s="250" t="s">
        <v>595</v>
      </c>
      <c r="W146" s="250" t="s">
        <v>595</v>
      </c>
      <c r="X146" s="250" t="s">
        <v>595</v>
      </c>
      <c r="Y146" s="250" t="s">
        <v>595</v>
      </c>
      <c r="Z146" s="250" t="s">
        <v>595</v>
      </c>
      <c r="AA146" s="250" t="s">
        <v>595</v>
      </c>
      <c r="AB146" s="250" t="s">
        <v>595</v>
      </c>
      <c r="AC146" s="250" t="s">
        <v>595</v>
      </c>
      <c r="AD146" s="233"/>
      <c r="AE146" s="233"/>
      <c r="AF146" s="250" t="s">
        <v>595</v>
      </c>
      <c r="AG146" s="250" t="s">
        <v>595</v>
      </c>
      <c r="AH146" s="250" t="s">
        <v>595</v>
      </c>
      <c r="AI146" s="233"/>
      <c r="AJ146" s="228"/>
      <c r="AK146" s="250" t="s">
        <v>595</v>
      </c>
      <c r="AL146" s="233"/>
      <c r="AM146" s="250" t="s">
        <v>595</v>
      </c>
      <c r="AN146" s="233"/>
      <c r="AO146" s="233"/>
      <c r="AP146" s="250" t="str">
        <f t="shared" si="8"/>
        <v>X</v>
      </c>
      <c r="AQ146" s="250" t="s">
        <v>595</v>
      </c>
      <c r="AR146" s="692"/>
      <c r="AS146" s="233"/>
      <c r="AT146" s="233"/>
      <c r="AU146" s="233"/>
      <c r="AV146" s="233"/>
      <c r="AW146" s="233"/>
      <c r="AX146" s="233"/>
      <c r="AY146" s="233"/>
      <c r="AZ146" s="233"/>
      <c r="BA146" s="233"/>
      <c r="BB146" s="233"/>
      <c r="BC146" s="233"/>
      <c r="BD146" s="233"/>
      <c r="BE146" s="233"/>
      <c r="BF146" s="241"/>
      <c r="BG146" s="241"/>
      <c r="BH146" s="241"/>
      <c r="BI146" s="241"/>
      <c r="BJ146" s="241"/>
      <c r="BK146" s="241"/>
      <c r="BL146" s="241"/>
    </row>
    <row r="147">
      <c r="A147" s="689" t="s">
        <v>426</v>
      </c>
      <c r="B147" s="258" t="s">
        <v>595</v>
      </c>
      <c r="C147" s="233"/>
      <c r="D147" s="258" t="s">
        <v>595</v>
      </c>
      <c r="E147" s="233"/>
      <c r="F147" s="233"/>
      <c r="G147" s="233"/>
      <c r="H147" s="233"/>
      <c r="I147" s="233"/>
      <c r="J147" s="233"/>
      <c r="K147" s="258" t="s">
        <v>595</v>
      </c>
      <c r="L147" s="233"/>
      <c r="M147" s="233"/>
      <c r="N147" s="233"/>
      <c r="O147" s="258" t="s">
        <v>595</v>
      </c>
      <c r="P147" s="233"/>
      <c r="Q147" s="233"/>
      <c r="R147" s="233"/>
      <c r="S147" s="233"/>
      <c r="T147" s="233"/>
      <c r="U147" s="233"/>
      <c r="V147" s="233"/>
      <c r="W147" s="233"/>
      <c r="X147" s="233"/>
      <c r="Y147" s="233"/>
      <c r="Z147" s="233"/>
      <c r="AA147" s="233"/>
      <c r="AB147" s="233"/>
      <c r="AC147" s="233"/>
      <c r="AD147" s="233"/>
      <c r="AE147" s="233"/>
      <c r="AF147" s="233"/>
      <c r="AG147" s="233"/>
      <c r="AH147" s="233"/>
      <c r="AI147" s="233"/>
      <c r="AJ147" s="228"/>
      <c r="AK147" s="233"/>
      <c r="AL147" s="233"/>
      <c r="AM147" s="233"/>
      <c r="AN147" s="233"/>
      <c r="AO147" s="233"/>
      <c r="AP147" s="233" t="str">
        <f t="shared" si="8"/>
        <v/>
      </c>
      <c r="AQ147" s="250" t="s">
        <v>595</v>
      </c>
      <c r="AR147" s="692"/>
      <c r="AS147" s="233"/>
      <c r="AT147" s="233"/>
      <c r="AU147" s="233"/>
      <c r="AV147" s="233"/>
      <c r="AW147" s="233"/>
      <c r="AX147" s="233"/>
      <c r="AY147" s="233"/>
      <c r="AZ147" s="233"/>
      <c r="BA147" s="233"/>
      <c r="BB147" s="233"/>
      <c r="BC147" s="233"/>
      <c r="BD147" s="233"/>
      <c r="BE147" s="233"/>
      <c r="BF147" s="241"/>
      <c r="BG147" s="241"/>
      <c r="BH147" s="241"/>
      <c r="BI147" s="241"/>
      <c r="BJ147" s="241"/>
      <c r="BK147" s="241"/>
      <c r="BL147" s="241"/>
    </row>
    <row r="148">
      <c r="A148" s="689" t="s">
        <v>427</v>
      </c>
      <c r="B148" s="233"/>
      <c r="C148" s="233"/>
      <c r="D148" s="233"/>
      <c r="E148" s="233"/>
      <c r="F148" s="233"/>
      <c r="G148" s="233"/>
      <c r="H148" s="233"/>
      <c r="I148" s="233"/>
      <c r="J148" s="233"/>
      <c r="K148" s="233"/>
      <c r="L148" s="233"/>
      <c r="M148" s="233"/>
      <c r="N148" s="233"/>
      <c r="O148" s="258" t="s">
        <v>595</v>
      </c>
      <c r="P148" s="258" t="s">
        <v>595</v>
      </c>
      <c r="Q148" s="233"/>
      <c r="R148" s="233"/>
      <c r="S148" s="233"/>
      <c r="T148" s="233"/>
      <c r="U148" s="233"/>
      <c r="V148" s="233"/>
      <c r="W148" s="233"/>
      <c r="X148" s="258" t="s">
        <v>595</v>
      </c>
      <c r="Y148" s="233"/>
      <c r="Z148" s="233"/>
      <c r="AA148" s="233"/>
      <c r="AB148" s="233"/>
      <c r="AC148" s="233"/>
      <c r="AD148" s="233"/>
      <c r="AE148" s="233"/>
      <c r="AF148" s="233"/>
      <c r="AG148" s="258" t="s">
        <v>595</v>
      </c>
      <c r="AH148" s="233"/>
      <c r="AI148" s="258" t="s">
        <v>595</v>
      </c>
      <c r="AJ148" s="228"/>
      <c r="AK148" s="233"/>
      <c r="AL148" s="233"/>
      <c r="AM148" s="233"/>
      <c r="AN148" s="233"/>
      <c r="AO148" s="233"/>
      <c r="AP148" s="233" t="str">
        <f t="shared" si="8"/>
        <v/>
      </c>
      <c r="AQ148" s="250" t="s">
        <v>595</v>
      </c>
      <c r="AR148" s="692"/>
      <c r="AS148" s="233"/>
      <c r="AT148" s="233"/>
      <c r="AU148" s="233"/>
      <c r="AV148" s="233"/>
      <c r="AW148" s="233"/>
      <c r="AX148" s="233"/>
      <c r="AY148" s="233"/>
      <c r="AZ148" s="233"/>
      <c r="BA148" s="233"/>
      <c r="BB148" s="233"/>
      <c r="BC148" s="233"/>
      <c r="BD148" s="233"/>
      <c r="BE148" s="233"/>
      <c r="BF148" s="241"/>
      <c r="BG148" s="241"/>
      <c r="BH148" s="241"/>
      <c r="BI148" s="241"/>
      <c r="BJ148" s="241"/>
      <c r="BK148" s="241"/>
      <c r="BL148" s="241"/>
    </row>
    <row r="149">
      <c r="A149" s="689" t="s">
        <v>428</v>
      </c>
      <c r="B149" s="233"/>
      <c r="C149" s="233"/>
      <c r="D149" s="233"/>
      <c r="E149" s="233"/>
      <c r="F149" s="233"/>
      <c r="G149" s="233"/>
      <c r="H149" s="258" t="s">
        <v>595</v>
      </c>
      <c r="I149" s="233"/>
      <c r="J149" s="233"/>
      <c r="K149" s="233"/>
      <c r="L149" s="233"/>
      <c r="M149" s="233"/>
      <c r="N149" s="258" t="s">
        <v>595</v>
      </c>
      <c r="O149" s="258" t="s">
        <v>595</v>
      </c>
      <c r="P149" s="233"/>
      <c r="Q149" s="233"/>
      <c r="R149" s="233"/>
      <c r="S149" s="233"/>
      <c r="T149" s="233"/>
      <c r="U149" s="258" t="s">
        <v>595</v>
      </c>
      <c r="V149" s="233"/>
      <c r="W149" s="233"/>
      <c r="X149" s="233"/>
      <c r="Y149" s="233"/>
      <c r="Z149" s="233"/>
      <c r="AA149" s="258" t="s">
        <v>595</v>
      </c>
      <c r="AB149" s="233"/>
      <c r="AC149" s="233"/>
      <c r="AD149" s="233"/>
      <c r="AE149" s="233"/>
      <c r="AF149" s="233"/>
      <c r="AG149" s="258" t="s">
        <v>595</v>
      </c>
      <c r="AH149" s="233"/>
      <c r="AI149" s="258" t="s">
        <v>595</v>
      </c>
      <c r="AJ149" s="228"/>
      <c r="AK149" s="258" t="s">
        <v>595</v>
      </c>
      <c r="AL149" s="233"/>
      <c r="AM149" s="233"/>
      <c r="AN149" s="233"/>
      <c r="AO149" s="233"/>
      <c r="AP149" s="233" t="str">
        <f t="shared" si="8"/>
        <v/>
      </c>
      <c r="AQ149" s="250" t="s">
        <v>595</v>
      </c>
      <c r="AR149" s="692"/>
      <c r="AS149" s="233"/>
      <c r="AT149" s="233"/>
      <c r="AU149" s="233"/>
      <c r="AV149" s="233"/>
      <c r="AW149" s="233"/>
      <c r="AX149" s="233"/>
      <c r="AY149" s="233"/>
      <c r="AZ149" s="233"/>
      <c r="BA149" s="233"/>
      <c r="BB149" s="233"/>
      <c r="BC149" s="233"/>
      <c r="BD149" s="233"/>
      <c r="BE149" s="233"/>
      <c r="BF149" s="241"/>
      <c r="BG149" s="241"/>
      <c r="BH149" s="241"/>
      <c r="BI149" s="241"/>
      <c r="BJ149" s="241"/>
      <c r="BK149" s="241"/>
      <c r="BL149" s="241"/>
    </row>
    <row r="150">
      <c r="A150" s="689" t="s">
        <v>429</v>
      </c>
      <c r="B150" s="233"/>
      <c r="C150" s="233"/>
      <c r="D150" s="233"/>
      <c r="E150" s="258" t="s">
        <v>595</v>
      </c>
      <c r="F150" s="233"/>
      <c r="G150" s="233"/>
      <c r="H150" s="233"/>
      <c r="I150" s="233"/>
      <c r="J150" s="233"/>
      <c r="K150" s="233"/>
      <c r="L150" s="233"/>
      <c r="M150" s="233"/>
      <c r="N150" s="258" t="s">
        <v>595</v>
      </c>
      <c r="O150" s="258" t="s">
        <v>595</v>
      </c>
      <c r="P150" s="233"/>
      <c r="Q150" s="233"/>
      <c r="R150" s="233"/>
      <c r="S150" s="233"/>
      <c r="T150" s="258" t="s">
        <v>595</v>
      </c>
      <c r="U150" s="233"/>
      <c r="V150" s="233"/>
      <c r="W150" s="233"/>
      <c r="X150" s="233"/>
      <c r="Y150" s="233"/>
      <c r="Z150" s="233"/>
      <c r="AA150" s="233"/>
      <c r="AB150" s="233"/>
      <c r="AC150" s="233"/>
      <c r="AD150" s="233"/>
      <c r="AE150" s="233"/>
      <c r="AF150" s="233"/>
      <c r="AG150" s="258" t="s">
        <v>595</v>
      </c>
      <c r="AH150" s="233"/>
      <c r="AI150" s="258" t="s">
        <v>595</v>
      </c>
      <c r="AJ150" s="228"/>
      <c r="AK150" s="233"/>
      <c r="AL150" s="258" t="s">
        <v>595</v>
      </c>
      <c r="AM150" s="233"/>
      <c r="AN150" s="233"/>
      <c r="AO150" s="233"/>
      <c r="AP150" s="233" t="str">
        <f t="shared" si="8"/>
        <v/>
      </c>
      <c r="AQ150" s="250" t="s">
        <v>595</v>
      </c>
      <c r="AR150" s="692"/>
      <c r="AS150" s="233"/>
      <c r="AT150" s="233"/>
      <c r="AU150" s="233"/>
      <c r="AV150" s="233"/>
      <c r="AW150" s="233"/>
      <c r="AX150" s="233"/>
      <c r="AY150" s="233"/>
      <c r="AZ150" s="233"/>
      <c r="BA150" s="233"/>
      <c r="BB150" s="233"/>
      <c r="BC150" s="233"/>
      <c r="BD150" s="233"/>
      <c r="BE150" s="233"/>
      <c r="BF150" s="241"/>
      <c r="BG150" s="241"/>
      <c r="BH150" s="241"/>
      <c r="BI150" s="241"/>
      <c r="BJ150" s="241"/>
      <c r="BK150" s="241"/>
      <c r="BL150" s="241"/>
    </row>
    <row r="151">
      <c r="A151" s="689" t="s">
        <v>431</v>
      </c>
      <c r="B151" s="233"/>
      <c r="C151" s="258" t="s">
        <v>595</v>
      </c>
      <c r="D151" s="258" t="s">
        <v>595</v>
      </c>
      <c r="E151" s="233"/>
      <c r="F151" s="233"/>
      <c r="G151" s="233"/>
      <c r="H151" s="258" t="s">
        <v>595</v>
      </c>
      <c r="I151" s="233"/>
      <c r="J151" s="233"/>
      <c r="K151" s="233"/>
      <c r="L151" s="233"/>
      <c r="M151" s="233"/>
      <c r="N151" s="233"/>
      <c r="O151" s="258" t="s">
        <v>595</v>
      </c>
      <c r="P151" s="233"/>
      <c r="Q151" s="233"/>
      <c r="R151" s="233"/>
      <c r="S151" s="233"/>
      <c r="T151" s="233"/>
      <c r="U151" s="258" t="s">
        <v>595</v>
      </c>
      <c r="V151" s="233"/>
      <c r="W151" s="258" t="s">
        <v>595</v>
      </c>
      <c r="X151" s="233"/>
      <c r="Y151" s="233"/>
      <c r="Z151" s="233"/>
      <c r="AA151" s="233"/>
      <c r="AB151" s="233"/>
      <c r="AC151" s="233"/>
      <c r="AD151" s="233"/>
      <c r="AE151" s="233"/>
      <c r="AF151" s="233"/>
      <c r="AG151" s="258" t="s">
        <v>595</v>
      </c>
      <c r="AH151" s="233"/>
      <c r="AI151" s="258" t="s">
        <v>595</v>
      </c>
      <c r="AJ151" s="228"/>
      <c r="AK151" s="233"/>
      <c r="AL151" s="233"/>
      <c r="AM151" s="258" t="s">
        <v>595</v>
      </c>
      <c r="AN151" s="233"/>
      <c r="AO151" s="233"/>
      <c r="AP151" s="233" t="str">
        <f t="shared" si="8"/>
        <v/>
      </c>
      <c r="AQ151" s="250" t="s">
        <v>595</v>
      </c>
      <c r="AR151" s="692"/>
      <c r="AS151" s="233"/>
      <c r="AT151" s="233"/>
      <c r="AU151" s="233"/>
      <c r="AV151" s="233"/>
      <c r="AW151" s="233"/>
      <c r="AX151" s="233"/>
      <c r="AY151" s="233"/>
      <c r="AZ151" s="233"/>
      <c r="BA151" s="233"/>
      <c r="BB151" s="233"/>
      <c r="BC151" s="233"/>
      <c r="BD151" s="233"/>
      <c r="BE151" s="233"/>
      <c r="BF151" s="241"/>
      <c r="BG151" s="241"/>
      <c r="BH151" s="241"/>
      <c r="BI151" s="241"/>
      <c r="BJ151" s="241"/>
      <c r="BK151" s="241"/>
      <c r="BL151" s="241"/>
    </row>
    <row r="152">
      <c r="A152" s="689" t="s">
        <v>435</v>
      </c>
      <c r="B152" s="258" t="s">
        <v>595</v>
      </c>
      <c r="C152" s="233"/>
      <c r="D152" s="258" t="s">
        <v>595</v>
      </c>
      <c r="E152" s="233"/>
      <c r="F152" s="233"/>
      <c r="G152" s="233"/>
      <c r="H152" s="258" t="s">
        <v>595</v>
      </c>
      <c r="I152" s="233"/>
      <c r="J152" s="250" t="s">
        <v>595</v>
      </c>
      <c r="K152" s="250" t="s">
        <v>595</v>
      </c>
      <c r="L152" s="233"/>
      <c r="M152" s="233"/>
      <c r="N152" s="233"/>
      <c r="O152" s="233"/>
      <c r="P152" s="233"/>
      <c r="Q152" s="233"/>
      <c r="R152" s="233"/>
      <c r="S152" s="233"/>
      <c r="T152" s="233"/>
      <c r="U152" s="233"/>
      <c r="V152" s="233"/>
      <c r="W152" s="233"/>
      <c r="X152" s="233"/>
      <c r="Y152" s="233"/>
      <c r="Z152" s="233"/>
      <c r="AA152" s="250" t="s">
        <v>595</v>
      </c>
      <c r="AB152" s="250" t="s">
        <v>595</v>
      </c>
      <c r="AC152" s="250" t="s">
        <v>595</v>
      </c>
      <c r="AD152" s="233"/>
      <c r="AE152" s="233"/>
      <c r="AF152" s="233"/>
      <c r="AG152" s="233"/>
      <c r="AH152" s="250" t="s">
        <v>595</v>
      </c>
      <c r="AI152" s="233"/>
      <c r="AJ152" s="252" t="s">
        <v>595</v>
      </c>
      <c r="AK152" s="233"/>
      <c r="AL152" s="233"/>
      <c r="AM152" s="233"/>
      <c r="AN152" s="233"/>
      <c r="AO152" s="233"/>
      <c r="AP152" s="250" t="str">
        <f t="shared" si="8"/>
        <v>X</v>
      </c>
      <c r="AQ152" s="250" t="s">
        <v>595</v>
      </c>
      <c r="AR152" s="692"/>
      <c r="AS152" s="233"/>
      <c r="AT152" s="233"/>
      <c r="AU152" s="233"/>
      <c r="AV152" s="233"/>
      <c r="AW152" s="233"/>
      <c r="AX152" s="233"/>
      <c r="AY152" s="233"/>
      <c r="AZ152" s="233"/>
      <c r="BA152" s="233"/>
      <c r="BB152" s="233"/>
      <c r="BC152" s="233"/>
      <c r="BD152" s="233"/>
      <c r="BE152" s="233"/>
      <c r="BF152" s="241"/>
      <c r="BG152" s="241"/>
      <c r="BH152" s="241"/>
      <c r="BI152" s="241"/>
      <c r="BJ152" s="241"/>
      <c r="BK152" s="241"/>
      <c r="BL152" s="241"/>
    </row>
    <row r="153">
      <c r="A153" s="689" t="s">
        <v>436</v>
      </c>
      <c r="B153" s="233"/>
      <c r="C153" s="233"/>
      <c r="D153" s="258" t="s">
        <v>595</v>
      </c>
      <c r="E153" s="233"/>
      <c r="F153" s="233"/>
      <c r="G153" s="233"/>
      <c r="H153" s="258" t="s">
        <v>595</v>
      </c>
      <c r="I153" s="258" t="s">
        <v>595</v>
      </c>
      <c r="J153" s="258" t="s">
        <v>595</v>
      </c>
      <c r="K153" s="233"/>
      <c r="L153" s="233"/>
      <c r="M153" s="233"/>
      <c r="N153" s="258" t="s">
        <v>595</v>
      </c>
      <c r="O153" s="258" t="s">
        <v>595</v>
      </c>
      <c r="P153" s="233"/>
      <c r="Q153" s="233"/>
      <c r="R153" s="233"/>
      <c r="S153" s="233"/>
      <c r="T153" s="233"/>
      <c r="U153" s="258" t="s">
        <v>595</v>
      </c>
      <c r="V153" s="233"/>
      <c r="W153" s="233"/>
      <c r="X153" s="233"/>
      <c r="Y153" s="233"/>
      <c r="Z153" s="233"/>
      <c r="AA153" s="258" t="s">
        <v>595</v>
      </c>
      <c r="AB153" s="233"/>
      <c r="AC153" s="233"/>
      <c r="AD153" s="233"/>
      <c r="AE153" s="233"/>
      <c r="AF153" s="233"/>
      <c r="AG153" s="233"/>
      <c r="AH153" s="233"/>
      <c r="AI153" s="233"/>
      <c r="AJ153" s="228"/>
      <c r="AK153" s="233"/>
      <c r="AL153" s="233"/>
      <c r="AM153" s="233"/>
      <c r="AN153" s="233"/>
      <c r="AO153" s="233"/>
      <c r="AP153" s="233" t="str">
        <f t="shared" si="8"/>
        <v/>
      </c>
      <c r="AQ153" s="250" t="s">
        <v>595</v>
      </c>
      <c r="AR153" s="692"/>
      <c r="AS153" s="233"/>
      <c r="AT153" s="233"/>
      <c r="AU153" s="233"/>
      <c r="AV153" s="233"/>
      <c r="AW153" s="233"/>
      <c r="AX153" s="233"/>
      <c r="AY153" s="233"/>
      <c r="AZ153" s="233"/>
      <c r="BA153" s="233"/>
      <c r="BB153" s="233"/>
      <c r="BC153" s="233"/>
      <c r="BD153" s="233"/>
      <c r="BE153" s="233"/>
      <c r="BF153" s="241"/>
      <c r="BG153" s="241"/>
      <c r="BH153" s="241"/>
      <c r="BI153" s="241"/>
      <c r="BJ153" s="241"/>
      <c r="BK153" s="241"/>
      <c r="BL153" s="241"/>
    </row>
    <row r="154">
      <c r="A154" s="689" t="s">
        <v>438</v>
      </c>
      <c r="B154" s="233"/>
      <c r="C154" s="233"/>
      <c r="D154" s="233"/>
      <c r="E154" s="233"/>
      <c r="F154" s="233"/>
      <c r="G154" s="233"/>
      <c r="H154" s="233"/>
      <c r="I154" s="233"/>
      <c r="J154" s="233"/>
      <c r="K154" s="233"/>
      <c r="L154" s="258" t="s">
        <v>595</v>
      </c>
      <c r="M154" s="233"/>
      <c r="N154" s="258" t="s">
        <v>595</v>
      </c>
      <c r="O154" s="233"/>
      <c r="P154" s="233"/>
      <c r="Q154" s="233"/>
      <c r="R154" s="233"/>
      <c r="S154" s="233"/>
      <c r="T154" s="233"/>
      <c r="U154" s="233"/>
      <c r="V154" s="233"/>
      <c r="W154" s="233"/>
      <c r="X154" s="233"/>
      <c r="Y154" s="233"/>
      <c r="Z154" s="233"/>
      <c r="AA154" s="258" t="s">
        <v>595</v>
      </c>
      <c r="AB154" s="233"/>
      <c r="AC154" s="233"/>
      <c r="AD154" s="233"/>
      <c r="AE154" s="233"/>
      <c r="AF154" s="233"/>
      <c r="AG154" s="233"/>
      <c r="AH154" s="233"/>
      <c r="AI154" s="258" t="s">
        <v>595</v>
      </c>
      <c r="AJ154" s="228"/>
      <c r="AK154" s="233"/>
      <c r="AL154" s="233"/>
      <c r="AM154" s="258" t="s">
        <v>595</v>
      </c>
      <c r="AN154" s="233"/>
      <c r="AO154" s="233"/>
      <c r="AP154" s="233" t="str">
        <f t="shared" si="8"/>
        <v/>
      </c>
      <c r="AQ154" s="250" t="s">
        <v>595</v>
      </c>
      <c r="AR154" s="692"/>
      <c r="AS154" s="233"/>
      <c r="AT154" s="233"/>
      <c r="AU154" s="233"/>
      <c r="AV154" s="233"/>
      <c r="AW154" s="233"/>
      <c r="AX154" s="233"/>
      <c r="AY154" s="233"/>
      <c r="AZ154" s="233"/>
      <c r="BA154" s="233"/>
      <c r="BB154" s="233"/>
      <c r="BC154" s="233"/>
      <c r="BD154" s="233"/>
      <c r="BE154" s="233"/>
      <c r="BF154" s="241"/>
      <c r="BG154" s="241"/>
      <c r="BH154" s="241"/>
      <c r="BI154" s="241"/>
      <c r="BJ154" s="241"/>
      <c r="BK154" s="241"/>
      <c r="BL154" s="241"/>
    </row>
    <row r="155">
      <c r="A155" s="689" t="s">
        <v>439</v>
      </c>
      <c r="B155" s="233"/>
      <c r="C155" s="233"/>
      <c r="D155" s="258" t="s">
        <v>595</v>
      </c>
      <c r="E155" s="233"/>
      <c r="F155" s="233"/>
      <c r="G155" s="233"/>
      <c r="H155" s="258" t="s">
        <v>595</v>
      </c>
      <c r="I155" s="233"/>
      <c r="J155" s="233"/>
      <c r="K155" s="233"/>
      <c r="L155" s="233"/>
      <c r="M155" s="233"/>
      <c r="N155" s="233"/>
      <c r="O155" s="258" t="s">
        <v>595</v>
      </c>
      <c r="P155" s="258" t="s">
        <v>595</v>
      </c>
      <c r="Q155" s="233"/>
      <c r="R155" s="233"/>
      <c r="S155" s="233"/>
      <c r="T155" s="233"/>
      <c r="U155" s="233"/>
      <c r="V155" s="233"/>
      <c r="W155" s="233"/>
      <c r="X155" s="258" t="s">
        <v>595</v>
      </c>
      <c r="Y155" s="233"/>
      <c r="Z155" s="233"/>
      <c r="AA155" s="233"/>
      <c r="AB155" s="233"/>
      <c r="AC155" s="233"/>
      <c r="AD155" s="233"/>
      <c r="AE155" s="233"/>
      <c r="AF155" s="233"/>
      <c r="AG155" s="258" t="s">
        <v>595</v>
      </c>
      <c r="AH155" s="233"/>
      <c r="AI155" s="258" t="s">
        <v>595</v>
      </c>
      <c r="AJ155" s="228"/>
      <c r="AK155" s="233"/>
      <c r="AL155" s="233"/>
      <c r="AM155" s="233"/>
      <c r="AN155" s="233"/>
      <c r="AO155" s="233"/>
      <c r="AP155" s="233" t="str">
        <f t="shared" si="8"/>
        <v/>
      </c>
      <c r="AQ155" s="250" t="s">
        <v>595</v>
      </c>
      <c r="AR155" s="692"/>
      <c r="AS155" s="233"/>
      <c r="AT155" s="233"/>
      <c r="AU155" s="233"/>
      <c r="AV155" s="233"/>
      <c r="AW155" s="233"/>
      <c r="AX155" s="233"/>
      <c r="AY155" s="233"/>
      <c r="AZ155" s="233"/>
      <c r="BA155" s="233"/>
      <c r="BB155" s="233"/>
      <c r="BC155" s="233"/>
      <c r="BD155" s="233"/>
      <c r="BE155" s="233"/>
      <c r="BF155" s="241"/>
      <c r="BG155" s="241"/>
      <c r="BH155" s="241"/>
      <c r="BI155" s="241"/>
      <c r="BJ155" s="241"/>
      <c r="BK155" s="241"/>
      <c r="BL155" s="241"/>
    </row>
    <row r="156">
      <c r="A156" s="689" t="s">
        <v>441</v>
      </c>
      <c r="B156" s="258" t="s">
        <v>595</v>
      </c>
      <c r="C156" s="233"/>
      <c r="D156" s="233"/>
      <c r="E156" s="258" t="s">
        <v>595</v>
      </c>
      <c r="F156" s="233"/>
      <c r="G156" s="233"/>
      <c r="H156" s="233"/>
      <c r="I156" s="233"/>
      <c r="J156" s="233"/>
      <c r="K156" s="258" t="s">
        <v>595</v>
      </c>
      <c r="L156" s="233"/>
      <c r="M156" s="258" t="s">
        <v>595</v>
      </c>
      <c r="N156" s="258" t="s">
        <v>595</v>
      </c>
      <c r="O156" s="233"/>
      <c r="P156" s="233"/>
      <c r="Q156" s="233"/>
      <c r="R156" s="233"/>
      <c r="S156" s="258" t="s">
        <v>595</v>
      </c>
      <c r="T156" s="233"/>
      <c r="U156" s="233"/>
      <c r="V156" s="233"/>
      <c r="W156" s="233"/>
      <c r="X156" s="233"/>
      <c r="Y156" s="233"/>
      <c r="Z156" s="233"/>
      <c r="AA156" s="258" t="s">
        <v>595</v>
      </c>
      <c r="AB156" s="233"/>
      <c r="AC156" s="233"/>
      <c r="AD156" s="233"/>
      <c r="AE156" s="233"/>
      <c r="AF156" s="258" t="s">
        <v>595</v>
      </c>
      <c r="AG156" s="233"/>
      <c r="AH156" s="233"/>
      <c r="AI156" s="233"/>
      <c r="AJ156" s="228"/>
      <c r="AK156" s="258" t="s">
        <v>595</v>
      </c>
      <c r="AL156" s="258" t="s">
        <v>595</v>
      </c>
      <c r="AM156" s="233"/>
      <c r="AN156" s="233"/>
      <c r="AO156" s="233"/>
      <c r="AP156" s="233" t="str">
        <f t="shared" si="8"/>
        <v/>
      </c>
      <c r="AQ156" s="250" t="s">
        <v>595</v>
      </c>
      <c r="AR156" s="692"/>
      <c r="AS156" s="233"/>
      <c r="AT156" s="233"/>
      <c r="AU156" s="233"/>
      <c r="AV156" s="233"/>
      <c r="AW156" s="233"/>
      <c r="AX156" s="233"/>
      <c r="AY156" s="233"/>
      <c r="AZ156" s="233"/>
      <c r="BA156" s="233"/>
      <c r="BB156" s="233"/>
      <c r="BC156" s="233"/>
      <c r="BD156" s="233"/>
      <c r="BE156" s="233"/>
      <c r="BF156" s="241"/>
      <c r="BG156" s="241"/>
      <c r="BH156" s="241"/>
      <c r="BI156" s="241"/>
      <c r="BJ156" s="241"/>
      <c r="BK156" s="241"/>
      <c r="BL156" s="241"/>
    </row>
    <row r="157">
      <c r="A157" s="689" t="s">
        <v>443</v>
      </c>
      <c r="B157" s="258" t="s">
        <v>595</v>
      </c>
      <c r="C157" s="233"/>
      <c r="D157" s="233"/>
      <c r="E157" s="258" t="s">
        <v>595</v>
      </c>
      <c r="F157" s="233"/>
      <c r="G157" s="233"/>
      <c r="H157" s="233"/>
      <c r="I157" s="233"/>
      <c r="J157" s="233"/>
      <c r="K157" s="233"/>
      <c r="L157" s="233"/>
      <c r="M157" s="233"/>
      <c r="N157" s="233"/>
      <c r="O157" s="258" t="s">
        <v>595</v>
      </c>
      <c r="P157" s="233"/>
      <c r="Q157" s="233"/>
      <c r="R157" s="233"/>
      <c r="S157" s="233"/>
      <c r="T157" s="233"/>
      <c r="U157" s="233"/>
      <c r="V157" s="233"/>
      <c r="W157" s="233"/>
      <c r="X157" s="233"/>
      <c r="Y157" s="233"/>
      <c r="Z157" s="233"/>
      <c r="AA157" s="258" t="s">
        <v>595</v>
      </c>
      <c r="AB157" s="233"/>
      <c r="AC157" s="233"/>
      <c r="AD157" s="233"/>
      <c r="AE157" s="233"/>
      <c r="AF157" s="233"/>
      <c r="AG157" s="258" t="s">
        <v>595</v>
      </c>
      <c r="AH157" s="233"/>
      <c r="AI157" s="233"/>
      <c r="AJ157" s="228"/>
      <c r="AK157" s="233"/>
      <c r="AL157" s="233"/>
      <c r="AM157" s="233"/>
      <c r="AN157" s="233"/>
      <c r="AO157" s="233"/>
      <c r="AP157" s="233" t="str">
        <f t="shared" si="8"/>
        <v/>
      </c>
      <c r="AQ157" s="250" t="s">
        <v>595</v>
      </c>
      <c r="AR157" s="692"/>
      <c r="AS157" s="233"/>
      <c r="AT157" s="233"/>
      <c r="AU157" s="233"/>
      <c r="AV157" s="233"/>
      <c r="AW157" s="233"/>
      <c r="AX157" s="233"/>
      <c r="AY157" s="233"/>
      <c r="AZ157" s="233"/>
      <c r="BA157" s="233"/>
      <c r="BB157" s="233"/>
      <c r="BC157" s="233"/>
      <c r="BD157" s="233"/>
      <c r="BE157" s="233"/>
      <c r="BF157" s="241"/>
      <c r="BG157" s="241"/>
      <c r="BH157" s="241"/>
      <c r="BI157" s="241"/>
      <c r="BJ157" s="241"/>
      <c r="BK157" s="241"/>
      <c r="BL157" s="241"/>
    </row>
    <row r="158">
      <c r="A158" s="689" t="s">
        <v>444</v>
      </c>
      <c r="B158" s="233"/>
      <c r="C158" s="233"/>
      <c r="D158" s="258" t="s">
        <v>595</v>
      </c>
      <c r="E158" s="233"/>
      <c r="F158" s="233"/>
      <c r="G158" s="233"/>
      <c r="H158" s="258" t="s">
        <v>595</v>
      </c>
      <c r="I158" s="233"/>
      <c r="J158" s="233"/>
      <c r="K158" s="233"/>
      <c r="L158" s="233"/>
      <c r="M158" s="233"/>
      <c r="N158" s="233"/>
      <c r="O158" s="258" t="s">
        <v>595</v>
      </c>
      <c r="P158" s="233"/>
      <c r="Q158" s="233"/>
      <c r="R158" s="233"/>
      <c r="S158" s="233"/>
      <c r="T158" s="258" t="s">
        <v>595</v>
      </c>
      <c r="U158" s="258" t="s">
        <v>595</v>
      </c>
      <c r="V158" s="233"/>
      <c r="W158" s="258" t="s">
        <v>595</v>
      </c>
      <c r="X158" s="233"/>
      <c r="Y158" s="233"/>
      <c r="Z158" s="258" t="s">
        <v>595</v>
      </c>
      <c r="AA158" s="258" t="s">
        <v>595</v>
      </c>
      <c r="AB158" s="233"/>
      <c r="AC158" s="233"/>
      <c r="AD158" s="233"/>
      <c r="AE158" s="233"/>
      <c r="AF158" s="233"/>
      <c r="AG158" s="258" t="s">
        <v>595</v>
      </c>
      <c r="AH158" s="233"/>
      <c r="AI158" s="233"/>
      <c r="AJ158" s="252" t="s">
        <v>595</v>
      </c>
      <c r="AK158" s="258" t="s">
        <v>595</v>
      </c>
      <c r="AL158" s="258" t="s">
        <v>595</v>
      </c>
      <c r="AM158" s="233"/>
      <c r="AN158" s="233"/>
      <c r="AO158" s="233"/>
      <c r="AP158" s="233" t="str">
        <f t="shared" si="8"/>
        <v/>
      </c>
      <c r="AQ158" s="250" t="s">
        <v>595</v>
      </c>
      <c r="AR158" s="692"/>
      <c r="AS158" s="233"/>
      <c r="AT158" s="233"/>
      <c r="AU158" s="233"/>
      <c r="AV158" s="233"/>
      <c r="AW158" s="233"/>
      <c r="AX158" s="233"/>
      <c r="AY158" s="233"/>
      <c r="AZ158" s="233"/>
      <c r="BA158" s="233"/>
      <c r="BB158" s="233"/>
      <c r="BC158" s="233"/>
      <c r="BD158" s="233"/>
      <c r="BE158" s="233"/>
      <c r="BF158" s="241"/>
      <c r="BG158" s="241"/>
      <c r="BH158" s="241"/>
      <c r="BI158" s="241"/>
      <c r="BJ158" s="241"/>
      <c r="BK158" s="241"/>
      <c r="BL158" s="241"/>
    </row>
    <row r="159">
      <c r="A159" s="689" t="s">
        <v>445</v>
      </c>
      <c r="B159" s="233"/>
      <c r="C159" s="233"/>
      <c r="D159" s="233"/>
      <c r="E159" s="258" t="s">
        <v>595</v>
      </c>
      <c r="F159" s="233"/>
      <c r="G159" s="233"/>
      <c r="H159" s="233"/>
      <c r="I159" s="258" t="s">
        <v>595</v>
      </c>
      <c r="J159" s="233"/>
      <c r="K159" s="233"/>
      <c r="L159" s="233"/>
      <c r="M159" s="258" t="s">
        <v>595</v>
      </c>
      <c r="N159" s="233"/>
      <c r="O159" s="233"/>
      <c r="P159" s="233"/>
      <c r="Q159" s="233"/>
      <c r="R159" s="233"/>
      <c r="S159" s="233"/>
      <c r="T159" s="233"/>
      <c r="U159" s="233"/>
      <c r="V159" s="233"/>
      <c r="W159" s="233"/>
      <c r="X159" s="233"/>
      <c r="Y159" s="233"/>
      <c r="Z159" s="258" t="s">
        <v>595</v>
      </c>
      <c r="AA159" s="258" t="s">
        <v>595</v>
      </c>
      <c r="AB159" s="233"/>
      <c r="AC159" s="233"/>
      <c r="AD159" s="233"/>
      <c r="AE159" s="233"/>
      <c r="AF159" s="233"/>
      <c r="AG159" s="233"/>
      <c r="AH159" s="233"/>
      <c r="AI159" s="258" t="s">
        <v>595</v>
      </c>
      <c r="AJ159" s="228"/>
      <c r="AK159" s="258" t="s">
        <v>595</v>
      </c>
      <c r="AL159" s="258" t="s">
        <v>595</v>
      </c>
      <c r="AM159" s="233"/>
      <c r="AN159" s="233"/>
      <c r="AO159" s="233"/>
      <c r="AP159" s="233" t="str">
        <f t="shared" si="8"/>
        <v/>
      </c>
      <c r="AQ159" s="250" t="s">
        <v>595</v>
      </c>
      <c r="AR159" s="692"/>
      <c r="AS159" s="233"/>
      <c r="AT159" s="233"/>
      <c r="AU159" s="233"/>
      <c r="AV159" s="233"/>
      <c r="AW159" s="233"/>
      <c r="AX159" s="233"/>
      <c r="AY159" s="233"/>
      <c r="AZ159" s="233"/>
      <c r="BA159" s="233"/>
      <c r="BB159" s="233"/>
      <c r="BC159" s="233"/>
      <c r="BD159" s="233"/>
      <c r="BE159" s="233"/>
      <c r="BF159" s="241"/>
      <c r="BG159" s="241"/>
      <c r="BH159" s="241"/>
      <c r="BI159" s="241"/>
      <c r="BJ159" s="241"/>
      <c r="BK159" s="241"/>
      <c r="BL159" s="241"/>
    </row>
    <row r="160">
      <c r="A160" s="689" t="s">
        <v>446</v>
      </c>
      <c r="B160" s="233"/>
      <c r="C160" s="233"/>
      <c r="D160" s="233"/>
      <c r="E160" s="258" t="s">
        <v>595</v>
      </c>
      <c r="F160" s="233"/>
      <c r="G160" s="233"/>
      <c r="H160" s="233"/>
      <c r="I160" s="233"/>
      <c r="J160" s="233"/>
      <c r="K160" s="233"/>
      <c r="L160" s="233"/>
      <c r="M160" s="233"/>
      <c r="N160" s="233"/>
      <c r="O160" s="258" t="s">
        <v>595</v>
      </c>
      <c r="P160" s="233"/>
      <c r="Q160" s="258" t="s">
        <v>595</v>
      </c>
      <c r="R160" s="233"/>
      <c r="S160" s="258" t="s">
        <v>595</v>
      </c>
      <c r="T160" s="233"/>
      <c r="U160" s="233"/>
      <c r="V160" s="233"/>
      <c r="W160" s="233"/>
      <c r="X160" s="233"/>
      <c r="Y160" s="233"/>
      <c r="Z160" s="233"/>
      <c r="AA160" s="258" t="s">
        <v>595</v>
      </c>
      <c r="AB160" s="233"/>
      <c r="AC160" s="233"/>
      <c r="AD160" s="233"/>
      <c r="AE160" s="233"/>
      <c r="AF160" s="233"/>
      <c r="AG160" s="233"/>
      <c r="AH160" s="233"/>
      <c r="AI160" s="233"/>
      <c r="AJ160" s="252" t="s">
        <v>595</v>
      </c>
      <c r="AK160" s="258" t="s">
        <v>595</v>
      </c>
      <c r="AL160" s="258" t="s">
        <v>595</v>
      </c>
      <c r="AM160" s="233"/>
      <c r="AN160" s="233"/>
      <c r="AO160" s="233"/>
      <c r="AP160" s="233" t="str">
        <f t="shared" si="8"/>
        <v/>
      </c>
      <c r="AQ160" s="250" t="s">
        <v>595</v>
      </c>
      <c r="AR160" s="692"/>
      <c r="AS160" s="233"/>
      <c r="AT160" s="233"/>
      <c r="AU160" s="233"/>
      <c r="AV160" s="233"/>
      <c r="AW160" s="233"/>
      <c r="AX160" s="233"/>
      <c r="AY160" s="233"/>
      <c r="AZ160" s="233"/>
      <c r="BA160" s="233"/>
      <c r="BB160" s="233"/>
      <c r="BC160" s="233"/>
      <c r="BD160" s="233"/>
      <c r="BE160" s="233"/>
      <c r="BF160" s="241"/>
      <c r="BG160" s="241"/>
      <c r="BH160" s="241"/>
      <c r="BI160" s="241"/>
      <c r="BJ160" s="241"/>
      <c r="BK160" s="241"/>
      <c r="BL160" s="241"/>
    </row>
    <row r="161">
      <c r="A161" s="689" t="s">
        <v>447</v>
      </c>
      <c r="B161" s="258" t="s">
        <v>595</v>
      </c>
      <c r="C161" s="233"/>
      <c r="D161" s="258" t="s">
        <v>595</v>
      </c>
      <c r="E161" s="233"/>
      <c r="F161" s="233"/>
      <c r="G161" s="233"/>
      <c r="H161" s="258" t="s">
        <v>595</v>
      </c>
      <c r="I161" s="233"/>
      <c r="J161" s="233"/>
      <c r="K161" s="233"/>
      <c r="L161" s="233"/>
      <c r="M161" s="233"/>
      <c r="N161" s="233"/>
      <c r="O161" s="258" t="s">
        <v>595</v>
      </c>
      <c r="P161" s="233"/>
      <c r="Q161" s="233"/>
      <c r="R161" s="233"/>
      <c r="S161" s="233"/>
      <c r="T161" s="233"/>
      <c r="U161" s="233"/>
      <c r="V161" s="233"/>
      <c r="W161" s="258" t="s">
        <v>595</v>
      </c>
      <c r="X161" s="233"/>
      <c r="Y161" s="233"/>
      <c r="Z161" s="233"/>
      <c r="AA161" s="233"/>
      <c r="AB161" s="233"/>
      <c r="AC161" s="233"/>
      <c r="AD161" s="233"/>
      <c r="AE161" s="233"/>
      <c r="AF161" s="233"/>
      <c r="AG161" s="258" t="s">
        <v>595</v>
      </c>
      <c r="AH161" s="233"/>
      <c r="AI161" s="233"/>
      <c r="AJ161" s="228"/>
      <c r="AK161" s="233"/>
      <c r="AL161" s="233"/>
      <c r="AM161" s="233"/>
      <c r="AN161" s="233"/>
      <c r="AO161" s="233"/>
      <c r="AP161" s="233" t="str">
        <f t="shared" si="8"/>
        <v/>
      </c>
      <c r="AQ161" s="250" t="s">
        <v>595</v>
      </c>
      <c r="AR161" s="692"/>
      <c r="AS161" s="233"/>
      <c r="AT161" s="233"/>
      <c r="AU161" s="233"/>
      <c r="AV161" s="233"/>
      <c r="AW161" s="233"/>
      <c r="AX161" s="233"/>
      <c r="AY161" s="233"/>
      <c r="AZ161" s="233"/>
      <c r="BA161" s="233"/>
      <c r="BB161" s="233"/>
      <c r="BC161" s="233"/>
      <c r="BD161" s="233"/>
      <c r="BE161" s="233"/>
      <c r="BF161" s="241"/>
      <c r="BG161" s="241"/>
      <c r="BH161" s="241"/>
      <c r="BI161" s="241"/>
      <c r="BJ161" s="241"/>
      <c r="BK161" s="241"/>
      <c r="BL161" s="241"/>
    </row>
    <row r="162">
      <c r="A162" s="689" t="s">
        <v>448</v>
      </c>
      <c r="B162" s="233"/>
      <c r="C162" s="233"/>
      <c r="D162" s="233"/>
      <c r="E162" s="233"/>
      <c r="F162" s="233"/>
      <c r="G162" s="233"/>
      <c r="H162" s="233"/>
      <c r="I162" s="233"/>
      <c r="J162" s="233"/>
      <c r="K162" s="233"/>
      <c r="L162" s="233"/>
      <c r="M162" s="233"/>
      <c r="N162" s="233"/>
      <c r="O162" s="233"/>
      <c r="P162" s="258" t="s">
        <v>595</v>
      </c>
      <c r="Q162" s="233"/>
      <c r="R162" s="233"/>
      <c r="S162" s="233"/>
      <c r="T162" s="258" t="s">
        <v>595</v>
      </c>
      <c r="U162" s="233"/>
      <c r="V162" s="233"/>
      <c r="W162" s="233"/>
      <c r="X162" s="233"/>
      <c r="Y162" s="233"/>
      <c r="Z162" s="258" t="s">
        <v>595</v>
      </c>
      <c r="AA162" s="233"/>
      <c r="AB162" s="233"/>
      <c r="AC162" s="233"/>
      <c r="AD162" s="233"/>
      <c r="AE162" s="233"/>
      <c r="AF162" s="233"/>
      <c r="AG162" s="233"/>
      <c r="AH162" s="233"/>
      <c r="AI162" s="258" t="s">
        <v>595</v>
      </c>
      <c r="AJ162" s="228"/>
      <c r="AK162" s="233"/>
      <c r="AL162" s="233"/>
      <c r="AM162" s="233"/>
      <c r="AN162" s="233"/>
      <c r="AO162" s="233"/>
      <c r="AP162" s="233" t="str">
        <f t="shared" si="8"/>
        <v/>
      </c>
      <c r="AQ162" s="250" t="s">
        <v>595</v>
      </c>
      <c r="AR162" s="692"/>
      <c r="AS162" s="233"/>
      <c r="AT162" s="233"/>
      <c r="AU162" s="233"/>
      <c r="AV162" s="233"/>
      <c r="AW162" s="233"/>
      <c r="AX162" s="233"/>
      <c r="AY162" s="233"/>
      <c r="AZ162" s="233"/>
      <c r="BA162" s="233"/>
      <c r="BB162" s="233"/>
      <c r="BC162" s="233"/>
      <c r="BD162" s="233"/>
      <c r="BE162" s="233"/>
      <c r="BF162" s="241"/>
      <c r="BG162" s="241"/>
      <c r="BH162" s="241"/>
      <c r="BI162" s="241"/>
      <c r="BJ162" s="241"/>
      <c r="BK162" s="241"/>
      <c r="BL162" s="241"/>
    </row>
    <row r="163">
      <c r="A163" s="689" t="s">
        <v>449</v>
      </c>
      <c r="B163" s="233"/>
      <c r="C163" s="258" t="s">
        <v>595</v>
      </c>
      <c r="D163" s="233"/>
      <c r="E163" s="233"/>
      <c r="F163" s="233"/>
      <c r="G163" s="233"/>
      <c r="H163" s="233"/>
      <c r="I163" s="258" t="s">
        <v>595</v>
      </c>
      <c r="J163" s="233"/>
      <c r="K163" s="233"/>
      <c r="L163" s="258" t="s">
        <v>595</v>
      </c>
      <c r="M163" s="233"/>
      <c r="N163" s="233"/>
      <c r="O163" s="258" t="s">
        <v>595</v>
      </c>
      <c r="P163" s="233"/>
      <c r="Q163" s="233"/>
      <c r="R163" s="233"/>
      <c r="S163" s="233"/>
      <c r="T163" s="233"/>
      <c r="U163" s="233"/>
      <c r="V163" s="233"/>
      <c r="W163" s="233"/>
      <c r="X163" s="233"/>
      <c r="Y163" s="233"/>
      <c r="Z163" s="258" t="s">
        <v>595</v>
      </c>
      <c r="AA163" s="258" t="s">
        <v>595</v>
      </c>
      <c r="AB163" s="233"/>
      <c r="AC163" s="233"/>
      <c r="AD163" s="233"/>
      <c r="AE163" s="233"/>
      <c r="AF163" s="233"/>
      <c r="AG163" s="233"/>
      <c r="AH163" s="233"/>
      <c r="AI163" s="258" t="s">
        <v>595</v>
      </c>
      <c r="AJ163" s="228"/>
      <c r="AK163" s="233"/>
      <c r="AL163" s="233"/>
      <c r="AM163" s="233"/>
      <c r="AN163" s="233"/>
      <c r="AO163" s="233"/>
      <c r="AP163" s="233" t="str">
        <f t="shared" si="8"/>
        <v/>
      </c>
      <c r="AQ163" s="250" t="s">
        <v>595</v>
      </c>
      <c r="AR163" s="692"/>
      <c r="AS163" s="233"/>
      <c r="AT163" s="233"/>
      <c r="AU163" s="233"/>
      <c r="AV163" s="233"/>
      <c r="AW163" s="233"/>
      <c r="AX163" s="233"/>
      <c r="AY163" s="233"/>
      <c r="AZ163" s="233"/>
      <c r="BA163" s="233"/>
      <c r="BB163" s="233"/>
      <c r="BC163" s="233"/>
      <c r="BD163" s="233"/>
      <c r="BE163" s="233"/>
      <c r="BF163" s="241"/>
      <c r="BG163" s="241"/>
      <c r="BH163" s="241"/>
      <c r="BI163" s="241"/>
      <c r="BJ163" s="241"/>
      <c r="BK163" s="241"/>
      <c r="BL163" s="241"/>
    </row>
    <row r="164">
      <c r="A164" s="689" t="s">
        <v>451</v>
      </c>
      <c r="B164" s="233"/>
      <c r="C164" s="233"/>
      <c r="D164" s="258" t="s">
        <v>595</v>
      </c>
      <c r="E164" s="233"/>
      <c r="F164" s="233"/>
      <c r="G164" s="233"/>
      <c r="H164" s="233"/>
      <c r="I164" s="233"/>
      <c r="J164" s="233"/>
      <c r="K164" s="233"/>
      <c r="L164" s="233"/>
      <c r="M164" s="233"/>
      <c r="N164" s="233"/>
      <c r="O164" s="258" t="s">
        <v>595</v>
      </c>
      <c r="P164" s="233"/>
      <c r="Q164" s="233"/>
      <c r="R164" s="233"/>
      <c r="S164" s="233"/>
      <c r="T164" s="233"/>
      <c r="U164" s="233"/>
      <c r="V164" s="233"/>
      <c r="W164" s="258" t="s">
        <v>595</v>
      </c>
      <c r="X164" s="233"/>
      <c r="Y164" s="233"/>
      <c r="Z164" s="233"/>
      <c r="AA164" s="258" t="s">
        <v>595</v>
      </c>
      <c r="AB164" s="233"/>
      <c r="AC164" s="233"/>
      <c r="AD164" s="233"/>
      <c r="AE164" s="233"/>
      <c r="AF164" s="233"/>
      <c r="AG164" s="258" t="s">
        <v>595</v>
      </c>
      <c r="AH164" s="233"/>
      <c r="AI164" s="233"/>
      <c r="AJ164" s="252" t="s">
        <v>595</v>
      </c>
      <c r="AK164" s="233"/>
      <c r="AL164" s="233"/>
      <c r="AM164" s="233"/>
      <c r="AN164" s="233"/>
      <c r="AO164" s="233"/>
      <c r="AP164" s="233" t="str">
        <f t="shared" si="8"/>
        <v/>
      </c>
      <c r="AQ164" s="250" t="s">
        <v>595</v>
      </c>
      <c r="AR164" s="692"/>
      <c r="AS164" s="233"/>
      <c r="AT164" s="233"/>
      <c r="AU164" s="233"/>
      <c r="AV164" s="233"/>
      <c r="AW164" s="233"/>
      <c r="AX164" s="233"/>
      <c r="AY164" s="233"/>
      <c r="AZ164" s="233"/>
      <c r="BA164" s="233"/>
      <c r="BB164" s="233"/>
      <c r="BC164" s="233"/>
      <c r="BD164" s="233"/>
      <c r="BE164" s="233"/>
      <c r="BF164" s="241"/>
      <c r="BG164" s="241"/>
      <c r="BH164" s="241"/>
      <c r="BI164" s="241"/>
      <c r="BJ164" s="241"/>
      <c r="BK164" s="241"/>
      <c r="BL164" s="241"/>
    </row>
    <row r="165">
      <c r="A165" s="689" t="s">
        <v>452</v>
      </c>
      <c r="B165" s="233"/>
      <c r="C165" s="233"/>
      <c r="D165" s="258" t="s">
        <v>595</v>
      </c>
      <c r="E165" s="233"/>
      <c r="F165" s="233"/>
      <c r="G165" s="233"/>
      <c r="H165" s="233"/>
      <c r="I165" s="233"/>
      <c r="J165" s="258" t="s">
        <v>595</v>
      </c>
      <c r="K165" s="233"/>
      <c r="L165" s="233"/>
      <c r="M165" s="233"/>
      <c r="N165" s="233"/>
      <c r="O165" s="233"/>
      <c r="P165" s="258" t="s">
        <v>595</v>
      </c>
      <c r="Q165" s="233"/>
      <c r="R165" s="233"/>
      <c r="S165" s="233"/>
      <c r="T165" s="233"/>
      <c r="U165" s="233"/>
      <c r="V165" s="233"/>
      <c r="W165" s="233"/>
      <c r="X165" s="233"/>
      <c r="Y165" s="233"/>
      <c r="Z165" s="233"/>
      <c r="AA165" s="233"/>
      <c r="AB165" s="233"/>
      <c r="AC165" s="233"/>
      <c r="AD165" s="233"/>
      <c r="AE165" s="233"/>
      <c r="AF165" s="233"/>
      <c r="AG165" s="233"/>
      <c r="AH165" s="233"/>
      <c r="AI165" s="258" t="s">
        <v>595</v>
      </c>
      <c r="AJ165" s="252" t="s">
        <v>595</v>
      </c>
      <c r="AK165" s="233"/>
      <c r="AL165" s="233"/>
      <c r="AM165" s="233"/>
      <c r="AN165" s="233"/>
      <c r="AO165" s="233"/>
      <c r="AP165" s="233" t="str">
        <f t="shared" si="8"/>
        <v/>
      </c>
      <c r="AQ165" s="250" t="s">
        <v>595</v>
      </c>
      <c r="AR165" s="692"/>
      <c r="AS165" s="233"/>
      <c r="AT165" s="233"/>
      <c r="AU165" s="233"/>
      <c r="AV165" s="233"/>
      <c r="AW165" s="233"/>
      <c r="AX165" s="233"/>
      <c r="AY165" s="233"/>
      <c r="AZ165" s="233"/>
      <c r="BA165" s="233"/>
      <c r="BB165" s="233"/>
      <c r="BC165" s="233"/>
      <c r="BD165" s="233"/>
      <c r="BE165" s="233"/>
      <c r="BF165" s="241"/>
      <c r="BG165" s="241"/>
      <c r="BH165" s="241"/>
      <c r="BI165" s="241"/>
      <c r="BJ165" s="241"/>
      <c r="BK165" s="241"/>
      <c r="BL165" s="241"/>
    </row>
    <row r="166">
      <c r="A166" s="689" t="s">
        <v>453</v>
      </c>
      <c r="B166" s="233"/>
      <c r="C166" s="233"/>
      <c r="D166" s="258" t="s">
        <v>595</v>
      </c>
      <c r="E166" s="233"/>
      <c r="F166" s="233"/>
      <c r="G166" s="233"/>
      <c r="H166" s="233"/>
      <c r="I166" s="233"/>
      <c r="J166" s="233"/>
      <c r="K166" s="233"/>
      <c r="L166" s="233"/>
      <c r="M166" s="233"/>
      <c r="N166" s="233"/>
      <c r="O166" s="258" t="s">
        <v>595</v>
      </c>
      <c r="P166" s="258" t="s">
        <v>595</v>
      </c>
      <c r="Q166" s="233"/>
      <c r="R166" s="233"/>
      <c r="S166" s="233"/>
      <c r="T166" s="233"/>
      <c r="U166" s="233"/>
      <c r="V166" s="233"/>
      <c r="W166" s="258" t="s">
        <v>595</v>
      </c>
      <c r="X166" s="233"/>
      <c r="Y166" s="233"/>
      <c r="Z166" s="233"/>
      <c r="AA166" s="233"/>
      <c r="AB166" s="233"/>
      <c r="AC166" s="233"/>
      <c r="AD166" s="233"/>
      <c r="AE166" s="233"/>
      <c r="AF166" s="233"/>
      <c r="AG166" s="233"/>
      <c r="AH166" s="233"/>
      <c r="AI166" s="233"/>
      <c r="AJ166" s="228"/>
      <c r="AK166" s="258" t="s">
        <v>595</v>
      </c>
      <c r="AL166" s="233"/>
      <c r="AM166" s="258" t="s">
        <v>595</v>
      </c>
      <c r="AN166" s="233"/>
      <c r="AO166" s="233"/>
      <c r="AP166" s="233" t="str">
        <f t="shared" si="8"/>
        <v/>
      </c>
      <c r="AQ166" s="250" t="s">
        <v>595</v>
      </c>
      <c r="AR166" s="692"/>
      <c r="AS166" s="233"/>
      <c r="AT166" s="233"/>
      <c r="AU166" s="233"/>
      <c r="AV166" s="233"/>
      <c r="AW166" s="233"/>
      <c r="AX166" s="233"/>
      <c r="AY166" s="233"/>
      <c r="AZ166" s="233"/>
      <c r="BA166" s="233"/>
      <c r="BB166" s="233"/>
      <c r="BC166" s="233"/>
      <c r="BD166" s="233"/>
      <c r="BE166" s="233"/>
      <c r="BF166" s="241"/>
      <c r="BG166" s="241"/>
      <c r="BH166" s="241"/>
      <c r="BI166" s="241"/>
      <c r="BJ166" s="241"/>
      <c r="BK166" s="241"/>
      <c r="BL166" s="241"/>
    </row>
    <row r="167">
      <c r="A167" s="262"/>
      <c r="B167" s="233"/>
      <c r="C167" s="233"/>
      <c r="D167" s="233"/>
      <c r="E167" s="233"/>
      <c r="F167" s="233"/>
      <c r="G167" s="233"/>
      <c r="H167" s="233"/>
      <c r="I167" s="233"/>
      <c r="J167" s="233"/>
      <c r="K167" s="233"/>
      <c r="L167" s="233"/>
      <c r="M167" s="233"/>
      <c r="N167" s="233"/>
      <c r="O167" s="233"/>
      <c r="P167" s="233"/>
      <c r="Q167" s="233"/>
      <c r="R167" s="233"/>
      <c r="S167" s="233"/>
      <c r="T167" s="233"/>
      <c r="U167" s="233"/>
      <c r="V167" s="233"/>
      <c r="W167" s="233"/>
      <c r="X167" s="233"/>
      <c r="Y167" s="233"/>
      <c r="Z167" s="233"/>
      <c r="AA167" s="233"/>
      <c r="AB167" s="233"/>
      <c r="AC167" s="233"/>
      <c r="AD167" s="233"/>
      <c r="AE167" s="233"/>
      <c r="AF167" s="233"/>
      <c r="AG167" s="233"/>
      <c r="AH167" s="233"/>
      <c r="AI167" s="233"/>
      <c r="AJ167" s="228"/>
      <c r="AK167" s="233"/>
      <c r="AL167" s="233"/>
      <c r="AM167" s="233"/>
      <c r="AN167" s="233"/>
      <c r="AO167" s="233"/>
      <c r="AP167" s="233"/>
      <c r="AQ167" s="233"/>
      <c r="AR167" s="692"/>
      <c r="AS167" s="233"/>
      <c r="AT167" s="233"/>
      <c r="AU167" s="233"/>
      <c r="AV167" s="233"/>
      <c r="AW167" s="233"/>
      <c r="AX167" s="233"/>
      <c r="AY167" s="233"/>
      <c r="AZ167" s="233"/>
      <c r="BA167" s="233"/>
      <c r="BB167" s="233"/>
      <c r="BC167" s="233"/>
      <c r="BD167" s="233"/>
      <c r="BE167" s="233"/>
      <c r="BF167" s="241"/>
      <c r="BG167" s="241"/>
      <c r="BH167" s="241"/>
      <c r="BI167" s="241"/>
      <c r="BJ167" s="241"/>
      <c r="BK167" s="241"/>
      <c r="BL167" s="241"/>
    </row>
    <row r="168">
      <c r="A168" s="635" t="s">
        <v>819</v>
      </c>
      <c r="B168" s="632" t="s">
        <v>726</v>
      </c>
      <c r="C168" s="656" t="s">
        <v>729</v>
      </c>
      <c r="D168" s="656" t="s">
        <v>231</v>
      </c>
      <c r="E168" s="656" t="s">
        <v>261</v>
      </c>
      <c r="F168" s="660" t="s">
        <v>820</v>
      </c>
      <c r="G168" s="656" t="s">
        <v>730</v>
      </c>
      <c r="H168" s="656" t="s">
        <v>299</v>
      </c>
      <c r="I168" s="656" t="s">
        <v>777</v>
      </c>
      <c r="J168" s="656" t="s">
        <v>394</v>
      </c>
      <c r="K168" s="656" t="s">
        <v>437</v>
      </c>
      <c r="L168" s="656" t="s">
        <v>478</v>
      </c>
      <c r="M168" s="656" t="s">
        <v>778</v>
      </c>
      <c r="N168" s="656" t="s">
        <v>543</v>
      </c>
      <c r="O168" s="656" t="s">
        <v>580</v>
      </c>
      <c r="P168" s="656" t="s">
        <v>779</v>
      </c>
      <c r="Q168" s="656" t="s">
        <v>780</v>
      </c>
      <c r="R168" s="656" t="s">
        <v>781</v>
      </c>
      <c r="S168" s="656" t="s">
        <v>782</v>
      </c>
      <c r="T168" s="656" t="s">
        <v>783</v>
      </c>
      <c r="U168" s="656" t="s">
        <v>784</v>
      </c>
      <c r="V168" s="656" t="s">
        <v>785</v>
      </c>
      <c r="W168" s="656" t="s">
        <v>786</v>
      </c>
      <c r="X168" s="656" t="s">
        <v>787</v>
      </c>
      <c r="Y168" s="656" t="s">
        <v>788</v>
      </c>
      <c r="Z168" s="656" t="s">
        <v>789</v>
      </c>
      <c r="AA168" s="656" t="s">
        <v>657</v>
      </c>
      <c r="AB168" s="656" t="s">
        <v>737</v>
      </c>
      <c r="AC168" s="656" t="s">
        <v>737</v>
      </c>
      <c r="AD168" s="656" t="s">
        <v>738</v>
      </c>
      <c r="AE168" s="656" t="s">
        <v>738</v>
      </c>
      <c r="AF168" s="656" t="s">
        <v>673</v>
      </c>
      <c r="AG168" s="656" t="s">
        <v>687</v>
      </c>
      <c r="AH168" s="656" t="s">
        <v>790</v>
      </c>
      <c r="AI168" s="656" t="s">
        <v>791</v>
      </c>
      <c r="AJ168" s="629" t="s">
        <v>723</v>
      </c>
      <c r="AK168" s="656" t="s">
        <v>728</v>
      </c>
      <c r="AL168" s="656" t="s">
        <v>740</v>
      </c>
      <c r="AM168" s="656" t="s">
        <v>792</v>
      </c>
      <c r="AN168" s="656" t="s">
        <v>757</v>
      </c>
      <c r="AO168" s="656" t="s">
        <v>794</v>
      </c>
      <c r="AP168" s="632" t="s">
        <v>743</v>
      </c>
      <c r="AQ168" s="632" t="s">
        <v>744</v>
      </c>
      <c r="AR168" s="678"/>
      <c r="AS168" s="632" t="s">
        <v>745</v>
      </c>
      <c r="AT168" s="632" t="s">
        <v>746</v>
      </c>
      <c r="AU168" s="632" t="s">
        <v>747</v>
      </c>
      <c r="AV168" s="632" t="s">
        <v>748</v>
      </c>
      <c r="AW168" s="632" t="s">
        <v>749</v>
      </c>
      <c r="AX168" s="632" t="s">
        <v>750</v>
      </c>
      <c r="AY168" s="632" t="s">
        <v>751</v>
      </c>
      <c r="AZ168" s="632" t="s">
        <v>752</v>
      </c>
      <c r="BA168" s="632" t="s">
        <v>753</v>
      </c>
      <c r="BB168" s="632" t="s">
        <v>754</v>
      </c>
      <c r="BC168" s="632" t="s">
        <v>755</v>
      </c>
      <c r="BD168" s="632" t="s">
        <v>756</v>
      </c>
      <c r="BE168" s="680"/>
      <c r="BF168" s="241"/>
      <c r="BG168" s="241"/>
      <c r="BH168" s="241"/>
      <c r="BI168" s="241"/>
      <c r="BJ168" s="241"/>
      <c r="BK168" s="241"/>
      <c r="BL168" s="241"/>
    </row>
    <row r="169">
      <c r="A169" s="385" t="s">
        <v>463</v>
      </c>
      <c r="B169" s="734" t="str">
        <f>IFERROR(__xludf.DUMMYFUNCTION("if(REGEXMATCH(AR169,$B$168),""X"","""")"),"X")</f>
        <v>X</v>
      </c>
      <c r="C169" s="734" t="str">
        <f>IFERROR(__xludf.DUMMYFUNCTION("if(REGEXMATCH(AR169,$C$168),""X"","""")"),"")</f>
        <v/>
      </c>
      <c r="D169" s="734" t="str">
        <f>IFERROR(__xludf.DUMMYFUNCTION("if(REGEXMATCH(AR169,$D$168),""X"","""")"),"")</f>
        <v/>
      </c>
      <c r="E169" s="734" t="str">
        <f>IFERROR(__xludf.DUMMYFUNCTION("if(REGEXMATCH(AR169,$E$168),""X"","""")"),"X")</f>
        <v>X</v>
      </c>
      <c r="F169" s="734" t="str">
        <f>IFERROR(__xludf.DUMMYFUNCTION("if(REGEXMATCH(AR169,$F$168),""X"","""")"),"X")</f>
        <v>X</v>
      </c>
      <c r="G169" s="734" t="str">
        <f t="shared" ref="G169:G220" si="9">F169</f>
        <v>X</v>
      </c>
      <c r="H169" s="734" t="str">
        <f>IFERROR(__xludf.DUMMYFUNCTION("if(REGEXMATCH(AR169,$H$168),""X"","""")"),"")</f>
        <v/>
      </c>
      <c r="I169" s="734" t="str">
        <f>IFERROR(__xludf.DUMMYFUNCTION("if(REGEXMATCH(AR169,$I$168),""X"","""")"),"")</f>
        <v/>
      </c>
      <c r="J169" s="734" t="str">
        <f>IFERROR(__xludf.DUMMYFUNCTION("if(REGEXMATCH(AR169,$J$168),""X"","""")"),"")</f>
        <v/>
      </c>
      <c r="K169" s="734" t="str">
        <f>IFERROR(__xludf.DUMMYFUNCTION("if(REGEXMATCH(AR169,$K$168),""X"","""")"),"")</f>
        <v/>
      </c>
      <c r="L169" s="734" t="str">
        <f>IFERROR(__xludf.DUMMYFUNCTION("if(REGEXMATCH(AR169,$L$168),""X"","""")"),"")</f>
        <v/>
      </c>
      <c r="M169" s="734" t="str">
        <f>IFERROR(__xludf.DUMMYFUNCTION("if(REGEXMATCH(AR169,$M$168),""X"","""")"),"")</f>
        <v/>
      </c>
      <c r="N169" s="734" t="str">
        <f>IFERROR(__xludf.DUMMYFUNCTION("if(REGEXMATCH(AR169,$N$168),""X"","""")"),"")</f>
        <v/>
      </c>
      <c r="O169" s="734" t="str">
        <f>IFERROR(__xludf.DUMMYFUNCTION("if(REGEXMATCH(AR169,$O$168),""X"","""")"),"X")</f>
        <v>X</v>
      </c>
      <c r="P169" s="734" t="str">
        <f>IFERROR(__xludf.DUMMYFUNCTION("if(REGEXMATCH(AR169,""(all)""),""X"",if(REGEXMATCH(AR169,""arcana""),""X"",""""))"),"X")</f>
        <v>X</v>
      </c>
      <c r="Q169" s="734" t="str">
        <f>IFERROR(__xludf.DUMMYFUNCTION("if(REGEXMATCH(AR169,""(all)""),""X"",if(REGEXMATCH(AR169,""dungeoneering""),""X"",""""))"),"")</f>
        <v/>
      </c>
      <c r="R169" s="734" t="str">
        <f>IFERROR(__xludf.DUMMYFUNCTION("if(REGEXMATCH(AR169,""(all)""),""X"",if(REGEXMATCH(AR169,""engineering""),""X"",""""))"),"X")</f>
        <v>X</v>
      </c>
      <c r="S169" s="734" t="str">
        <f>IFERROR(__xludf.DUMMYFUNCTION("if(REGEXMATCH(AR169,""(all)""),""X"",if(REGEXMATCH(AR169,""geography""),""X"",""""))"),"")</f>
        <v/>
      </c>
      <c r="T169" s="734" t="str">
        <f>IFERROR(__xludf.DUMMYFUNCTION("if(REGEXMATCH(AR169,""(all)""),""X"",if(REGEXMATCH(AR169,""history""),""X"",""""))"),"")</f>
        <v/>
      </c>
      <c r="U169" s="734" t="str">
        <f>IFERROR(__xludf.DUMMYFUNCTION("if(REGEXMATCH(AR169,""(all)""),""X"",if(REGEXMATCH(AR169,""local""),""X"",""""))"),"")</f>
        <v/>
      </c>
      <c r="V169" s="734" t="str">
        <f>IFERROR(__xludf.DUMMYFUNCTION("if(REGEXMATCH(AR169,""(all)""),""X"",if(REGEXMATCH(AR169,""nature""),""X"",""""))"),"")</f>
        <v/>
      </c>
      <c r="W169" s="734" t="str">
        <f>IFERROR(__xludf.DUMMYFUNCTION("if(REGEXMATCH(AR169,""(all)""),""X"",if(REGEXMATCH(AR169,""nobility""),""X"",""""))"),"X")</f>
        <v>X</v>
      </c>
      <c r="X169" s="734" t="str">
        <f>IFERROR(__xludf.DUMMYFUNCTION("if(REGEXMATCH(AR169,""(all)""),""X"",if(REGEXMATCH(AR169,""planes""),""X"",""""))"),"")</f>
        <v/>
      </c>
      <c r="Y169" s="734" t="str">
        <f>IFERROR(__xludf.DUMMYFUNCTION("if(REGEXMATCH(AR169,""(all)""),""X"",if(REGEXMATCH(AR169,""religion""),""X"",""""))"),"")</f>
        <v/>
      </c>
      <c r="Z169" s="734" t="str">
        <f>IFERROR(__xludf.DUMMYFUNCTION("if(REGEXMATCH(AR169,$Z$168),""X"","""")"),"")</f>
        <v/>
      </c>
      <c r="AA169" s="734" t="str">
        <f>IFERROR(__xludf.DUMMYFUNCTION("if(REGEXMATCH(AR169,$AA$168),""X"","""")"),"X")</f>
        <v>X</v>
      </c>
      <c r="AB169" s="734" t="str">
        <f>IFERROR(__xludf.DUMMYFUNCTION("if(REGEXMATCH(AR169,""Perform""),""X"","""")"),"")</f>
        <v/>
      </c>
      <c r="AC169" s="734" t="str">
        <f t="shared" ref="AC169:AC220" si="10">AB169</f>
        <v/>
      </c>
      <c r="AD169" s="734" t="str">
        <f>IFERROR(__xludf.DUMMYFUNCTION("if(REGEXMATCH(AR169,""Profession""),""X"","""")"),"X")</f>
        <v>X</v>
      </c>
      <c r="AE169" s="734" t="str">
        <f t="shared" ref="AE169:AE220" si="11">AD169</f>
        <v>X</v>
      </c>
      <c r="AF169" s="734" t="str">
        <f>IFERROR(__xludf.DUMMYFUNCTION("if(REGEXMATCH(AR169,$AF$168),""X"","""")"),"X")</f>
        <v>X</v>
      </c>
      <c r="AG169" s="734" t="str">
        <f>IFERROR(__xludf.DUMMYFUNCTION("if(REGEXMATCH(AR169,$AG$168),""X"","""")"),"")</f>
        <v/>
      </c>
      <c r="AH169" s="734" t="str">
        <f>IFERROR(__xludf.DUMMYFUNCTION("if(REGEXMATCH(AR169,$AH$168),""X"","""")"),"")</f>
        <v/>
      </c>
      <c r="AI169" s="734" t="str">
        <f>IFERROR(__xludf.DUMMYFUNCTION("if(REGEXMATCH(AR169,$AI$168),""X"","""")"),"X")</f>
        <v>X</v>
      </c>
      <c r="AJ169" s="739" t="str">
        <f>IFERROR(__xludf.DUMMYFUNCTION("if(REGEXMATCH(AR169,$AJ$168),""X"","""")"),"")</f>
        <v/>
      </c>
      <c r="AK169" s="734" t="str">
        <f>IFERROR(__xludf.DUMMYFUNCTION("if(REGEXMATCH(AR169,$AK$168),""X"","""")"),"")</f>
        <v/>
      </c>
      <c r="AL169" s="734" t="str">
        <f>IFERROR(__xludf.DUMMYFUNCTION("if(REGEXMATCH(AR169,$AL$168),""X"","""")"),"X")</f>
        <v>X</v>
      </c>
      <c r="AM169" s="734" t="str">
        <f>IFERROR(__xludf.DUMMYFUNCTION("if(REGEXMATCH(AR169,$AM$168),""X"","""")"),"X")</f>
        <v>X</v>
      </c>
      <c r="AN169" s="734"/>
      <c r="AO169" s="734"/>
      <c r="AP169" s="734" t="str">
        <f>IFERROR(__xludf.DUMMYFUNCTION("if(REGEXMATCH(AR169,""Craft""),""X"","""")"),"X")</f>
        <v>X</v>
      </c>
      <c r="AQ169" s="734" t="str">
        <f>IFERROR(__xludf.DUMMYFUNCTION("if(REGEXMATCH(AR169,""Knowledge""),""X"","""")"),"X")</f>
        <v>X</v>
      </c>
      <c r="AR169" s="740" t="s">
        <v>825</v>
      </c>
      <c r="AS169" s="233"/>
      <c r="AT169" s="233"/>
      <c r="AU169" s="233"/>
      <c r="AV169" s="233"/>
      <c r="AW169" s="233"/>
      <c r="AX169" s="233"/>
      <c r="AY169" s="233"/>
      <c r="AZ169" s="233"/>
      <c r="BA169" s="233"/>
      <c r="BB169" s="233"/>
      <c r="BC169" s="233"/>
      <c r="BD169" s="233"/>
      <c r="BE169" s="233"/>
      <c r="BF169" s="241"/>
      <c r="BG169" s="241"/>
      <c r="BH169" s="241"/>
      <c r="BI169" s="241"/>
      <c r="BJ169" s="241"/>
      <c r="BK169" s="241"/>
      <c r="BL169" s="241"/>
    </row>
    <row r="170">
      <c r="A170" s="385" t="s">
        <v>471</v>
      </c>
      <c r="B170" s="734" t="str">
        <f>IFERROR(__xludf.DUMMYFUNCTION("if(REGEXMATCH(AR170,$B$168),""X"","""")"),"X")</f>
        <v>X</v>
      </c>
      <c r="C170" s="734" t="str">
        <f>IFERROR(__xludf.DUMMYFUNCTION("if(REGEXMATCH(AR170,$C$168),""X"","""")"),"")</f>
        <v/>
      </c>
      <c r="D170" s="734" t="str">
        <f>IFERROR(__xludf.DUMMYFUNCTION("if(REGEXMATCH(AR170,$D$168),""X"","""")"),"X")</f>
        <v>X</v>
      </c>
      <c r="E170" s="734" t="str">
        <f>IFERROR(__xludf.DUMMYFUNCTION("if(REGEXMATCH(AR170,$E$168),""X"","""")"),"X")</f>
        <v>X</v>
      </c>
      <c r="F170" s="734" t="str">
        <f>IFERROR(__xludf.DUMMYFUNCTION("if(REGEXMATCH(AR170,$F$168),""X"","""")"),"X")</f>
        <v>X</v>
      </c>
      <c r="G170" s="734" t="str">
        <f t="shared" si="9"/>
        <v>X</v>
      </c>
      <c r="H170" s="734" t="str">
        <f>IFERROR(__xludf.DUMMYFUNCTION("if(REGEXMATCH(AR170,$H$168),""X"","""")"),"")</f>
        <v/>
      </c>
      <c r="I170" s="734" t="str">
        <f>IFERROR(__xludf.DUMMYFUNCTION("if(REGEXMATCH(AR170,$I$168),""X"","""")"),"")</f>
        <v/>
      </c>
      <c r="J170" s="734" t="str">
        <f>IFERROR(__xludf.DUMMYFUNCTION("if(REGEXMATCH(AR170,$J$168),""X"","""")"),"")</f>
        <v/>
      </c>
      <c r="K170" s="734" t="str">
        <f>IFERROR(__xludf.DUMMYFUNCTION("if(REGEXMATCH(AR170,$K$168),""X"","""")"),"X")</f>
        <v>X</v>
      </c>
      <c r="L170" s="734" t="str">
        <f>IFERROR(__xludf.DUMMYFUNCTION("if(REGEXMATCH(AR170,$L$168),""X"","""")"),"X")</f>
        <v>X</v>
      </c>
      <c r="M170" s="734" t="str">
        <f>IFERROR(__xludf.DUMMYFUNCTION("if(REGEXMATCH(AR170,$M$168),""X"","""")"),"")</f>
        <v/>
      </c>
      <c r="N170" s="734" t="str">
        <f>IFERROR(__xludf.DUMMYFUNCTION("if(REGEXMATCH(AR170,$N$168),""X"","""")"),"")</f>
        <v/>
      </c>
      <c r="O170" s="734" t="str">
        <f>IFERROR(__xludf.DUMMYFUNCTION("if(REGEXMATCH(AR170,$O$168),""X"","""")"),"X")</f>
        <v>X</v>
      </c>
      <c r="P170" s="734" t="str">
        <f>IFERROR(__xludf.DUMMYFUNCTION("if(REGEXMATCH(AR170,""(all)""),""X"",if(REGEXMATCH(AR170,""arcana""),""X"",""""))"),"X")</f>
        <v>X</v>
      </c>
      <c r="Q170" s="734" t="str">
        <f>IFERROR(__xludf.DUMMYFUNCTION("if(REGEXMATCH(AR170,""(all)""),""X"",if(REGEXMATCH(AR170,""dungeoneering""),""X"",""""))"),"")</f>
        <v/>
      </c>
      <c r="R170" s="734" t="str">
        <f>IFERROR(__xludf.DUMMYFUNCTION("if(REGEXMATCH(AR170,""(all)""),""X"",if(REGEXMATCH(AR170,""engineering""),""X"",""""))"),"")</f>
        <v/>
      </c>
      <c r="S170" s="734" t="str">
        <f>IFERROR(__xludf.DUMMYFUNCTION("if(REGEXMATCH(AR170,""(all)""),""X"",if(REGEXMATCH(AR170,""geography""),""X"",""""))"),"")</f>
        <v/>
      </c>
      <c r="T170" s="734" t="str">
        <f>IFERROR(__xludf.DUMMYFUNCTION("if(REGEXMATCH(AR170,""(all)""),""X"",if(REGEXMATCH(AR170,""history""),""X"",""""))"),"")</f>
        <v/>
      </c>
      <c r="U170" s="734" t="str">
        <f>IFERROR(__xludf.DUMMYFUNCTION("if(REGEXMATCH(AR170,""(all)""),""X"",if(REGEXMATCH(AR170,""local""),""X"",""""))"),"")</f>
        <v/>
      </c>
      <c r="V170" s="734" t="str">
        <f>IFERROR(__xludf.DUMMYFUNCTION("if(REGEXMATCH(AR170,""(all)""),""X"",if(REGEXMATCH(AR170,""nature""),""X"",""""))"),"X")</f>
        <v>X</v>
      </c>
      <c r="W170" s="734" t="str">
        <f>IFERROR(__xludf.DUMMYFUNCTION("if(REGEXMATCH(AR170,""(all)""),""X"",if(REGEXMATCH(AR170,""nobility""),""X"",""""))"),"")</f>
        <v/>
      </c>
      <c r="X170" s="734" t="str">
        <f>IFERROR(__xludf.DUMMYFUNCTION("if(REGEXMATCH(AR170,""(all)""),""X"",if(REGEXMATCH(AR170,""planes""),""X"",""""))"),"X")</f>
        <v>X</v>
      </c>
      <c r="Y170" s="734" t="str">
        <f>IFERROR(__xludf.DUMMYFUNCTION("if(REGEXMATCH(AR170,""(all)""),""X"",if(REGEXMATCH(AR170,""religion""),""X"",""""))"),"")</f>
        <v/>
      </c>
      <c r="Z170" s="734" t="str">
        <f>IFERROR(__xludf.DUMMYFUNCTION("if(REGEXMATCH(AR170,$Z$168),""X"","""")"),"")</f>
        <v/>
      </c>
      <c r="AA170" s="734" t="str">
        <f>IFERROR(__xludf.DUMMYFUNCTION("if(REGEXMATCH(AR170,$AA$168),""X"","""")"),"X")</f>
        <v>X</v>
      </c>
      <c r="AB170" s="734" t="str">
        <f>IFERROR(__xludf.DUMMYFUNCTION("if(REGEXMATCH(AR170,""Perform""),""X"","""")"),"")</f>
        <v/>
      </c>
      <c r="AC170" s="734" t="str">
        <f t="shared" si="10"/>
        <v/>
      </c>
      <c r="AD170" s="734" t="str">
        <f>IFERROR(__xludf.DUMMYFUNCTION("if(REGEXMATCH(AR170,""Profession""),""X"","""")"),"X")</f>
        <v>X</v>
      </c>
      <c r="AE170" s="734" t="str">
        <f t="shared" si="11"/>
        <v>X</v>
      </c>
      <c r="AF170" s="734" t="str">
        <f>IFERROR(__xludf.DUMMYFUNCTION("if(REGEXMATCH(AR170,$AF$168),""X"","""")"),"")</f>
        <v/>
      </c>
      <c r="AG170" s="734" t="str">
        <f>IFERROR(__xludf.DUMMYFUNCTION("if(REGEXMATCH(AR170,$AG$168),""X"","""")"),"")</f>
        <v/>
      </c>
      <c r="AH170" s="734" t="str">
        <f>IFERROR(__xludf.DUMMYFUNCTION("if(REGEXMATCH(AR170,$AH$168),""X"","""")"),"")</f>
        <v/>
      </c>
      <c r="AI170" s="734" t="str">
        <f>IFERROR(__xludf.DUMMYFUNCTION("if(REGEXMATCH(AR170,$AI$168),""X"","""")"),"X")</f>
        <v>X</v>
      </c>
      <c r="AJ170" s="739" t="str">
        <f>IFERROR(__xludf.DUMMYFUNCTION("if(REGEXMATCH(AR170,$AJ$168),""X"","""")"),"X")</f>
        <v>X</v>
      </c>
      <c r="AK170" s="734" t="str">
        <f>IFERROR(__xludf.DUMMYFUNCTION("if(REGEXMATCH(AR170,$AK$168),""X"","""")"),"X")</f>
        <v>X</v>
      </c>
      <c r="AL170" s="734" t="str">
        <f>IFERROR(__xludf.DUMMYFUNCTION("if(REGEXMATCH(AR170,$AL$168),""X"","""")"),"X")</f>
        <v>X</v>
      </c>
      <c r="AM170" s="734" t="str">
        <f>IFERROR(__xludf.DUMMYFUNCTION("if(REGEXMATCH(AR170,$AM$168),""X"","""")"),"")</f>
        <v/>
      </c>
      <c r="AN170" s="734"/>
      <c r="AO170" s="734"/>
      <c r="AP170" s="734" t="str">
        <f>IFERROR(__xludf.DUMMYFUNCTION("if(REGEXMATCH(AR170,""Craft""),""X"","""")"),"X")</f>
        <v>X</v>
      </c>
      <c r="AQ170" s="734" t="str">
        <f>IFERROR(__xludf.DUMMYFUNCTION("if(REGEXMATCH(AR170,""Knowledge""),""X"","""")"),"X")</f>
        <v>X</v>
      </c>
      <c r="AR170" s="740" t="s">
        <v>826</v>
      </c>
      <c r="AS170" s="233"/>
      <c r="AT170" s="233"/>
      <c r="AU170" s="233"/>
      <c r="AV170" s="233"/>
      <c r="AW170" s="233"/>
      <c r="AX170" s="233"/>
      <c r="AY170" s="233"/>
      <c r="AZ170" s="233"/>
      <c r="BA170" s="233"/>
      <c r="BB170" s="233"/>
      <c r="BC170" s="233"/>
      <c r="BD170" s="233"/>
      <c r="BE170" s="233"/>
      <c r="BF170" s="241"/>
      <c r="BG170" s="241"/>
      <c r="BH170" s="241"/>
      <c r="BI170" s="241"/>
      <c r="BJ170" s="241"/>
      <c r="BK170" s="241"/>
      <c r="BL170" s="241"/>
    </row>
    <row r="171">
      <c r="A171" s="385" t="s">
        <v>472</v>
      </c>
      <c r="B171" s="734" t="str">
        <f>IFERROR(__xludf.DUMMYFUNCTION("if(REGEXMATCH(AR171,$B$168),""X"","""")"),"X")</f>
        <v>X</v>
      </c>
      <c r="C171" s="734" t="str">
        <f>IFERROR(__xludf.DUMMYFUNCTION("if(REGEXMATCH(AR171,$C$168),""X"","""")"),"")</f>
        <v/>
      </c>
      <c r="D171" s="734" t="str">
        <f>IFERROR(__xludf.DUMMYFUNCTION("if(REGEXMATCH(AR171,$D$168),""X"","""")"),"X")</f>
        <v>X</v>
      </c>
      <c r="E171" s="734" t="str">
        <f>IFERROR(__xludf.DUMMYFUNCTION("if(REGEXMATCH(AR171,$E$168),""X"","""")"),"X")</f>
        <v>X</v>
      </c>
      <c r="F171" s="734" t="str">
        <f>IFERROR(__xludf.DUMMYFUNCTION("if(REGEXMATCH(AR171,$F$168),""X"","""")"),"X")</f>
        <v>X</v>
      </c>
      <c r="G171" s="734" t="str">
        <f t="shared" si="9"/>
        <v>X</v>
      </c>
      <c r="H171" s="734" t="str">
        <f>IFERROR(__xludf.DUMMYFUNCTION("if(REGEXMATCH(AR171,$H$168),""X"","""")"),"X")</f>
        <v>X</v>
      </c>
      <c r="I171" s="734" t="str">
        <f>IFERROR(__xludf.DUMMYFUNCTION("if(REGEXMATCH(AR171,$I$168),""X"","""")"),"")</f>
        <v/>
      </c>
      <c r="J171" s="734" t="str">
        <f>IFERROR(__xludf.DUMMYFUNCTION("if(REGEXMATCH(AR171,$J$168),""X"","""")"),"X")</f>
        <v>X</v>
      </c>
      <c r="K171" s="734" t="str">
        <f>IFERROR(__xludf.DUMMYFUNCTION("if(REGEXMATCH(AR171,$K$168),""X"","""")"),"")</f>
        <v/>
      </c>
      <c r="L171" s="734" t="str">
        <f>IFERROR(__xludf.DUMMYFUNCTION("if(REGEXMATCH(AR171,$L$168),""X"","""")"),"")</f>
        <v/>
      </c>
      <c r="M171" s="734" t="str">
        <f>IFERROR(__xludf.DUMMYFUNCTION("if(REGEXMATCH(AR171,$M$168),""X"","""")"),"X")</f>
        <v>X</v>
      </c>
      <c r="N171" s="734" t="str">
        <f>IFERROR(__xludf.DUMMYFUNCTION("if(REGEXMATCH(AR171,$N$168),""X"","""")"),"")</f>
        <v/>
      </c>
      <c r="O171" s="734" t="str">
        <f>IFERROR(__xludf.DUMMYFUNCTION("if(REGEXMATCH(AR171,$O$168),""X"","""")"),"X")</f>
        <v>X</v>
      </c>
      <c r="P171" s="734" t="str">
        <f>IFERROR(__xludf.DUMMYFUNCTION("if(REGEXMATCH(AR171,""(all)""),""X"",if(REGEXMATCH(AR171,""arcana""),""X"",""""))"),"")</f>
        <v/>
      </c>
      <c r="Q171" s="734" t="str">
        <f>IFERROR(__xludf.DUMMYFUNCTION("if(REGEXMATCH(AR171,""(all)""),""X"",if(REGEXMATCH(AR171,""dungeoneering""),""X"",""""))"),"")</f>
        <v/>
      </c>
      <c r="R171" s="734" t="str">
        <f>IFERROR(__xludf.DUMMYFUNCTION("if(REGEXMATCH(AR171,""(all)""),""X"",if(REGEXMATCH(AR171,""engineering""),""X"",""""))"),"")</f>
        <v/>
      </c>
      <c r="S171" s="734" t="str">
        <f>IFERROR(__xludf.DUMMYFUNCTION("if(REGEXMATCH(AR171,""(all)""),""X"",if(REGEXMATCH(AR171,""geography""),""X"",""""))"),"")</f>
        <v/>
      </c>
      <c r="T171" s="734" t="str">
        <f>IFERROR(__xludf.DUMMYFUNCTION("if(REGEXMATCH(AR171,""(all)""),""X"",if(REGEXMATCH(AR171,""history""),""X"",""""))"),"")</f>
        <v/>
      </c>
      <c r="U171" s="734" t="str">
        <f>IFERROR(__xludf.DUMMYFUNCTION("if(REGEXMATCH(AR171,""(all)""),""X"",if(REGEXMATCH(AR171,""local""),""X"",""""))"),"X")</f>
        <v>X</v>
      </c>
      <c r="V171" s="734" t="str">
        <f>IFERROR(__xludf.DUMMYFUNCTION("if(REGEXMATCH(AR171,""(all)""),""X"",if(REGEXMATCH(AR171,""nature""),""X"",""""))"),"")</f>
        <v/>
      </c>
      <c r="W171" s="734" t="str">
        <f>IFERROR(__xludf.DUMMYFUNCTION("if(REGEXMATCH(AR171,""(all)""),""X"",if(REGEXMATCH(AR171,""nobility""),""X"",""""))"),"X")</f>
        <v>X</v>
      </c>
      <c r="X171" s="734" t="str">
        <f>IFERROR(__xludf.DUMMYFUNCTION("if(REGEXMATCH(AR171,""(all)""),""X"",if(REGEXMATCH(AR171,""planes""),""X"",""""))"),"")</f>
        <v/>
      </c>
      <c r="Y171" s="734" t="str">
        <f>IFERROR(__xludf.DUMMYFUNCTION("if(REGEXMATCH(AR171,""(all)""),""X"",if(REGEXMATCH(AR171,""religion""),""X"",""""))"),"")</f>
        <v/>
      </c>
      <c r="Z171" s="734" t="str">
        <f>IFERROR(__xludf.DUMMYFUNCTION("if(REGEXMATCH(AR171,$Z$168),""X"","""")"),"X")</f>
        <v>X</v>
      </c>
      <c r="AA171" s="734" t="str">
        <f>IFERROR(__xludf.DUMMYFUNCTION("if(REGEXMATCH(AR171,$AA$168),""X"","""")"),"")</f>
        <v/>
      </c>
      <c r="AB171" s="734" t="str">
        <f>IFERROR(__xludf.DUMMYFUNCTION("if(REGEXMATCH(AR171,""Perform""),""X"","""")"),"X")</f>
        <v>X</v>
      </c>
      <c r="AC171" s="734" t="str">
        <f t="shared" si="10"/>
        <v>X</v>
      </c>
      <c r="AD171" s="734" t="str">
        <f>IFERROR(__xludf.DUMMYFUNCTION("if(REGEXMATCH(AR171,""Profession""),""X"","""")"),"X")</f>
        <v>X</v>
      </c>
      <c r="AE171" s="734" t="str">
        <f t="shared" si="11"/>
        <v>X</v>
      </c>
      <c r="AF171" s="734" t="str">
        <f>IFERROR(__xludf.DUMMYFUNCTION("if(REGEXMATCH(AR171,$AF$168),""X"","""")"),"")</f>
        <v/>
      </c>
      <c r="AG171" s="734" t="str">
        <f>IFERROR(__xludf.DUMMYFUNCTION("if(REGEXMATCH(AR171,$AG$168),""X"","""")"),"X")</f>
        <v>X</v>
      </c>
      <c r="AH171" s="734" t="str">
        <f>IFERROR(__xludf.DUMMYFUNCTION("if(REGEXMATCH(AR171,$AH$168),""X"","""")"),"")</f>
        <v/>
      </c>
      <c r="AI171" s="734" t="str">
        <f>IFERROR(__xludf.DUMMYFUNCTION("if(REGEXMATCH(AR171,$AI$168),""X"","""")"),"X")</f>
        <v>X</v>
      </c>
      <c r="AJ171" s="739" t="str">
        <f>IFERROR(__xludf.DUMMYFUNCTION("if(REGEXMATCH(AR171,$AJ$168),""X"","""")"),"X")</f>
        <v>X</v>
      </c>
      <c r="AK171" s="734" t="str">
        <f>IFERROR(__xludf.DUMMYFUNCTION("if(REGEXMATCH(AR171,$AK$168),""X"","""")"),"")</f>
        <v/>
      </c>
      <c r="AL171" s="734" t="str">
        <f>IFERROR(__xludf.DUMMYFUNCTION("if(REGEXMATCH(AR171,$AL$168),""X"","""")"),"")</f>
        <v/>
      </c>
      <c r="AM171" s="734" t="str">
        <f>IFERROR(__xludf.DUMMYFUNCTION("if(REGEXMATCH(AR171,$AM$168),""X"","""")"),"X")</f>
        <v>X</v>
      </c>
      <c r="AN171" s="734"/>
      <c r="AO171" s="734"/>
      <c r="AP171" s="734" t="str">
        <f>IFERROR(__xludf.DUMMYFUNCTION("if(REGEXMATCH(AR171,""Craft""),""X"","""")"),"X")</f>
        <v>X</v>
      </c>
      <c r="AQ171" s="734" t="str">
        <f>IFERROR(__xludf.DUMMYFUNCTION("if(REGEXMATCH(AR171,""Knowledge""),""X"","""")"),"X")</f>
        <v>X</v>
      </c>
      <c r="AR171" s="740" t="s">
        <v>828</v>
      </c>
      <c r="AS171" s="233"/>
      <c r="AT171" s="233"/>
      <c r="AU171" s="233"/>
      <c r="AV171" s="233"/>
      <c r="AW171" s="233"/>
      <c r="AX171" s="233"/>
      <c r="AY171" s="233"/>
      <c r="AZ171" s="233"/>
      <c r="BA171" s="233"/>
      <c r="BB171" s="233"/>
      <c r="BC171" s="233"/>
      <c r="BD171" s="233"/>
      <c r="BE171" s="233"/>
      <c r="BF171" s="241"/>
      <c r="BG171" s="241"/>
      <c r="BH171" s="241"/>
      <c r="BI171" s="241"/>
      <c r="BJ171" s="241"/>
      <c r="BK171" s="241"/>
      <c r="BL171" s="241"/>
    </row>
    <row r="172">
      <c r="A172" s="385" t="s">
        <v>473</v>
      </c>
      <c r="B172" s="734" t="str">
        <f>IFERROR(__xludf.DUMMYFUNCTION("if(REGEXMATCH(AR172,$B$168),""X"","""")"),"")</f>
        <v/>
      </c>
      <c r="C172" s="734" t="str">
        <f>IFERROR(__xludf.DUMMYFUNCTION("if(REGEXMATCH(AR172,$C$168),""X"","""")"),"X")</f>
        <v>X</v>
      </c>
      <c r="D172" s="734" t="str">
        <f>IFERROR(__xludf.DUMMYFUNCTION("if(REGEXMATCH(AR172,$D$168),""X"","""")"),"X")</f>
        <v>X</v>
      </c>
      <c r="E172" s="734" t="str">
        <f>IFERROR(__xludf.DUMMYFUNCTION("if(REGEXMATCH(AR172,$E$168),""X"","""")"),"")</f>
        <v/>
      </c>
      <c r="F172" s="734" t="str">
        <f>IFERROR(__xludf.DUMMYFUNCTION("if(REGEXMATCH(AR172,$F$168),""X"","""")"),"X")</f>
        <v>X</v>
      </c>
      <c r="G172" s="734" t="str">
        <f t="shared" si="9"/>
        <v>X</v>
      </c>
      <c r="H172" s="734" t="str">
        <f>IFERROR(__xludf.DUMMYFUNCTION("if(REGEXMATCH(AR172,$H$168),""X"","""")"),"")</f>
        <v/>
      </c>
      <c r="I172" s="734" t="str">
        <f>IFERROR(__xludf.DUMMYFUNCTION("if(REGEXMATCH(AR172,$I$168),""X"","""")"),"")</f>
        <v/>
      </c>
      <c r="J172" s="734" t="str">
        <f>IFERROR(__xludf.DUMMYFUNCTION("if(REGEXMATCH(AR172,$J$168),""X"","""")"),"X")</f>
        <v>X</v>
      </c>
      <c r="K172" s="734" t="str">
        <f>IFERROR(__xludf.DUMMYFUNCTION("if(REGEXMATCH(AR172,$K$168),""X"","""")"),"X")</f>
        <v>X</v>
      </c>
      <c r="L172" s="734" t="str">
        <f>IFERROR(__xludf.DUMMYFUNCTION("if(REGEXMATCH(AR172,$L$168),""X"","""")"),"")</f>
        <v/>
      </c>
      <c r="M172" s="734" t="str">
        <f>IFERROR(__xludf.DUMMYFUNCTION("if(REGEXMATCH(AR172,$M$168),""X"","""")"),"")</f>
        <v/>
      </c>
      <c r="N172" s="734" t="str">
        <f>IFERROR(__xludf.DUMMYFUNCTION("if(REGEXMATCH(AR172,$N$168),""X"","""")"),"")</f>
        <v/>
      </c>
      <c r="O172" s="734" t="str">
        <f>IFERROR(__xludf.DUMMYFUNCTION("if(REGEXMATCH(AR172,$O$168),""X"","""")"),"X")</f>
        <v>X</v>
      </c>
      <c r="P172" s="734" t="str">
        <f>IFERROR(__xludf.DUMMYFUNCTION("if(REGEXMATCH(AR172,""(all)""),""X"",if(REGEXMATCH(AR172,""arcana""),""X"",""""))"),"X")</f>
        <v>X</v>
      </c>
      <c r="Q172" s="734" t="str">
        <f>IFERROR(__xludf.DUMMYFUNCTION("if(REGEXMATCH(AR172,""(all)""),""X"",if(REGEXMATCH(AR172,""dungeoneering""),""X"",""""))"),"")</f>
        <v/>
      </c>
      <c r="R172" s="734" t="str">
        <f>IFERROR(__xludf.DUMMYFUNCTION("if(REGEXMATCH(AR172,""(all)""),""X"",if(REGEXMATCH(AR172,""engineering""),""X"",""""))"),"")</f>
        <v/>
      </c>
      <c r="S172" s="734" t="str">
        <f>IFERROR(__xludf.DUMMYFUNCTION("if(REGEXMATCH(AR172,""(all)""),""X"",if(REGEXMATCH(AR172,""geography""),""X"",""""))"),"")</f>
        <v/>
      </c>
      <c r="T172" s="734" t="str">
        <f>IFERROR(__xludf.DUMMYFUNCTION("if(REGEXMATCH(AR172,""(all)""),""X"",if(REGEXMATCH(AR172,""history""),""X"",""""))"),"")</f>
        <v/>
      </c>
      <c r="U172" s="734" t="str">
        <f>IFERROR(__xludf.DUMMYFUNCTION("if(REGEXMATCH(AR172,""(all)""),""X"",if(REGEXMATCH(AR172,""local""),""X"",""""))"),"X")</f>
        <v>X</v>
      </c>
      <c r="V172" s="734" t="str">
        <f>IFERROR(__xludf.DUMMYFUNCTION("if(REGEXMATCH(AR172,""(all)""),""X"",if(REGEXMATCH(AR172,""nature""),""X"",""""))"),"X")</f>
        <v>X</v>
      </c>
      <c r="W172" s="734" t="str">
        <f>IFERROR(__xludf.DUMMYFUNCTION("if(REGEXMATCH(AR172,""(all)""),""X"",if(REGEXMATCH(AR172,""nobility""),""X"",""""))"),"")</f>
        <v/>
      </c>
      <c r="X172" s="734" t="str">
        <f>IFERROR(__xludf.DUMMYFUNCTION("if(REGEXMATCH(AR172,""(all)""),""X"",if(REGEXMATCH(AR172,""planes""),""X"",""""))"),"")</f>
        <v/>
      </c>
      <c r="Y172" s="734" t="str">
        <f>IFERROR(__xludf.DUMMYFUNCTION("if(REGEXMATCH(AR172,""(all)""),""X"",if(REGEXMATCH(AR172,""religion""),""X"",""""))"),"")</f>
        <v/>
      </c>
      <c r="Z172" s="734" t="str">
        <f>IFERROR(__xludf.DUMMYFUNCTION("if(REGEXMATCH(AR172,$Z$168),""X"","""")"),"X")</f>
        <v>X</v>
      </c>
      <c r="AA172" s="734" t="str">
        <f>IFERROR(__xludf.DUMMYFUNCTION("if(REGEXMATCH(AR172,$AA$168),""X"","""")"),"X")</f>
        <v>X</v>
      </c>
      <c r="AB172" s="734" t="str">
        <f>IFERROR(__xludf.DUMMYFUNCTION("if(REGEXMATCH(AR172,""Perform""),""X"","""")"),"X")</f>
        <v>X</v>
      </c>
      <c r="AC172" s="734" t="str">
        <f t="shared" si="10"/>
        <v>X</v>
      </c>
      <c r="AD172" s="734" t="str">
        <f>IFERROR(__xludf.DUMMYFUNCTION("if(REGEXMATCH(AR172,""Profession""),""X"","""")"),"")</f>
        <v/>
      </c>
      <c r="AE172" s="734" t="str">
        <f t="shared" si="11"/>
        <v/>
      </c>
      <c r="AF172" s="734" t="str">
        <f>IFERROR(__xludf.DUMMYFUNCTION("if(REGEXMATCH(AR172,$AF$168),""X"","""")"),"")</f>
        <v/>
      </c>
      <c r="AG172" s="734" t="str">
        <f>IFERROR(__xludf.DUMMYFUNCTION("if(REGEXMATCH(AR172,$AG$168),""X"","""")"),"X")</f>
        <v>X</v>
      </c>
      <c r="AH172" s="734" t="str">
        <f>IFERROR(__xludf.DUMMYFUNCTION("if(REGEXMATCH(AR172,$AH$168),""X"","""")"),"X")</f>
        <v>X</v>
      </c>
      <c r="AI172" s="734" t="str">
        <f>IFERROR(__xludf.DUMMYFUNCTION("if(REGEXMATCH(AR172,$AI$168),""X"","""")"),"X")</f>
        <v>X</v>
      </c>
      <c r="AJ172" s="739" t="str">
        <f>IFERROR(__xludf.DUMMYFUNCTION("if(REGEXMATCH(AR172,$AJ$168),""X"","""")"),"X")</f>
        <v>X</v>
      </c>
      <c r="AK172" s="734" t="str">
        <f>IFERROR(__xludf.DUMMYFUNCTION("if(REGEXMATCH(AR172,$AK$168),""X"","""")"),"")</f>
        <v/>
      </c>
      <c r="AL172" s="734" t="str">
        <f>IFERROR(__xludf.DUMMYFUNCTION("if(REGEXMATCH(AR172,$AL$168),""X"","""")"),"")</f>
        <v/>
      </c>
      <c r="AM172" s="734" t="str">
        <f>IFERROR(__xludf.DUMMYFUNCTION("if(REGEXMATCH(AR172,$AM$168),""X"","""")"),"X")</f>
        <v>X</v>
      </c>
      <c r="AN172" s="734"/>
      <c r="AO172" s="734"/>
      <c r="AP172" s="734" t="str">
        <f>IFERROR(__xludf.DUMMYFUNCTION("if(REGEXMATCH(AR172,""Craft""),""X"","""")"),"X")</f>
        <v>X</v>
      </c>
      <c r="AQ172" s="734" t="str">
        <f>IFERROR(__xludf.DUMMYFUNCTION("if(REGEXMATCH(AR172,""Knowledge""),""X"","""")"),"X")</f>
        <v>X</v>
      </c>
      <c r="AR172" s="740" t="s">
        <v>831</v>
      </c>
      <c r="AS172" s="233"/>
      <c r="AT172" s="233"/>
      <c r="AU172" s="233"/>
      <c r="AV172" s="233"/>
      <c r="AW172" s="233"/>
      <c r="AX172" s="233"/>
      <c r="AY172" s="233"/>
      <c r="AZ172" s="233"/>
      <c r="BA172" s="233"/>
      <c r="BB172" s="233"/>
      <c r="BC172" s="233"/>
      <c r="BD172" s="233"/>
      <c r="BE172" s="233"/>
      <c r="BF172" s="241"/>
      <c r="BG172" s="241"/>
      <c r="BH172" s="241"/>
      <c r="BI172" s="241"/>
      <c r="BJ172" s="241"/>
      <c r="BK172" s="241"/>
      <c r="BL172" s="241"/>
    </row>
    <row r="173">
      <c r="A173" s="385" t="s">
        <v>474</v>
      </c>
      <c r="B173" s="734" t="str">
        <f>IFERROR(__xludf.DUMMYFUNCTION("if(REGEXMATCH(AR173,$B$168),""X"","""")"),"")</f>
        <v/>
      </c>
      <c r="C173" s="734" t="str">
        <f>IFERROR(__xludf.DUMMYFUNCTION("if(REGEXMATCH(AR173,$C$168),""X"","""")"),"X")</f>
        <v>X</v>
      </c>
      <c r="D173" s="734" t="str">
        <f>IFERROR(__xludf.DUMMYFUNCTION("if(REGEXMATCH(AR173,$D$168),""X"","""")"),"X")</f>
        <v>X</v>
      </c>
      <c r="E173" s="734" t="str">
        <f>IFERROR(__xludf.DUMMYFUNCTION("if(REGEXMATCH(AR173,$E$168),""X"","""")"),"")</f>
        <v/>
      </c>
      <c r="F173" s="734" t="str">
        <f>IFERROR(__xludf.DUMMYFUNCTION("if(REGEXMATCH(AR173,$F$168),""X"","""")"),"X")</f>
        <v>X</v>
      </c>
      <c r="G173" s="734" t="str">
        <f t="shared" si="9"/>
        <v>X</v>
      </c>
      <c r="H173" s="734" t="str">
        <f>IFERROR(__xludf.DUMMYFUNCTION("if(REGEXMATCH(AR173,$H$168),""X"","""")"),"X")</f>
        <v>X</v>
      </c>
      <c r="I173" s="734" t="str">
        <f>IFERROR(__xludf.DUMMYFUNCTION("if(REGEXMATCH(AR173,$I$168),""X"","""")"),"")</f>
        <v/>
      </c>
      <c r="J173" s="734" t="str">
        <f>IFERROR(__xludf.DUMMYFUNCTION("if(REGEXMATCH(AR173,$J$168),""X"","""")"),"")</f>
        <v/>
      </c>
      <c r="K173" s="734" t="str">
        <f>IFERROR(__xludf.DUMMYFUNCTION("if(REGEXMATCH(AR173,$K$168),""X"","""")"),"")</f>
        <v/>
      </c>
      <c r="L173" s="734" t="str">
        <f>IFERROR(__xludf.DUMMYFUNCTION("if(REGEXMATCH(AR173,$L$168),""X"","""")"),"X")</f>
        <v>X</v>
      </c>
      <c r="M173" s="734" t="str">
        <f>IFERROR(__xludf.DUMMYFUNCTION("if(REGEXMATCH(AR173,$M$168),""X"","""")"),"X")</f>
        <v>X</v>
      </c>
      <c r="N173" s="734" t="str">
        <f>IFERROR(__xludf.DUMMYFUNCTION("if(REGEXMATCH(AR173,$N$168),""X"","""")"),"X")</f>
        <v>X</v>
      </c>
      <c r="O173" s="734" t="str">
        <f>IFERROR(__xludf.DUMMYFUNCTION("if(REGEXMATCH(AR173,$O$168),""X"","""")"),"")</f>
        <v/>
      </c>
      <c r="P173" s="734" t="str">
        <f>IFERROR(__xludf.DUMMYFUNCTION("if(REGEXMATCH(AR173,""(all)""),""X"",if(REGEXMATCH(AR173,""arcana""),""X"",""""))"),"X")</f>
        <v>X</v>
      </c>
      <c r="Q173" s="734" t="str">
        <f>IFERROR(__xludf.DUMMYFUNCTION("if(REGEXMATCH(AR173,""(all)""),""X"",if(REGEXMATCH(AR173,""dungeoneering""),""X"",""""))"),"")</f>
        <v/>
      </c>
      <c r="R173" s="734" t="str">
        <f>IFERROR(__xludf.DUMMYFUNCTION("if(REGEXMATCH(AR173,""(all)""),""X"",if(REGEXMATCH(AR173,""engineering""),""X"",""""))"),"")</f>
        <v/>
      </c>
      <c r="S173" s="734" t="str">
        <f>IFERROR(__xludf.DUMMYFUNCTION("if(REGEXMATCH(AR173,""(all)""),""X"",if(REGEXMATCH(AR173,""geography""),""X"",""""))"),"")</f>
        <v/>
      </c>
      <c r="T173" s="734" t="str">
        <f>IFERROR(__xludf.DUMMYFUNCTION("if(REGEXMATCH(AR173,""(all)""),""X"",if(REGEXMATCH(AR173,""history""),""X"",""""))"),"")</f>
        <v/>
      </c>
      <c r="U173" s="734" t="str">
        <f>IFERROR(__xludf.DUMMYFUNCTION("if(REGEXMATCH(AR173,""(all)""),""X"",if(REGEXMATCH(AR173,""local""),""X"",""""))"),"")</f>
        <v/>
      </c>
      <c r="V173" s="734" t="str">
        <f>IFERROR(__xludf.DUMMYFUNCTION("if(REGEXMATCH(AR173,""(all)""),""X"",if(REGEXMATCH(AR173,""nature""),""X"",""""))"),"")</f>
        <v/>
      </c>
      <c r="W173" s="734" t="str">
        <f>IFERROR(__xludf.DUMMYFUNCTION("if(REGEXMATCH(AR173,""(all)""),""X"",if(REGEXMATCH(AR173,""nobility""),""X"",""""))"),"")</f>
        <v/>
      </c>
      <c r="X173" s="734" t="str">
        <f>IFERROR(__xludf.DUMMYFUNCTION("if(REGEXMATCH(AR173,""(all)""),""X"",if(REGEXMATCH(AR173,""planes""),""X"",""""))"),"")</f>
        <v/>
      </c>
      <c r="Y173" s="734" t="str">
        <f>IFERROR(__xludf.DUMMYFUNCTION("if(REGEXMATCH(AR173,""(all)""),""X"",if(REGEXMATCH(AR173,""religion""),""X"",""""))"),"")</f>
        <v/>
      </c>
      <c r="Z173" s="734" t="str">
        <f>IFERROR(__xludf.DUMMYFUNCTION("if(REGEXMATCH(AR173,$Z$168),""X"","""")"),"X")</f>
        <v>X</v>
      </c>
      <c r="AA173" s="734" t="str">
        <f>IFERROR(__xludf.DUMMYFUNCTION("if(REGEXMATCH(AR173,$AA$168),""X"","""")"),"")</f>
        <v/>
      </c>
      <c r="AB173" s="734" t="str">
        <f>IFERROR(__xludf.DUMMYFUNCTION("if(REGEXMATCH(AR173,""Perform""),""X"","""")"),"X")</f>
        <v>X</v>
      </c>
      <c r="AC173" s="734" t="str">
        <f t="shared" si="10"/>
        <v>X</v>
      </c>
      <c r="AD173" s="734" t="str">
        <f>IFERROR(__xludf.DUMMYFUNCTION("if(REGEXMATCH(AR173,""Profession""),""X"","""")"),"X")</f>
        <v>X</v>
      </c>
      <c r="AE173" s="734" t="str">
        <f t="shared" si="11"/>
        <v>X</v>
      </c>
      <c r="AF173" s="734" t="str">
        <f>IFERROR(__xludf.DUMMYFUNCTION("if(REGEXMATCH(AR173,$AF$168),""X"","""")"),"")</f>
        <v/>
      </c>
      <c r="AG173" s="734" t="str">
        <f>IFERROR(__xludf.DUMMYFUNCTION("if(REGEXMATCH(AR173,$AG$168),""X"","""")"),"X")</f>
        <v>X</v>
      </c>
      <c r="AH173" s="734" t="str">
        <f>IFERROR(__xludf.DUMMYFUNCTION("if(REGEXMATCH(AR173,$AH$168),""X"","""")"),"")</f>
        <v/>
      </c>
      <c r="AI173" s="734" t="str">
        <f>IFERROR(__xludf.DUMMYFUNCTION("if(REGEXMATCH(AR173,$AI$168),""X"","""")"),"X")</f>
        <v>X</v>
      </c>
      <c r="AJ173" s="739" t="str">
        <f>IFERROR(__xludf.DUMMYFUNCTION("if(REGEXMATCH(AR173,$AJ$168),""X"","""")"),"X")</f>
        <v>X</v>
      </c>
      <c r="AK173" s="734" t="str">
        <f>IFERROR(__xludf.DUMMYFUNCTION("if(REGEXMATCH(AR173,$AK$168),""X"","""")"),"")</f>
        <v/>
      </c>
      <c r="AL173" s="734" t="str">
        <f>IFERROR(__xludf.DUMMYFUNCTION("if(REGEXMATCH(AR173,$AL$168),""X"","""")"),"")</f>
        <v/>
      </c>
      <c r="AM173" s="734" t="str">
        <f>IFERROR(__xludf.DUMMYFUNCTION("if(REGEXMATCH(AR173,$AM$168),""X"","""")"),"X")</f>
        <v>X</v>
      </c>
      <c r="AN173" s="734"/>
      <c r="AO173" s="734"/>
      <c r="AP173" s="734" t="str">
        <f>IFERROR(__xludf.DUMMYFUNCTION("if(REGEXMATCH(AR173,""Craft""),""X"","""")"),"X")</f>
        <v>X</v>
      </c>
      <c r="AQ173" s="734" t="str">
        <f>IFERROR(__xludf.DUMMYFUNCTION("if(REGEXMATCH(AR173,""Knowledge""),""X"","""")"),"X")</f>
        <v>X</v>
      </c>
      <c r="AR173" s="740" t="s">
        <v>836</v>
      </c>
      <c r="AS173" s="233"/>
      <c r="AT173" s="233"/>
      <c r="AU173" s="233"/>
      <c r="AV173" s="233"/>
      <c r="AW173" s="233"/>
      <c r="AX173" s="233"/>
      <c r="AY173" s="233"/>
      <c r="AZ173" s="233"/>
      <c r="BA173" s="233"/>
      <c r="BB173" s="233"/>
      <c r="BC173" s="233"/>
      <c r="BD173" s="233"/>
      <c r="BE173" s="233"/>
      <c r="BF173" s="241"/>
      <c r="BG173" s="241"/>
      <c r="BH173" s="241"/>
      <c r="BI173" s="241"/>
      <c r="BJ173" s="241"/>
      <c r="BK173" s="241"/>
      <c r="BL173" s="241"/>
    </row>
    <row r="174">
      <c r="A174" s="385" t="s">
        <v>475</v>
      </c>
      <c r="B174" s="734" t="str">
        <f>IFERROR(__xludf.DUMMYFUNCTION("if(REGEXMATCH(AR174,$B$168),""X"","""")"),"")</f>
        <v/>
      </c>
      <c r="C174" s="734" t="str">
        <f>IFERROR(__xludf.DUMMYFUNCTION("if(REGEXMATCH(AR174,$C$168),""X"","""")"),"X")</f>
        <v>X</v>
      </c>
      <c r="D174" s="734" t="str">
        <f>IFERROR(__xludf.DUMMYFUNCTION("if(REGEXMATCH(AR174,$D$168),""X"","""")"),"")</f>
        <v/>
      </c>
      <c r="E174" s="734" t="str">
        <f>IFERROR(__xludf.DUMMYFUNCTION("if(REGEXMATCH(AR174,$E$168),""X"","""")"),"")</f>
        <v/>
      </c>
      <c r="F174" s="734" t="str">
        <f>IFERROR(__xludf.DUMMYFUNCTION("if(REGEXMATCH(AR174,$F$168),""X"","""")"),"X")</f>
        <v>X</v>
      </c>
      <c r="G174" s="734" t="str">
        <f t="shared" si="9"/>
        <v>X</v>
      </c>
      <c r="H174" s="734" t="str">
        <f>IFERROR(__xludf.DUMMYFUNCTION("if(REGEXMATCH(AR174,$H$168),""X"","""")"),"")</f>
        <v/>
      </c>
      <c r="I174" s="734" t="str">
        <f>IFERROR(__xludf.DUMMYFUNCTION("if(REGEXMATCH(AR174,$I$168),""X"","""")"),"")</f>
        <v/>
      </c>
      <c r="J174" s="734" t="str">
        <f>IFERROR(__xludf.DUMMYFUNCTION("if(REGEXMATCH(AR174,$J$168),""X"","""")"),"")</f>
        <v/>
      </c>
      <c r="K174" s="734" t="str">
        <f>IFERROR(__xludf.DUMMYFUNCTION("if(REGEXMATCH(AR174,$K$168),""X"","""")"),"")</f>
        <v/>
      </c>
      <c r="L174" s="734" t="str">
        <f>IFERROR(__xludf.DUMMYFUNCTION("if(REGEXMATCH(AR174,$L$168),""X"","""")"),"X")</f>
        <v>X</v>
      </c>
      <c r="M174" s="734" t="str">
        <f>IFERROR(__xludf.DUMMYFUNCTION("if(REGEXMATCH(AR174,$M$168),""X"","""")"),"")</f>
        <v/>
      </c>
      <c r="N174" s="734" t="str">
        <f>IFERROR(__xludf.DUMMYFUNCTION("if(REGEXMATCH(AR174,$N$168),""X"","""")"),"")</f>
        <v/>
      </c>
      <c r="O174" s="734" t="str">
        <f>IFERROR(__xludf.DUMMYFUNCTION("if(REGEXMATCH(AR174,$O$168),""X"","""")"),"")</f>
        <v/>
      </c>
      <c r="P174" s="734" t="str">
        <f>IFERROR(__xludf.DUMMYFUNCTION("if(REGEXMATCH(AR174,""(all)""),""X"",if(REGEXMATCH(AR174,""arcana""),""X"",""""))"),"X")</f>
        <v>X</v>
      </c>
      <c r="Q174" s="734" t="str">
        <f>IFERROR(__xludf.DUMMYFUNCTION("if(REGEXMATCH(AR174,""(all)""),""X"",if(REGEXMATCH(AR174,""dungeoneering""),""X"",""""))"),"X")</f>
        <v>X</v>
      </c>
      <c r="R174" s="734" t="str">
        <f>IFERROR(__xludf.DUMMYFUNCTION("if(REGEXMATCH(AR174,""(all)""),""X"",if(REGEXMATCH(AR174,""engineering""),""X"",""""))"),"X")</f>
        <v>X</v>
      </c>
      <c r="S174" s="734" t="str">
        <f>IFERROR(__xludf.DUMMYFUNCTION("if(REGEXMATCH(AR174,""(all)""),""X"",if(REGEXMATCH(AR174,""geography""),""X"",""""))"),"X")</f>
        <v>X</v>
      </c>
      <c r="T174" s="734" t="str">
        <f>IFERROR(__xludf.DUMMYFUNCTION("if(REGEXMATCH(AR174,""(all)""),""X"",if(REGEXMATCH(AR174,""history""),""X"",""""))"),"X")</f>
        <v>X</v>
      </c>
      <c r="U174" s="734" t="str">
        <f>IFERROR(__xludf.DUMMYFUNCTION("if(REGEXMATCH(AR174,""(all)""),""X"",if(REGEXMATCH(AR174,""local""),""X"",""""))"),"X")</f>
        <v>X</v>
      </c>
      <c r="V174" s="734" t="str">
        <f>IFERROR(__xludf.DUMMYFUNCTION("if(REGEXMATCH(AR174,""(all)""),""X"",if(REGEXMATCH(AR174,""nature""),""X"",""""))"),"X")</f>
        <v>X</v>
      </c>
      <c r="W174" s="734" t="str">
        <f>IFERROR(__xludf.DUMMYFUNCTION("if(REGEXMATCH(AR174,""(all)""),""X"",if(REGEXMATCH(AR174,""nobility""),""X"",""""))"),"X")</f>
        <v>X</v>
      </c>
      <c r="X174" s="734" t="str">
        <f>IFERROR(__xludf.DUMMYFUNCTION("if(REGEXMATCH(AR174,""(all)""),""X"",if(REGEXMATCH(AR174,""planes""),""X"",""""))"),"X")</f>
        <v>X</v>
      </c>
      <c r="Y174" s="734" t="str">
        <f>IFERROR(__xludf.DUMMYFUNCTION("if(REGEXMATCH(AR174,""(all)""),""X"",if(REGEXMATCH(AR174,""religion""),""X"",""""))"),"X")</f>
        <v>X</v>
      </c>
      <c r="Z174" s="734" t="str">
        <f>IFERROR(__xludf.DUMMYFUNCTION("if(REGEXMATCH(AR174,$Z$168),""X"","""")"),"X")</f>
        <v>X</v>
      </c>
      <c r="AA174" s="734" t="str">
        <f>IFERROR(__xludf.DUMMYFUNCTION("if(REGEXMATCH(AR174,$AA$168),""X"","""")"),"")</f>
        <v/>
      </c>
      <c r="AB174" s="734" t="str">
        <f>IFERROR(__xludf.DUMMYFUNCTION("if(REGEXMATCH(AR174,""Perform""),""X"","""")"),"")</f>
        <v/>
      </c>
      <c r="AC174" s="734" t="str">
        <f t="shared" si="10"/>
        <v/>
      </c>
      <c r="AD174" s="734" t="str">
        <f>IFERROR(__xludf.DUMMYFUNCTION("if(REGEXMATCH(AR174,""Profession""),""X"","""")"),"X")</f>
        <v>X</v>
      </c>
      <c r="AE174" s="734" t="str">
        <f t="shared" si="11"/>
        <v>X</v>
      </c>
      <c r="AF174" s="734" t="str">
        <f>IFERROR(__xludf.DUMMYFUNCTION("if(REGEXMATCH(AR174,$AF$168),""X"","""")"),"")</f>
        <v/>
      </c>
      <c r="AG174" s="734" t="str">
        <f>IFERROR(__xludf.DUMMYFUNCTION("if(REGEXMATCH(AR174,$AG$168),""X"","""")"),"")</f>
        <v/>
      </c>
      <c r="AH174" s="734" t="str">
        <f>IFERROR(__xludf.DUMMYFUNCTION("if(REGEXMATCH(AR174,$AH$168),""X"","""")"),"")</f>
        <v/>
      </c>
      <c r="AI174" s="734" t="str">
        <f>IFERROR(__xludf.DUMMYFUNCTION("if(REGEXMATCH(AR174,$AI$168),""X"","""")"),"X")</f>
        <v>X</v>
      </c>
      <c r="AJ174" s="739" t="str">
        <f>IFERROR(__xludf.DUMMYFUNCTION("if(REGEXMATCH(AR174,$AJ$168),""X"","""")"),"")</f>
        <v/>
      </c>
      <c r="AK174" s="734" t="str">
        <f>IFERROR(__xludf.DUMMYFUNCTION("if(REGEXMATCH(AR174,$AK$168),""X"","""")"),"")</f>
        <v/>
      </c>
      <c r="AL174" s="734" t="str">
        <f>IFERROR(__xludf.DUMMYFUNCTION("if(REGEXMATCH(AR174,$AL$168),""X"","""")"),"")</f>
        <v/>
      </c>
      <c r="AM174" s="734" t="str">
        <f>IFERROR(__xludf.DUMMYFUNCTION("if(REGEXMATCH(AR174,$AM$168),""X"","""")"),"")</f>
        <v/>
      </c>
      <c r="AN174" s="734"/>
      <c r="AO174" s="734"/>
      <c r="AP174" s="734" t="str">
        <f>IFERROR(__xludf.DUMMYFUNCTION("if(REGEXMATCH(AR174,""Craft""),""X"","""")"),"X")</f>
        <v>X</v>
      </c>
      <c r="AQ174" s="734" t="str">
        <f>IFERROR(__xludf.DUMMYFUNCTION("if(REGEXMATCH(AR174,""Knowledge""),""X"","""")"),"X")</f>
        <v>X</v>
      </c>
      <c r="AR174" s="740" t="s">
        <v>840</v>
      </c>
      <c r="AS174" s="233"/>
      <c r="AT174" s="233"/>
      <c r="AU174" s="233"/>
      <c r="AV174" s="233"/>
      <c r="AW174" s="233"/>
      <c r="AX174" s="233"/>
      <c r="AY174" s="233"/>
      <c r="AZ174" s="233"/>
      <c r="BA174" s="233"/>
      <c r="BB174" s="233"/>
      <c r="BC174" s="233"/>
      <c r="BD174" s="233"/>
      <c r="BE174" s="233"/>
      <c r="BF174" s="241"/>
      <c r="BG174" s="241"/>
      <c r="BH174" s="241"/>
      <c r="BI174" s="241"/>
      <c r="BJ174" s="241"/>
      <c r="BK174" s="241"/>
      <c r="BL174" s="241"/>
    </row>
    <row r="175">
      <c r="A175" s="385" t="s">
        <v>477</v>
      </c>
      <c r="B175" s="734" t="str">
        <f>IFERROR(__xludf.DUMMYFUNCTION("if(REGEXMATCH(AR175,$B$168),""X"","""")"),"X")</f>
        <v>X</v>
      </c>
      <c r="C175" s="734" t="str">
        <f>IFERROR(__xludf.DUMMYFUNCTION("if(REGEXMATCH(AR175,$C$168),""X"","""")"),"")</f>
        <v/>
      </c>
      <c r="D175" s="734" t="str">
        <f>IFERROR(__xludf.DUMMYFUNCTION("if(REGEXMATCH(AR175,$D$168),""X"","""")"),"")</f>
        <v/>
      </c>
      <c r="E175" s="734" t="str">
        <f>IFERROR(__xludf.DUMMYFUNCTION("if(REGEXMATCH(AR175,$E$168),""X"","""")"),"X")</f>
        <v>X</v>
      </c>
      <c r="F175" s="734" t="str">
        <f>IFERROR(__xludf.DUMMYFUNCTION("if(REGEXMATCH(AR175,$F$168),""X"","""")"),"X")</f>
        <v>X</v>
      </c>
      <c r="G175" s="734" t="str">
        <f t="shared" si="9"/>
        <v>X</v>
      </c>
      <c r="H175" s="734" t="str">
        <f>IFERROR(__xludf.DUMMYFUNCTION("if(REGEXMATCH(AR175,$H$168),""X"","""")"),"X")</f>
        <v>X</v>
      </c>
      <c r="I175" s="734" t="str">
        <f>IFERROR(__xludf.DUMMYFUNCTION("if(REGEXMATCH(AR175,$I$168),""X"","""")"),"")</f>
        <v/>
      </c>
      <c r="J175" s="734" t="str">
        <f>IFERROR(__xludf.DUMMYFUNCTION("if(REGEXMATCH(AR175,$J$168),""X"","""")"),"")</f>
        <v/>
      </c>
      <c r="K175" s="734" t="str">
        <f>IFERROR(__xludf.DUMMYFUNCTION("if(REGEXMATCH(AR175,$K$168),""X"","""")"),"")</f>
        <v/>
      </c>
      <c r="L175" s="734" t="str">
        <f>IFERROR(__xludf.DUMMYFUNCTION("if(REGEXMATCH(AR175,$L$168),""X"","""")"),"")</f>
        <v/>
      </c>
      <c r="M175" s="734" t="str">
        <f>IFERROR(__xludf.DUMMYFUNCTION("if(REGEXMATCH(AR175,$M$168),""X"","""")"),"X")</f>
        <v>X</v>
      </c>
      <c r="N175" s="734" t="str">
        <f>IFERROR(__xludf.DUMMYFUNCTION("if(REGEXMATCH(AR175,$N$168),""X"","""")"),"")</f>
        <v/>
      </c>
      <c r="O175" s="734" t="str">
        <f>IFERROR(__xludf.DUMMYFUNCTION("if(REGEXMATCH(AR175,$O$168),""X"","""")"),"")</f>
        <v/>
      </c>
      <c r="P175" s="734" t="str">
        <f>IFERROR(__xludf.DUMMYFUNCTION("if(REGEXMATCH(AR175,""(all)""),""X"",if(REGEXMATCH(AR175,""arcana""),""X"",""""))"),"X")</f>
        <v>X</v>
      </c>
      <c r="Q175" s="734" t="str">
        <f>IFERROR(__xludf.DUMMYFUNCTION("if(REGEXMATCH(AR175,""(all)""),""X"",if(REGEXMATCH(AR175,""dungeoneering""),""X"",""""))"),"")</f>
        <v/>
      </c>
      <c r="R175" s="734" t="str">
        <f>IFERROR(__xludf.DUMMYFUNCTION("if(REGEXMATCH(AR175,""(all)""),""X"",if(REGEXMATCH(AR175,""engineering""),""X"",""""))"),"")</f>
        <v/>
      </c>
      <c r="S175" s="734" t="str">
        <f>IFERROR(__xludf.DUMMYFUNCTION("if(REGEXMATCH(AR175,""(all)""),""X"",if(REGEXMATCH(AR175,""geography""),""X"",""""))"),"")</f>
        <v/>
      </c>
      <c r="T175" s="734" t="str">
        <f>IFERROR(__xludf.DUMMYFUNCTION("if(REGEXMATCH(AR175,""(all)""),""X"",if(REGEXMATCH(AR175,""history""),""X"",""""))"),"")</f>
        <v/>
      </c>
      <c r="U175" s="734" t="str">
        <f>IFERROR(__xludf.DUMMYFUNCTION("if(REGEXMATCH(AR175,""(all)""),""X"",if(REGEXMATCH(AR175,""local""),""X"",""""))"),"")</f>
        <v/>
      </c>
      <c r="V175" s="734" t="str">
        <f>IFERROR(__xludf.DUMMYFUNCTION("if(REGEXMATCH(AR175,""(all)""),""X"",if(REGEXMATCH(AR175,""nature""),""X"",""""))"),"X")</f>
        <v>X</v>
      </c>
      <c r="W175" s="734" t="str">
        <f>IFERROR(__xludf.DUMMYFUNCTION("if(REGEXMATCH(AR175,""(all)""),""X"",if(REGEXMATCH(AR175,""nobility""),""X"",""""))"),"X")</f>
        <v>X</v>
      </c>
      <c r="X175" s="734" t="str">
        <f>IFERROR(__xludf.DUMMYFUNCTION("if(REGEXMATCH(AR175,""(all)""),""X"",if(REGEXMATCH(AR175,""planes""),""X"",""""))"),"X")</f>
        <v>X</v>
      </c>
      <c r="Y175" s="734" t="str">
        <f>IFERROR(__xludf.DUMMYFUNCTION("if(REGEXMATCH(AR175,""(all)""),""X"",if(REGEXMATCH(AR175,""religion""),""X"",""""))"),"X")</f>
        <v>X</v>
      </c>
      <c r="Z175" s="734" t="str">
        <f>IFERROR(__xludf.DUMMYFUNCTION("if(REGEXMATCH(AR175,$Z$168),""X"","""")"),"")</f>
        <v/>
      </c>
      <c r="AA175" s="734" t="str">
        <f>IFERROR(__xludf.DUMMYFUNCTION("if(REGEXMATCH(AR175,$AA$168),""X"","""")"),"")</f>
        <v/>
      </c>
      <c r="AB175" s="734" t="str">
        <f>IFERROR(__xludf.DUMMYFUNCTION("if(REGEXMATCH(AR175,""Perform""),""X"","""")"),"")</f>
        <v/>
      </c>
      <c r="AC175" s="734" t="str">
        <f t="shared" si="10"/>
        <v/>
      </c>
      <c r="AD175" s="734" t="str">
        <f>IFERROR(__xludf.DUMMYFUNCTION("if(REGEXMATCH(AR175,""Profession""),""X"","""")"),"X")</f>
        <v>X</v>
      </c>
      <c r="AE175" s="734" t="str">
        <f t="shared" si="11"/>
        <v>X</v>
      </c>
      <c r="AF175" s="734" t="str">
        <f>IFERROR(__xludf.DUMMYFUNCTION("if(REGEXMATCH(AR175,$AF$168),""X"","""")"),"X")</f>
        <v>X</v>
      </c>
      <c r="AG175" s="734" t="str">
        <f>IFERROR(__xludf.DUMMYFUNCTION("if(REGEXMATCH(AR175,$AG$168),""X"","""")"),"")</f>
        <v/>
      </c>
      <c r="AH175" s="734" t="str">
        <f>IFERROR(__xludf.DUMMYFUNCTION("if(REGEXMATCH(AR175,$AH$168),""X"","""")"),"")</f>
        <v/>
      </c>
      <c r="AI175" s="734" t="str">
        <f>IFERROR(__xludf.DUMMYFUNCTION("if(REGEXMATCH(AR175,$AI$168),""X"","""")"),"X")</f>
        <v>X</v>
      </c>
      <c r="AJ175" s="739" t="str">
        <f>IFERROR(__xludf.DUMMYFUNCTION("if(REGEXMATCH(AR175,$AJ$168),""X"","""")"),"")</f>
        <v/>
      </c>
      <c r="AK175" s="734" t="str">
        <f>IFERROR(__xludf.DUMMYFUNCTION("if(REGEXMATCH(AR175,$AK$168),""X"","""")"),"X")</f>
        <v>X</v>
      </c>
      <c r="AL175" s="734" t="str">
        <f>IFERROR(__xludf.DUMMYFUNCTION("if(REGEXMATCH(AR175,$AL$168),""X"","""")"),"X")</f>
        <v>X</v>
      </c>
      <c r="AM175" s="734" t="str">
        <f>IFERROR(__xludf.DUMMYFUNCTION("if(REGEXMATCH(AR175,$AM$168),""X"","""")"),"")</f>
        <v/>
      </c>
      <c r="AN175" s="734"/>
      <c r="AO175" s="734"/>
      <c r="AP175" s="734" t="str">
        <f>IFERROR(__xludf.DUMMYFUNCTION("if(REGEXMATCH(AR175,""Craft""),""X"","""")"),"X")</f>
        <v>X</v>
      </c>
      <c r="AQ175" s="734" t="str">
        <f>IFERROR(__xludf.DUMMYFUNCTION("if(REGEXMATCH(AR175,""Knowledge""),""X"","""")"),"X")</f>
        <v>X</v>
      </c>
      <c r="AR175" s="740" t="s">
        <v>842</v>
      </c>
      <c r="AS175" s="233"/>
      <c r="AT175" s="233"/>
      <c r="AU175" s="233"/>
      <c r="AV175" s="233"/>
      <c r="AW175" s="233"/>
      <c r="AX175" s="233"/>
      <c r="AY175" s="233"/>
      <c r="AZ175" s="233"/>
      <c r="BA175" s="233"/>
      <c r="BB175" s="233"/>
      <c r="BC175" s="233"/>
      <c r="BD175" s="233"/>
      <c r="BE175" s="233"/>
      <c r="BF175" s="241"/>
      <c r="BG175" s="241"/>
      <c r="BH175" s="241"/>
      <c r="BI175" s="241"/>
      <c r="BJ175" s="241"/>
      <c r="BK175" s="241"/>
      <c r="BL175" s="241"/>
    </row>
    <row r="176">
      <c r="A176" s="385" t="s">
        <v>479</v>
      </c>
      <c r="B176" s="734" t="str">
        <f>IFERROR(__xludf.DUMMYFUNCTION("if(REGEXMATCH(AR176,$B$168),""X"","""")"),"X")</f>
        <v>X</v>
      </c>
      <c r="C176" s="734" t="str">
        <f>IFERROR(__xludf.DUMMYFUNCTION("if(REGEXMATCH(AR176,$C$168),""X"","""")"),"")</f>
        <v/>
      </c>
      <c r="D176" s="734" t="str">
        <f>IFERROR(__xludf.DUMMYFUNCTION("if(REGEXMATCH(AR176,$D$168),""X"","""")"),"")</f>
        <v/>
      </c>
      <c r="E176" s="734" t="str">
        <f>IFERROR(__xludf.DUMMYFUNCTION("if(REGEXMATCH(AR176,$E$168),""X"","""")"),"X")</f>
        <v>X</v>
      </c>
      <c r="F176" s="734" t="str">
        <f>IFERROR(__xludf.DUMMYFUNCTION("if(REGEXMATCH(AR176,$F$168),""X"","""")"),"X")</f>
        <v>X</v>
      </c>
      <c r="G176" s="734" t="str">
        <f t="shared" si="9"/>
        <v>X</v>
      </c>
      <c r="H176" s="734" t="str">
        <f>IFERROR(__xludf.DUMMYFUNCTION("if(REGEXMATCH(AR176,$H$168),""X"","""")"),"")</f>
        <v/>
      </c>
      <c r="I176" s="734" t="str">
        <f>IFERROR(__xludf.DUMMYFUNCTION("if(REGEXMATCH(AR176,$I$168),""X"","""")"),"")</f>
        <v/>
      </c>
      <c r="J176" s="734" t="str">
        <f>IFERROR(__xludf.DUMMYFUNCTION("if(REGEXMATCH(AR176,$J$168),""X"","""")"),"")</f>
        <v/>
      </c>
      <c r="K176" s="734" t="str">
        <f>IFERROR(__xludf.DUMMYFUNCTION("if(REGEXMATCH(AR176,$K$168),""X"","""")"),"")</f>
        <v/>
      </c>
      <c r="L176" s="734" t="str">
        <f>IFERROR(__xludf.DUMMYFUNCTION("if(REGEXMATCH(AR176,$L$168),""X"","""")"),"")</f>
        <v/>
      </c>
      <c r="M176" s="734" t="str">
        <f>IFERROR(__xludf.DUMMYFUNCTION("if(REGEXMATCH(AR176,$M$168),""X"","""")"),"")</f>
        <v/>
      </c>
      <c r="N176" s="734" t="str">
        <f>IFERROR(__xludf.DUMMYFUNCTION("if(REGEXMATCH(AR176,$N$168),""X"","""")"),"")</f>
        <v/>
      </c>
      <c r="O176" s="734" t="str">
        <f>IFERROR(__xludf.DUMMYFUNCTION("if(REGEXMATCH(AR176,$O$168),""X"","""")"),"X")</f>
        <v>X</v>
      </c>
      <c r="P176" s="734" t="str">
        <f>IFERROR(__xludf.DUMMYFUNCTION("if(REGEXMATCH(AR176,""(all)""),""X"",if(REGEXMATCH(AR176,""arcana""),""X"",""""))"),"")</f>
        <v/>
      </c>
      <c r="Q176" s="734" t="str">
        <f>IFERROR(__xludf.DUMMYFUNCTION("if(REGEXMATCH(AR176,""(all)""),""X"",if(REGEXMATCH(AR176,""dungeoneering""),""X"",""""))"),"X")</f>
        <v>X</v>
      </c>
      <c r="R176" s="734" t="str">
        <f>IFERROR(__xludf.DUMMYFUNCTION("if(REGEXMATCH(AR176,""(all)""),""X"",if(REGEXMATCH(AR176,""engineering""),""X"",""""))"),"")</f>
        <v/>
      </c>
      <c r="S176" s="734" t="str">
        <f>IFERROR(__xludf.DUMMYFUNCTION("if(REGEXMATCH(AR176,""(all)""),""X"",if(REGEXMATCH(AR176,""geography""),""X"",""""))"),"X")</f>
        <v>X</v>
      </c>
      <c r="T176" s="734" t="str">
        <f>IFERROR(__xludf.DUMMYFUNCTION("if(REGEXMATCH(AR176,""(all)""),""X"",if(REGEXMATCH(AR176,""history""),""X"",""""))"),"")</f>
        <v/>
      </c>
      <c r="U176" s="734" t="str">
        <f>IFERROR(__xludf.DUMMYFUNCTION("if(REGEXMATCH(AR176,""(all)""),""X"",if(REGEXMATCH(AR176,""local""),""X"",""""))"),"X")</f>
        <v>X</v>
      </c>
      <c r="V176" s="734" t="str">
        <f>IFERROR(__xludf.DUMMYFUNCTION("if(REGEXMATCH(AR176,""(all)""),""X"",if(REGEXMATCH(AR176,""nature""),""X"",""""))"),"")</f>
        <v/>
      </c>
      <c r="W176" s="734" t="str">
        <f>IFERROR(__xludf.DUMMYFUNCTION("if(REGEXMATCH(AR176,""(all)""),""X"",if(REGEXMATCH(AR176,""nobility""),""X"",""""))"),"X")</f>
        <v>X</v>
      </c>
      <c r="X176" s="734" t="str">
        <f>IFERROR(__xludf.DUMMYFUNCTION("if(REGEXMATCH(AR176,""(all)""),""X"",if(REGEXMATCH(AR176,""planes""),""X"",""""))"),"")</f>
        <v/>
      </c>
      <c r="Y176" s="734" t="str">
        <f>IFERROR(__xludf.DUMMYFUNCTION("if(REGEXMATCH(AR176,""(all)""),""X"",if(REGEXMATCH(AR176,""religion""),""X"",""""))"),"")</f>
        <v/>
      </c>
      <c r="Z176" s="734" t="str">
        <f>IFERROR(__xludf.DUMMYFUNCTION("if(REGEXMATCH(AR176,$Z$168),""X"","""")"),"")</f>
        <v/>
      </c>
      <c r="AA176" s="734" t="str">
        <f>IFERROR(__xludf.DUMMYFUNCTION("if(REGEXMATCH(AR176,$AA$168),""X"","""")"),"X")</f>
        <v>X</v>
      </c>
      <c r="AB176" s="734" t="str">
        <f>IFERROR(__xludf.DUMMYFUNCTION("if(REGEXMATCH(AR176,""Perform""),""X"","""")"),"")</f>
        <v/>
      </c>
      <c r="AC176" s="734" t="str">
        <f t="shared" si="10"/>
        <v/>
      </c>
      <c r="AD176" s="734" t="str">
        <f>IFERROR(__xludf.DUMMYFUNCTION("if(REGEXMATCH(AR176,""Profession""),""X"","""")"),"X")</f>
        <v>X</v>
      </c>
      <c r="AE176" s="734" t="str">
        <f t="shared" si="11"/>
        <v>X</v>
      </c>
      <c r="AF176" s="734" t="str">
        <f>IFERROR(__xludf.DUMMYFUNCTION("if(REGEXMATCH(AR176,$AF$168),""X"","""")"),"X")</f>
        <v>X</v>
      </c>
      <c r="AG176" s="734" t="str">
        <f>IFERROR(__xludf.DUMMYFUNCTION("if(REGEXMATCH(AR176,$AG$168),""X"","""")"),"X")</f>
        <v>X</v>
      </c>
      <c r="AH176" s="734" t="str">
        <f>IFERROR(__xludf.DUMMYFUNCTION("if(REGEXMATCH(AR176,$AH$168),""X"","""")"),"X")</f>
        <v>X</v>
      </c>
      <c r="AI176" s="734" t="str">
        <f>IFERROR(__xludf.DUMMYFUNCTION("if(REGEXMATCH(AR176,$AI$168),""X"","""")"),"")</f>
        <v/>
      </c>
      <c r="AJ176" s="739" t="str">
        <f>IFERROR(__xludf.DUMMYFUNCTION("if(REGEXMATCH(AR176,$AJ$168),""X"","""")"),"")</f>
        <v/>
      </c>
      <c r="AK176" s="734" t="str">
        <f>IFERROR(__xludf.DUMMYFUNCTION("if(REGEXMATCH(AR176,$AK$168),""X"","""")"),"X")</f>
        <v>X</v>
      </c>
      <c r="AL176" s="734" t="str">
        <f>IFERROR(__xludf.DUMMYFUNCTION("if(REGEXMATCH(AR176,$AL$168),""X"","""")"),"X")</f>
        <v>X</v>
      </c>
      <c r="AM176" s="734" t="str">
        <f>IFERROR(__xludf.DUMMYFUNCTION("if(REGEXMATCH(AR176,$AM$168),""X"","""")"),"")</f>
        <v/>
      </c>
      <c r="AN176" s="734"/>
      <c r="AO176" s="734"/>
      <c r="AP176" s="734" t="str">
        <f>IFERROR(__xludf.DUMMYFUNCTION("if(REGEXMATCH(AR176,""Craft""),""X"","""")"),"X")</f>
        <v>X</v>
      </c>
      <c r="AQ176" s="734" t="str">
        <f>IFERROR(__xludf.DUMMYFUNCTION("if(REGEXMATCH(AR176,""Knowledge""),""X"","""")"),"X")</f>
        <v>X</v>
      </c>
      <c r="AR176" s="764" t="s">
        <v>845</v>
      </c>
      <c r="AS176" s="233"/>
      <c r="AT176" s="233"/>
      <c r="AU176" s="233"/>
      <c r="AV176" s="233"/>
      <c r="AW176" s="233"/>
      <c r="AX176" s="233"/>
      <c r="AY176" s="233"/>
      <c r="AZ176" s="233"/>
      <c r="BA176" s="233"/>
      <c r="BB176" s="233"/>
      <c r="BC176" s="233"/>
      <c r="BD176" s="233"/>
      <c r="BE176" s="233"/>
      <c r="BF176" s="241"/>
      <c r="BG176" s="241"/>
      <c r="BH176" s="241"/>
      <c r="BI176" s="241"/>
      <c r="BJ176" s="241"/>
      <c r="BK176" s="241"/>
      <c r="BL176" s="241"/>
    </row>
    <row r="177">
      <c r="A177" s="385" t="s">
        <v>480</v>
      </c>
      <c r="B177" s="734" t="str">
        <f>IFERROR(__xludf.DUMMYFUNCTION("if(REGEXMATCH(AR177,$B$168),""X"","""")"),"")</f>
        <v/>
      </c>
      <c r="C177" s="734" t="str">
        <f>IFERROR(__xludf.DUMMYFUNCTION("if(REGEXMATCH(AR177,$C$168),""X"","""")"),"")</f>
        <v/>
      </c>
      <c r="D177" s="734" t="str">
        <f>IFERROR(__xludf.DUMMYFUNCTION("if(REGEXMATCH(AR177,$D$168),""X"","""")"),"")</f>
        <v/>
      </c>
      <c r="E177" s="734" t="str">
        <f>IFERROR(__xludf.DUMMYFUNCTION("if(REGEXMATCH(AR177,$E$168),""X"","""")"),"")</f>
        <v/>
      </c>
      <c r="F177" s="734" t="str">
        <f>IFERROR(__xludf.DUMMYFUNCTION("if(REGEXMATCH(AR177,$F$168),""X"","""")"),"X")</f>
        <v>X</v>
      </c>
      <c r="G177" s="734" t="str">
        <f t="shared" si="9"/>
        <v>X</v>
      </c>
      <c r="H177" s="734" t="str">
        <f>IFERROR(__xludf.DUMMYFUNCTION("if(REGEXMATCH(AR177,$H$168),""X"","""")"),"X")</f>
        <v>X</v>
      </c>
      <c r="I177" s="734" t="str">
        <f>IFERROR(__xludf.DUMMYFUNCTION("if(REGEXMATCH(AR177,$I$168),""X"","""")"),"")</f>
        <v/>
      </c>
      <c r="J177" s="734" t="str">
        <f>IFERROR(__xludf.DUMMYFUNCTION("if(REGEXMATCH(AR177,$J$168),""X"","""")"),"")</f>
        <v/>
      </c>
      <c r="K177" s="734" t="str">
        <f>IFERROR(__xludf.DUMMYFUNCTION("if(REGEXMATCH(AR177,$K$168),""X"","""")"),"")</f>
        <v/>
      </c>
      <c r="L177" s="734" t="str">
        <f>IFERROR(__xludf.DUMMYFUNCTION("if(REGEXMATCH(AR177,$L$168),""X"","""")"),"X")</f>
        <v>X</v>
      </c>
      <c r="M177" s="734" t="str">
        <f>IFERROR(__xludf.DUMMYFUNCTION("if(REGEXMATCH(AR177,$M$168),""X"","""")"),"")</f>
        <v/>
      </c>
      <c r="N177" s="734" t="str">
        <f>IFERROR(__xludf.DUMMYFUNCTION("if(REGEXMATCH(AR177,$N$168),""X"","""")"),"X")</f>
        <v>X</v>
      </c>
      <c r="O177" s="734" t="str">
        <f>IFERROR(__xludf.DUMMYFUNCTION("if(REGEXMATCH(AR177,$O$168),""X"","""")"),"X")</f>
        <v>X</v>
      </c>
      <c r="P177" s="734" t="str">
        <f>IFERROR(__xludf.DUMMYFUNCTION("if(REGEXMATCH(AR177,""(all)""),""X"",if(REGEXMATCH(AR177,""arcana""),""X"",""""))"),"X")</f>
        <v>X</v>
      </c>
      <c r="Q177" s="734" t="str">
        <f>IFERROR(__xludf.DUMMYFUNCTION("if(REGEXMATCH(AR177,""(all)""),""X"",if(REGEXMATCH(AR177,""dungeoneering""),""X"",""""))"),"")</f>
        <v/>
      </c>
      <c r="R177" s="734" t="str">
        <f>IFERROR(__xludf.DUMMYFUNCTION("if(REGEXMATCH(AR177,""(all)""),""X"",if(REGEXMATCH(AR177,""engineering""),""X"",""""))"),"")</f>
        <v/>
      </c>
      <c r="S177" s="734" t="str">
        <f>IFERROR(__xludf.DUMMYFUNCTION("if(REGEXMATCH(AR177,""(all)""),""X"",if(REGEXMATCH(AR177,""geography""),""X"",""""))"),"")</f>
        <v/>
      </c>
      <c r="T177" s="734" t="str">
        <f>IFERROR(__xludf.DUMMYFUNCTION("if(REGEXMATCH(AR177,""(all)""),""X"",if(REGEXMATCH(AR177,""history""),""X"",""""))"),"X")</f>
        <v>X</v>
      </c>
      <c r="U177" s="734" t="str">
        <f>IFERROR(__xludf.DUMMYFUNCTION("if(REGEXMATCH(AR177,""(all)""),""X"",if(REGEXMATCH(AR177,""local""),""X"",""""))"),"")</f>
        <v/>
      </c>
      <c r="V177" s="734" t="str">
        <f>IFERROR(__xludf.DUMMYFUNCTION("if(REGEXMATCH(AR177,""(all)""),""X"",if(REGEXMATCH(AR177,""nature""),""X"",""""))"),"")</f>
        <v/>
      </c>
      <c r="W177" s="734" t="str">
        <f>IFERROR(__xludf.DUMMYFUNCTION("if(REGEXMATCH(AR177,""(all)""),""X"",if(REGEXMATCH(AR177,""nobility""),""X"",""""))"),"")</f>
        <v/>
      </c>
      <c r="X177" s="734" t="str">
        <f>IFERROR(__xludf.DUMMYFUNCTION("if(REGEXMATCH(AR177,""(all)""),""X"",if(REGEXMATCH(AR177,""planes""),""X"",""""))"),"X")</f>
        <v>X</v>
      </c>
      <c r="Y177" s="734" t="str">
        <f>IFERROR(__xludf.DUMMYFUNCTION("if(REGEXMATCH(AR177,""(all)""),""X"",if(REGEXMATCH(AR177,""religion""),""X"",""""))"),"X")</f>
        <v>X</v>
      </c>
      <c r="Z177" s="734" t="str">
        <f>IFERROR(__xludf.DUMMYFUNCTION("if(REGEXMATCH(AR177,$Z$168),""X"","""")"),"X")</f>
        <v>X</v>
      </c>
      <c r="AA177" s="734" t="str">
        <f>IFERROR(__xludf.DUMMYFUNCTION("if(REGEXMATCH(AR177,$AA$168),""X"","""")"),"")</f>
        <v/>
      </c>
      <c r="AB177" s="734" t="str">
        <f>IFERROR(__xludf.DUMMYFUNCTION("if(REGEXMATCH(AR177,""Perform""),""X"","""")"),"X")</f>
        <v>X</v>
      </c>
      <c r="AC177" s="734" t="str">
        <f t="shared" si="10"/>
        <v>X</v>
      </c>
      <c r="AD177" s="734" t="str">
        <f>IFERROR(__xludf.DUMMYFUNCTION("if(REGEXMATCH(AR177,""Profession""),""X"","""")"),"X")</f>
        <v>X</v>
      </c>
      <c r="AE177" s="734" t="str">
        <f t="shared" si="11"/>
        <v>X</v>
      </c>
      <c r="AF177" s="734" t="str">
        <f>IFERROR(__xludf.DUMMYFUNCTION("if(REGEXMATCH(AR177,$AF$168),""X"","""")"),"")</f>
        <v/>
      </c>
      <c r="AG177" s="734" t="str">
        <f>IFERROR(__xludf.DUMMYFUNCTION("if(REGEXMATCH(AR177,$AG$168),""X"","""")"),"X")</f>
        <v>X</v>
      </c>
      <c r="AH177" s="734" t="str">
        <f>IFERROR(__xludf.DUMMYFUNCTION("if(REGEXMATCH(AR177,$AH$168),""X"","""")"),"")</f>
        <v/>
      </c>
      <c r="AI177" s="734" t="str">
        <f>IFERROR(__xludf.DUMMYFUNCTION("if(REGEXMATCH(AR177,$AI$168),""X"","""")"),"X")</f>
        <v>X</v>
      </c>
      <c r="AJ177" s="739" t="str">
        <f>IFERROR(__xludf.DUMMYFUNCTION("if(REGEXMATCH(AR177,$AJ$168),""X"","""")"),"")</f>
        <v/>
      </c>
      <c r="AK177" s="734" t="str">
        <f>IFERROR(__xludf.DUMMYFUNCTION("if(REGEXMATCH(AR177,$AK$168),""X"","""")"),"")</f>
        <v/>
      </c>
      <c r="AL177" s="734" t="str">
        <f>IFERROR(__xludf.DUMMYFUNCTION("if(REGEXMATCH(AR177,$AL$168),""X"","""")"),"")</f>
        <v/>
      </c>
      <c r="AM177" s="734" t="str">
        <f>IFERROR(__xludf.DUMMYFUNCTION("if(REGEXMATCH(AR177,$AM$168),""X"","""")"),"")</f>
        <v/>
      </c>
      <c r="AN177" s="734"/>
      <c r="AO177" s="734"/>
      <c r="AP177" s="734" t="str">
        <f>IFERROR(__xludf.DUMMYFUNCTION("if(REGEXMATCH(AR177,""Craft""),""X"","""")"),"X")</f>
        <v>X</v>
      </c>
      <c r="AQ177" s="734" t="str">
        <f>IFERROR(__xludf.DUMMYFUNCTION("if(REGEXMATCH(AR177,""Knowledge""),""X"","""")"),"X")</f>
        <v>X</v>
      </c>
      <c r="AR177" s="740" t="s">
        <v>849</v>
      </c>
      <c r="AS177" s="233"/>
      <c r="AT177" s="233"/>
      <c r="AU177" s="233"/>
      <c r="AV177" s="233"/>
      <c r="AW177" s="233"/>
      <c r="AX177" s="233"/>
      <c r="AY177" s="233"/>
      <c r="AZ177" s="233"/>
      <c r="BA177" s="233"/>
      <c r="BB177" s="233"/>
      <c r="BC177" s="233"/>
      <c r="BD177" s="233"/>
      <c r="BE177" s="233"/>
      <c r="BF177" s="241"/>
      <c r="BG177" s="241"/>
      <c r="BH177" s="241"/>
      <c r="BI177" s="241"/>
      <c r="BJ177" s="241"/>
      <c r="BK177" s="241"/>
      <c r="BL177" s="241"/>
    </row>
    <row r="178">
      <c r="A178" s="385" t="s">
        <v>481</v>
      </c>
      <c r="B178" s="734" t="str">
        <f>IFERROR(__xludf.DUMMYFUNCTION("if(REGEXMATCH(AR178,$B$168),""X"","""")"),"X")</f>
        <v>X</v>
      </c>
      <c r="C178" s="734" t="str">
        <f>IFERROR(__xludf.DUMMYFUNCTION("if(REGEXMATCH(AR178,$C$168),""X"","""")"),"")</f>
        <v/>
      </c>
      <c r="D178" s="734" t="str">
        <f>IFERROR(__xludf.DUMMYFUNCTION("if(REGEXMATCH(AR178,$D$168),""X"","""")"),"")</f>
        <v/>
      </c>
      <c r="E178" s="734" t="str">
        <f>IFERROR(__xludf.DUMMYFUNCTION("if(REGEXMATCH(AR178,$E$168),""X"","""")"),"")</f>
        <v/>
      </c>
      <c r="F178" s="734" t="str">
        <f>IFERROR(__xludf.DUMMYFUNCTION("if(REGEXMATCH(AR178,$F$168),""X"","""")"),"X")</f>
        <v>X</v>
      </c>
      <c r="G178" s="734" t="str">
        <f t="shared" si="9"/>
        <v>X</v>
      </c>
      <c r="H178" s="734" t="str">
        <f>IFERROR(__xludf.DUMMYFUNCTION("if(REGEXMATCH(AR178,$H$168),""X"","""")"),"X")</f>
        <v>X</v>
      </c>
      <c r="I178" s="734" t="str">
        <f>IFERROR(__xludf.DUMMYFUNCTION("if(REGEXMATCH(AR178,$I$168),""X"","""")"),"")</f>
        <v/>
      </c>
      <c r="J178" s="734" t="str">
        <f>IFERROR(__xludf.DUMMYFUNCTION("if(REGEXMATCH(AR178,$J$168),""X"","""")"),"")</f>
        <v/>
      </c>
      <c r="K178" s="734" t="str">
        <f>IFERROR(__xludf.DUMMYFUNCTION("if(REGEXMATCH(AR178,$K$168),""X"","""")"),"")</f>
        <v/>
      </c>
      <c r="L178" s="734" t="str">
        <f>IFERROR(__xludf.DUMMYFUNCTION("if(REGEXMATCH(AR178,$L$168),""X"","""")"),"X")</f>
        <v>X</v>
      </c>
      <c r="M178" s="734" t="str">
        <f>IFERROR(__xludf.DUMMYFUNCTION("if(REGEXMATCH(AR178,$M$168),""X"","""")"),"")</f>
        <v/>
      </c>
      <c r="N178" s="734" t="str">
        <f>IFERROR(__xludf.DUMMYFUNCTION("if(REGEXMATCH(AR178,$N$168),""X"","""")"),"")</f>
        <v/>
      </c>
      <c r="O178" s="734" t="str">
        <f>IFERROR(__xludf.DUMMYFUNCTION("if(REGEXMATCH(AR178,$O$168),""X"","""")"),"X")</f>
        <v>X</v>
      </c>
      <c r="P178" s="734" t="str">
        <f>IFERROR(__xludf.DUMMYFUNCTION("if(REGEXMATCH(AR178,""(all)""),""X"",if(REGEXMATCH(AR178,""arcana""),""X"",""""))"),"X")</f>
        <v>X</v>
      </c>
      <c r="Q178" s="734" t="str">
        <f>IFERROR(__xludf.DUMMYFUNCTION("if(REGEXMATCH(AR178,""(all)""),""X"",if(REGEXMATCH(AR178,""dungeoneering""),""X"",""""))"),"X")</f>
        <v>X</v>
      </c>
      <c r="R178" s="734" t="str">
        <f>IFERROR(__xludf.DUMMYFUNCTION("if(REGEXMATCH(AR178,""(all)""),""X"",if(REGEXMATCH(AR178,""engineering""),""X"",""""))"),"X")</f>
        <v>X</v>
      </c>
      <c r="S178" s="734" t="str">
        <f>IFERROR(__xludf.DUMMYFUNCTION("if(REGEXMATCH(AR178,""(all)""),""X"",if(REGEXMATCH(AR178,""geography""),""X"",""""))"),"X")</f>
        <v>X</v>
      </c>
      <c r="T178" s="734" t="str">
        <f>IFERROR(__xludf.DUMMYFUNCTION("if(REGEXMATCH(AR178,""(all)""),""X"",if(REGEXMATCH(AR178,""history""),""X"",""""))"),"X")</f>
        <v>X</v>
      </c>
      <c r="U178" s="734" t="str">
        <f>IFERROR(__xludf.DUMMYFUNCTION("if(REGEXMATCH(AR178,""(all)""),""X"",if(REGEXMATCH(AR178,""local""),""X"",""""))"),"X")</f>
        <v>X</v>
      </c>
      <c r="V178" s="734" t="str">
        <f>IFERROR(__xludf.DUMMYFUNCTION("if(REGEXMATCH(AR178,""(all)""),""X"",if(REGEXMATCH(AR178,""nature""),""X"",""""))"),"X")</f>
        <v>X</v>
      </c>
      <c r="W178" s="734" t="str">
        <f>IFERROR(__xludf.DUMMYFUNCTION("if(REGEXMATCH(AR178,""(all)""),""X"",if(REGEXMATCH(AR178,""nobility""),""X"",""""))"),"X")</f>
        <v>X</v>
      </c>
      <c r="X178" s="734" t="str">
        <f>IFERROR(__xludf.DUMMYFUNCTION("if(REGEXMATCH(AR178,""(all)""),""X"",if(REGEXMATCH(AR178,""planes""),""X"",""""))"),"X")</f>
        <v>X</v>
      </c>
      <c r="Y178" s="734" t="str">
        <f>IFERROR(__xludf.DUMMYFUNCTION("if(REGEXMATCH(AR178,""(all)""),""X"",if(REGEXMATCH(AR178,""religion""),""X"",""""))"),"X")</f>
        <v>X</v>
      </c>
      <c r="Z178" s="734" t="str">
        <f>IFERROR(__xludf.DUMMYFUNCTION("if(REGEXMATCH(AR178,$Z$168),""X"","""")"),"X")</f>
        <v>X</v>
      </c>
      <c r="AA178" s="734" t="str">
        <f>IFERROR(__xludf.DUMMYFUNCTION("if(REGEXMATCH(AR178,$AA$168),""X"","""")"),"X")</f>
        <v>X</v>
      </c>
      <c r="AB178" s="734" t="str">
        <f>IFERROR(__xludf.DUMMYFUNCTION("if(REGEXMATCH(AR178,""Perform""),""X"","""")"),"")</f>
        <v/>
      </c>
      <c r="AC178" s="734" t="str">
        <f t="shared" si="10"/>
        <v/>
      </c>
      <c r="AD178" s="734" t="str">
        <f>IFERROR(__xludf.DUMMYFUNCTION("if(REGEXMATCH(AR178,""Profession""),""X"","""")"),"X")</f>
        <v>X</v>
      </c>
      <c r="AE178" s="734" t="str">
        <f t="shared" si="11"/>
        <v>X</v>
      </c>
      <c r="AF178" s="734" t="str">
        <f>IFERROR(__xludf.DUMMYFUNCTION("if(REGEXMATCH(AR178,$AF$168),""X"","""")"),"")</f>
        <v/>
      </c>
      <c r="AG178" s="734" t="str">
        <f>IFERROR(__xludf.DUMMYFUNCTION("if(REGEXMATCH(AR178,$AG$168),""X"","""")"),"X")</f>
        <v>X</v>
      </c>
      <c r="AH178" s="734" t="str">
        <f>IFERROR(__xludf.DUMMYFUNCTION("if(REGEXMATCH(AR178,$AH$168),""X"","""")"),"")</f>
        <v/>
      </c>
      <c r="AI178" s="734" t="str">
        <f>IFERROR(__xludf.DUMMYFUNCTION("if(REGEXMATCH(AR178,$AI$168),""X"","""")"),"X")</f>
        <v>X</v>
      </c>
      <c r="AJ178" s="739" t="str">
        <f>IFERROR(__xludf.DUMMYFUNCTION("if(REGEXMATCH(AR178,$AJ$168),""X"","""")"),"X")</f>
        <v>X</v>
      </c>
      <c r="AK178" s="734" t="str">
        <f>IFERROR(__xludf.DUMMYFUNCTION("if(REGEXMATCH(AR178,$AK$168),""X"","""")"),"")</f>
        <v/>
      </c>
      <c r="AL178" s="734" t="str">
        <f>IFERROR(__xludf.DUMMYFUNCTION("if(REGEXMATCH(AR178,$AL$168),""X"","""")"),"")</f>
        <v/>
      </c>
      <c r="AM178" s="734" t="str">
        <f>IFERROR(__xludf.DUMMYFUNCTION("if(REGEXMATCH(AR178,$AM$168),""X"","""")"),"")</f>
        <v/>
      </c>
      <c r="AN178" s="734"/>
      <c r="AO178" s="734"/>
      <c r="AP178" s="734" t="str">
        <f>IFERROR(__xludf.DUMMYFUNCTION("if(REGEXMATCH(AR178,""Craft""),""X"","""")"),"X")</f>
        <v>X</v>
      </c>
      <c r="AQ178" s="734" t="str">
        <f>IFERROR(__xludf.DUMMYFUNCTION("if(REGEXMATCH(AR178,""Knowledge""),""X"","""")"),"X")</f>
        <v>X</v>
      </c>
      <c r="AR178" s="740" t="s">
        <v>850</v>
      </c>
      <c r="AS178" s="233"/>
      <c r="AT178" s="233"/>
      <c r="AU178" s="233"/>
      <c r="AV178" s="233"/>
      <c r="AW178" s="233"/>
      <c r="AX178" s="233"/>
      <c r="AY178" s="233"/>
      <c r="AZ178" s="233"/>
      <c r="BA178" s="233"/>
      <c r="BB178" s="233"/>
      <c r="BC178" s="233"/>
      <c r="BD178" s="233"/>
      <c r="BE178" s="233"/>
      <c r="BF178" s="241"/>
      <c r="BG178" s="241"/>
      <c r="BH178" s="241"/>
      <c r="BI178" s="241"/>
      <c r="BJ178" s="241"/>
      <c r="BK178" s="241"/>
      <c r="BL178" s="241"/>
    </row>
    <row r="179">
      <c r="A179" s="385" t="s">
        <v>482</v>
      </c>
      <c r="B179" s="734" t="str">
        <f>IFERROR(__xludf.DUMMYFUNCTION("if(REGEXMATCH(AR179,$B$168),""X"","""")"),"")</f>
        <v/>
      </c>
      <c r="C179" s="734" t="str">
        <f>IFERROR(__xludf.DUMMYFUNCTION("if(REGEXMATCH(AR179,$C$168),""X"","""")"),"")</f>
        <v/>
      </c>
      <c r="D179" s="734" t="str">
        <f>IFERROR(__xludf.DUMMYFUNCTION("if(REGEXMATCH(AR179,$D$168),""X"","""")"),"")</f>
        <v/>
      </c>
      <c r="E179" s="734" t="str">
        <f>IFERROR(__xludf.DUMMYFUNCTION("if(REGEXMATCH(AR179,$E$168),""X"","""")"),"")</f>
        <v/>
      </c>
      <c r="F179" s="734" t="str">
        <f>IFERROR(__xludf.DUMMYFUNCTION("if(REGEXMATCH(AR179,$F$168),""X"","""")"),"X")</f>
        <v>X</v>
      </c>
      <c r="G179" s="734" t="str">
        <f t="shared" si="9"/>
        <v>X</v>
      </c>
      <c r="H179" s="734" t="str">
        <f>IFERROR(__xludf.DUMMYFUNCTION("if(REGEXMATCH(AR179,$H$168),""X"","""")"),"X")</f>
        <v>X</v>
      </c>
      <c r="I179" s="734" t="str">
        <f>IFERROR(__xludf.DUMMYFUNCTION("if(REGEXMATCH(AR179,$I$168),""X"","""")"),"")</f>
        <v/>
      </c>
      <c r="J179" s="734" t="str">
        <f>IFERROR(__xludf.DUMMYFUNCTION("if(REGEXMATCH(AR179,$J$168),""X"","""")"),"X")</f>
        <v>X</v>
      </c>
      <c r="K179" s="734" t="str">
        <f>IFERROR(__xludf.DUMMYFUNCTION("if(REGEXMATCH(AR179,$K$168),""X"","""")"),"")</f>
        <v/>
      </c>
      <c r="L179" s="734" t="str">
        <f>IFERROR(__xludf.DUMMYFUNCTION("if(REGEXMATCH(AR179,$L$168),""X"","""")"),"X")</f>
        <v>X</v>
      </c>
      <c r="M179" s="734" t="str">
        <f>IFERROR(__xludf.DUMMYFUNCTION("if(REGEXMATCH(AR179,$M$168),""X"","""")"),"")</f>
        <v/>
      </c>
      <c r="N179" s="734" t="str">
        <f>IFERROR(__xludf.DUMMYFUNCTION("if(REGEXMATCH(AR179,$N$168),""X"","""")"),"X")</f>
        <v>X</v>
      </c>
      <c r="O179" s="734" t="str">
        <f>IFERROR(__xludf.DUMMYFUNCTION("if(REGEXMATCH(AR179,$O$168),""X"","""")"),"X")</f>
        <v>X</v>
      </c>
      <c r="P179" s="734" t="str">
        <f>IFERROR(__xludf.DUMMYFUNCTION("if(REGEXMATCH(AR179,""(all)""),""X"",if(REGEXMATCH(AR179,""arcana""),""X"",""""))"),"X")</f>
        <v>X</v>
      </c>
      <c r="Q179" s="734" t="str">
        <f>IFERROR(__xludf.DUMMYFUNCTION("if(REGEXMATCH(AR179,""(all)""),""X"",if(REGEXMATCH(AR179,""dungeoneering""),""X"",""""))"),"X")</f>
        <v>X</v>
      </c>
      <c r="R179" s="734" t="str">
        <f>IFERROR(__xludf.DUMMYFUNCTION("if(REGEXMATCH(AR179,""(all)""),""X"",if(REGEXMATCH(AR179,""engineering""),""X"",""""))"),"X")</f>
        <v>X</v>
      </c>
      <c r="S179" s="734" t="str">
        <f>IFERROR(__xludf.DUMMYFUNCTION("if(REGEXMATCH(AR179,""(all)""),""X"",if(REGEXMATCH(AR179,""geography""),""X"",""""))"),"X")</f>
        <v>X</v>
      </c>
      <c r="T179" s="734" t="str">
        <f>IFERROR(__xludf.DUMMYFUNCTION("if(REGEXMATCH(AR179,""(all)""),""X"",if(REGEXMATCH(AR179,""history""),""X"",""""))"),"X")</f>
        <v>X</v>
      </c>
      <c r="U179" s="734" t="str">
        <f>IFERROR(__xludf.DUMMYFUNCTION("if(REGEXMATCH(AR179,""(all)""),""X"",if(REGEXMATCH(AR179,""local""),""X"",""""))"),"X")</f>
        <v>X</v>
      </c>
      <c r="V179" s="734" t="str">
        <f>IFERROR(__xludf.DUMMYFUNCTION("if(REGEXMATCH(AR179,""(all)""),""X"",if(REGEXMATCH(AR179,""nature""),""X"",""""))"),"X")</f>
        <v>X</v>
      </c>
      <c r="W179" s="734" t="str">
        <f>IFERROR(__xludf.DUMMYFUNCTION("if(REGEXMATCH(AR179,""(all)""),""X"",if(REGEXMATCH(AR179,""nobility""),""X"",""""))"),"X")</f>
        <v>X</v>
      </c>
      <c r="X179" s="734" t="str">
        <f>IFERROR(__xludf.DUMMYFUNCTION("if(REGEXMATCH(AR179,""(all)""),""X"",if(REGEXMATCH(AR179,""planes""),""X"",""""))"),"X")</f>
        <v>X</v>
      </c>
      <c r="Y179" s="734" t="str">
        <f>IFERROR(__xludf.DUMMYFUNCTION("if(REGEXMATCH(AR179,""(all)""),""X"",if(REGEXMATCH(AR179,""religion""),""X"",""""))"),"X")</f>
        <v>X</v>
      </c>
      <c r="Z179" s="734" t="str">
        <f>IFERROR(__xludf.DUMMYFUNCTION("if(REGEXMATCH(AR179,$Z$168),""X"","""")"),"X")</f>
        <v>X</v>
      </c>
      <c r="AA179" s="734" t="str">
        <f>IFERROR(__xludf.DUMMYFUNCTION("if(REGEXMATCH(AR179,$AA$168),""X"","""")"),"")</f>
        <v/>
      </c>
      <c r="AB179" s="734" t="str">
        <f>IFERROR(__xludf.DUMMYFUNCTION("if(REGEXMATCH(AR179,""Perform""),""X"","""")"),"X")</f>
        <v>X</v>
      </c>
      <c r="AC179" s="734" t="str">
        <f t="shared" si="10"/>
        <v>X</v>
      </c>
      <c r="AD179" s="734" t="str">
        <f>IFERROR(__xludf.DUMMYFUNCTION("if(REGEXMATCH(AR179,""Profession""),""X"","""")"),"X")</f>
        <v>X</v>
      </c>
      <c r="AE179" s="734" t="str">
        <f t="shared" si="11"/>
        <v>X</v>
      </c>
      <c r="AF179" s="734" t="str">
        <f>IFERROR(__xludf.DUMMYFUNCTION("if(REGEXMATCH(AR179,$AF$168),""X"","""")"),"")</f>
        <v/>
      </c>
      <c r="AG179" s="734" t="str">
        <f>IFERROR(__xludf.DUMMYFUNCTION("if(REGEXMATCH(AR179,$AG$168),""X"","""")"),"X")</f>
        <v>X</v>
      </c>
      <c r="AH179" s="734" t="str">
        <f>IFERROR(__xludf.DUMMYFUNCTION("if(REGEXMATCH(AR179,$AH$168),""X"","""")"),"")</f>
        <v/>
      </c>
      <c r="AI179" s="734" t="str">
        <f>IFERROR(__xludf.DUMMYFUNCTION("if(REGEXMATCH(AR179,$AI$168),""X"","""")"),"X")</f>
        <v>X</v>
      </c>
      <c r="AJ179" s="739" t="str">
        <f>IFERROR(__xludf.DUMMYFUNCTION("if(REGEXMATCH(AR179,$AJ$168),""X"","""")"),"")</f>
        <v/>
      </c>
      <c r="AK179" s="734" t="str">
        <f>IFERROR(__xludf.DUMMYFUNCTION("if(REGEXMATCH(AR179,$AK$168),""X"","""")"),"")</f>
        <v/>
      </c>
      <c r="AL179" s="734" t="str">
        <f>IFERROR(__xludf.DUMMYFUNCTION("if(REGEXMATCH(AR179,$AL$168),""X"","""")"),"")</f>
        <v/>
      </c>
      <c r="AM179" s="734" t="str">
        <f>IFERROR(__xludf.DUMMYFUNCTION("if(REGEXMATCH(AR179,$AM$168),""X"","""")"),"X")</f>
        <v>X</v>
      </c>
      <c r="AN179" s="734"/>
      <c r="AO179" s="734"/>
      <c r="AP179" s="734" t="str">
        <f>IFERROR(__xludf.DUMMYFUNCTION("if(REGEXMATCH(AR179,""Craft""),""X"","""")"),"X")</f>
        <v>X</v>
      </c>
      <c r="AQ179" s="734" t="str">
        <f>IFERROR(__xludf.DUMMYFUNCTION("if(REGEXMATCH(AR179,""Knowledge""),""X"","""")"),"X")</f>
        <v>X</v>
      </c>
      <c r="AR179" s="740" t="s">
        <v>854</v>
      </c>
      <c r="AS179" s="233"/>
      <c r="AT179" s="233"/>
      <c r="AU179" s="233"/>
      <c r="AV179" s="233"/>
      <c r="AW179" s="233"/>
      <c r="AX179" s="233"/>
      <c r="AY179" s="233"/>
      <c r="AZ179" s="233"/>
      <c r="BA179" s="233"/>
      <c r="BB179" s="233"/>
      <c r="BC179" s="233"/>
      <c r="BD179" s="233"/>
      <c r="BE179" s="233"/>
      <c r="BF179" s="241"/>
      <c r="BG179" s="241"/>
      <c r="BH179" s="241"/>
      <c r="BI179" s="241"/>
      <c r="BJ179" s="241"/>
      <c r="BK179" s="241"/>
      <c r="BL179" s="241"/>
    </row>
    <row r="180">
      <c r="A180" s="436" t="s">
        <v>483</v>
      </c>
      <c r="B180" s="734" t="str">
        <f>IFERROR(__xludf.DUMMYFUNCTION("if(REGEXMATCH(AR180,$B$168),""X"","""")"),"")</f>
        <v/>
      </c>
      <c r="C180" s="734" t="str">
        <f>IFERROR(__xludf.DUMMYFUNCTION("if(REGEXMATCH(AR180,$C$168),""X"","""")"),"")</f>
        <v/>
      </c>
      <c r="D180" s="734" t="str">
        <f>IFERROR(__xludf.DUMMYFUNCTION("if(REGEXMATCH(AR180,$D$168),""X"","""")"),"X")</f>
        <v>X</v>
      </c>
      <c r="E180" s="734" t="str">
        <f>IFERROR(__xludf.DUMMYFUNCTION("if(REGEXMATCH(AR180,$E$168),""X"","""")"),"")</f>
        <v/>
      </c>
      <c r="F180" s="734" t="str">
        <f>IFERROR(__xludf.DUMMYFUNCTION("if(REGEXMATCH(AR180,$F$168),""X"","""")"),"X")</f>
        <v>X</v>
      </c>
      <c r="G180" s="734" t="str">
        <f t="shared" si="9"/>
        <v>X</v>
      </c>
      <c r="H180" s="734" t="str">
        <f>IFERROR(__xludf.DUMMYFUNCTION("if(REGEXMATCH(AR180,$H$168),""X"","""")"),"")</f>
        <v/>
      </c>
      <c r="I180" s="734" t="str">
        <f>IFERROR(__xludf.DUMMYFUNCTION("if(REGEXMATCH(AR180,$I$168),""X"","""")"),"")</f>
        <v/>
      </c>
      <c r="J180" s="734" t="str">
        <f>IFERROR(__xludf.DUMMYFUNCTION("if(REGEXMATCH(AR180,$J$168),""X"","""")"),"X")</f>
        <v>X</v>
      </c>
      <c r="K180" s="734" t="str">
        <f>IFERROR(__xludf.DUMMYFUNCTION("if(REGEXMATCH(AR180,$K$168),""X"","""")"),"")</f>
        <v/>
      </c>
      <c r="L180" s="734" t="str">
        <f>IFERROR(__xludf.DUMMYFUNCTION("if(REGEXMATCH(AR180,$L$168),""X"","""")"),"X")</f>
        <v>X</v>
      </c>
      <c r="M180" s="734" t="str">
        <f>IFERROR(__xludf.DUMMYFUNCTION("if(REGEXMATCH(AR180,$M$168),""X"","""")"),"")</f>
        <v/>
      </c>
      <c r="N180" s="734" t="str">
        <f>IFERROR(__xludf.DUMMYFUNCTION("if(REGEXMATCH(AR180,$N$168),""X"","""")"),"")</f>
        <v/>
      </c>
      <c r="O180" s="734" t="str">
        <f>IFERROR(__xludf.DUMMYFUNCTION("if(REGEXMATCH(AR180,$O$168),""X"","""")"),"X")</f>
        <v>X</v>
      </c>
      <c r="P180" s="734" t="str">
        <f>IFERROR(__xludf.DUMMYFUNCTION("if(REGEXMATCH(AR180,""(all)""),""X"",if(REGEXMATCH(AR180,""arcana""),""X"",""""))"),"X")</f>
        <v>X</v>
      </c>
      <c r="Q180" s="734" t="str">
        <f>IFERROR(__xludf.DUMMYFUNCTION("if(REGEXMATCH(AR180,""(all)""),""X"",if(REGEXMATCH(AR180,""dungeoneering""),""X"",""""))"),"")</f>
        <v/>
      </c>
      <c r="R180" s="734" t="str">
        <f>IFERROR(__xludf.DUMMYFUNCTION("if(REGEXMATCH(AR180,""(all)""),""X"",if(REGEXMATCH(AR180,""engineering""),""X"",""""))"),"")</f>
        <v/>
      </c>
      <c r="S180" s="734" t="str">
        <f>IFERROR(__xludf.DUMMYFUNCTION("if(REGEXMATCH(AR180,""(all)""),""X"",if(REGEXMATCH(AR180,""geography""),""X"",""""))"),"")</f>
        <v/>
      </c>
      <c r="T180" s="734" t="str">
        <f>IFERROR(__xludf.DUMMYFUNCTION("if(REGEXMATCH(AR180,""(all)""),""X"",if(REGEXMATCH(AR180,""history""),""X"",""""))"),"X")</f>
        <v>X</v>
      </c>
      <c r="U180" s="734" t="str">
        <f>IFERROR(__xludf.DUMMYFUNCTION("if(REGEXMATCH(AR180,""(all)""),""X"",if(REGEXMATCH(AR180,""local""),""X"",""""))"),"")</f>
        <v/>
      </c>
      <c r="V180" s="734" t="str">
        <f>IFERROR(__xludf.DUMMYFUNCTION("if(REGEXMATCH(AR180,""(all)""),""X"",if(REGEXMATCH(AR180,""nature""),""X"",""""))"),"")</f>
        <v/>
      </c>
      <c r="W180" s="734" t="str">
        <f>IFERROR(__xludf.DUMMYFUNCTION("if(REGEXMATCH(AR180,""(all)""),""X"",if(REGEXMATCH(AR180,""nobility""),""X"",""""))"),"X")</f>
        <v>X</v>
      </c>
      <c r="X180" s="734" t="str">
        <f>IFERROR(__xludf.DUMMYFUNCTION("if(REGEXMATCH(AR180,""(all)""),""X"",if(REGEXMATCH(AR180,""planes""),""X"",""""))"),"")</f>
        <v/>
      </c>
      <c r="Y180" s="734" t="str">
        <f>IFERROR(__xludf.DUMMYFUNCTION("if(REGEXMATCH(AR180,""(all)""),""X"",if(REGEXMATCH(AR180,""religion""),""X"",""""))"),"X")</f>
        <v>X</v>
      </c>
      <c r="Z180" s="734" t="str">
        <f>IFERROR(__xludf.DUMMYFUNCTION("if(REGEXMATCH(AR180,$Z$168),""X"","""")"),"X")</f>
        <v>X</v>
      </c>
      <c r="AA180" s="734" t="str">
        <f>IFERROR(__xludf.DUMMYFUNCTION("if(REGEXMATCH(AR180,$AA$168),""X"","""")"),"X")</f>
        <v>X</v>
      </c>
      <c r="AB180" s="734" t="str">
        <f>IFERROR(__xludf.DUMMYFUNCTION("if(REGEXMATCH(AR180,""Perform""),""X"","""")"),"")</f>
        <v/>
      </c>
      <c r="AC180" s="734" t="str">
        <f t="shared" si="10"/>
        <v/>
      </c>
      <c r="AD180" s="734" t="str">
        <f>IFERROR(__xludf.DUMMYFUNCTION("if(REGEXMATCH(AR180,""Profession""),""X"","""")"),"X")</f>
        <v>X</v>
      </c>
      <c r="AE180" s="734" t="str">
        <f t="shared" si="11"/>
        <v>X</v>
      </c>
      <c r="AF180" s="734" t="str">
        <f>IFERROR(__xludf.DUMMYFUNCTION("if(REGEXMATCH(AR180,$AF$168),""X"","""")"),"")</f>
        <v/>
      </c>
      <c r="AG180" s="734" t="str">
        <f>IFERROR(__xludf.DUMMYFUNCTION("if(REGEXMATCH(AR180,$AG$168),""X"","""")"),"X")</f>
        <v>X</v>
      </c>
      <c r="AH180" s="734" t="str">
        <f>IFERROR(__xludf.DUMMYFUNCTION("if(REGEXMATCH(AR180,$AH$168),""X"","""")"),"")</f>
        <v/>
      </c>
      <c r="AI180" s="734" t="str">
        <f>IFERROR(__xludf.DUMMYFUNCTION("if(REGEXMATCH(AR180,$AI$168),""X"","""")"),"X")</f>
        <v>X</v>
      </c>
      <c r="AJ180" s="739" t="str">
        <f>IFERROR(__xludf.DUMMYFUNCTION("if(REGEXMATCH(AR180,$AJ$168),""X"","""")"),"X")</f>
        <v>X</v>
      </c>
      <c r="AK180" s="734" t="str">
        <f>IFERROR(__xludf.DUMMYFUNCTION("if(REGEXMATCH(AR180,$AK$168),""X"","""")"),"")</f>
        <v/>
      </c>
      <c r="AL180" s="734" t="str">
        <f>IFERROR(__xludf.DUMMYFUNCTION("if(REGEXMATCH(AR180,$AL$168),""X"","""")"),"")</f>
        <v/>
      </c>
      <c r="AM180" s="734" t="str">
        <f>IFERROR(__xludf.DUMMYFUNCTION("if(REGEXMATCH(AR180,$AM$168),""X"","""")"),"X")</f>
        <v>X</v>
      </c>
      <c r="AN180" s="734"/>
      <c r="AO180" s="734"/>
      <c r="AP180" s="734" t="str">
        <f>IFERROR(__xludf.DUMMYFUNCTION("if(REGEXMATCH(AR180,""Craft""),""X"","""")"),"X")</f>
        <v>X</v>
      </c>
      <c r="AQ180" s="734" t="str">
        <f>IFERROR(__xludf.DUMMYFUNCTION("if(REGEXMATCH(AR180,""Knowledge""),""X"","""")"),"X")</f>
        <v>X</v>
      </c>
      <c r="AR180" s="740" t="s">
        <v>865</v>
      </c>
      <c r="AS180" s="233"/>
      <c r="AT180" s="233"/>
      <c r="AU180" s="233"/>
      <c r="AV180" s="233"/>
      <c r="AW180" s="233"/>
      <c r="AX180" s="233"/>
      <c r="AY180" s="233"/>
      <c r="AZ180" s="233"/>
      <c r="BA180" s="233"/>
      <c r="BB180" s="233"/>
      <c r="BC180" s="233"/>
      <c r="BD180" s="233"/>
      <c r="BE180" s="233"/>
      <c r="BF180" s="241"/>
      <c r="BG180" s="241"/>
      <c r="BH180" s="241"/>
      <c r="BI180" s="241"/>
      <c r="BJ180" s="241"/>
      <c r="BK180" s="241"/>
      <c r="BL180" s="241"/>
    </row>
    <row r="181">
      <c r="A181" s="385" t="s">
        <v>484</v>
      </c>
      <c r="B181" s="734" t="str">
        <f>IFERROR(__xludf.DUMMYFUNCTION("if(REGEXMATCH(AR181,$B$168),""X"","""")"),"X")</f>
        <v>X</v>
      </c>
      <c r="C181" s="734" t="str">
        <f>IFERROR(__xludf.DUMMYFUNCTION("if(REGEXMATCH(AR181,$C$168),""X"","""")"),"")</f>
        <v/>
      </c>
      <c r="D181" s="734" t="str">
        <f>IFERROR(__xludf.DUMMYFUNCTION("if(REGEXMATCH(AR181,$D$168),""X"","""")"),"")</f>
        <v/>
      </c>
      <c r="E181" s="734" t="str">
        <f>IFERROR(__xludf.DUMMYFUNCTION("if(REGEXMATCH(AR181,$E$168),""X"","""")"),"X")</f>
        <v>X</v>
      </c>
      <c r="F181" s="734" t="str">
        <f>IFERROR(__xludf.DUMMYFUNCTION("if(REGEXMATCH(AR181,$F$168),""X"","""")"),"X")</f>
        <v>X</v>
      </c>
      <c r="G181" s="734" t="str">
        <f t="shared" si="9"/>
        <v>X</v>
      </c>
      <c r="H181" s="734" t="str">
        <f>IFERROR(__xludf.DUMMYFUNCTION("if(REGEXMATCH(AR181,$H$168),""X"","""")"),"")</f>
        <v/>
      </c>
      <c r="I181" s="734" t="str">
        <f>IFERROR(__xludf.DUMMYFUNCTION("if(REGEXMATCH(AR181,$I$168),""X"","""")"),"")</f>
        <v/>
      </c>
      <c r="J181" s="734" t="str">
        <f>IFERROR(__xludf.DUMMYFUNCTION("if(REGEXMATCH(AR181,$J$168),""X"","""")"),"")</f>
        <v/>
      </c>
      <c r="K181" s="734" t="str">
        <f>IFERROR(__xludf.DUMMYFUNCTION("if(REGEXMATCH(AR181,$K$168),""X"","""")"),"")</f>
        <v/>
      </c>
      <c r="L181" s="734" t="str">
        <f>IFERROR(__xludf.DUMMYFUNCTION("if(REGEXMATCH(AR181,$L$168),""X"","""")"),"")</f>
        <v/>
      </c>
      <c r="M181" s="734" t="str">
        <f>IFERROR(__xludf.DUMMYFUNCTION("if(REGEXMATCH(AR181,$M$168),""X"","""")"),"")</f>
        <v/>
      </c>
      <c r="N181" s="734" t="str">
        <f>IFERROR(__xludf.DUMMYFUNCTION("if(REGEXMATCH(AR181,$N$168),""X"","""")"),"")</f>
        <v/>
      </c>
      <c r="O181" s="734" t="str">
        <f>IFERROR(__xludf.DUMMYFUNCTION("if(REGEXMATCH(AR181,$O$168),""X"","""")"),"X")</f>
        <v>X</v>
      </c>
      <c r="P181" s="734" t="str">
        <f>IFERROR(__xludf.DUMMYFUNCTION("if(REGEXMATCH(AR181,""(all)""),""X"",if(REGEXMATCH(AR181,""arcana""),""X"",""""))"),"")</f>
        <v/>
      </c>
      <c r="Q181" s="734" t="str">
        <f>IFERROR(__xludf.DUMMYFUNCTION("if(REGEXMATCH(AR181,""(all)""),""X"",if(REGEXMATCH(AR181,""dungeoneering""),""X"",""""))"),"X")</f>
        <v>X</v>
      </c>
      <c r="R181" s="734" t="str">
        <f>IFERROR(__xludf.DUMMYFUNCTION("if(REGEXMATCH(AR181,""(all)""),""X"",if(REGEXMATCH(AR181,""engineering""),""X"",""""))"),"")</f>
        <v/>
      </c>
      <c r="S181" s="734" t="str">
        <f>IFERROR(__xludf.DUMMYFUNCTION("if(REGEXMATCH(AR181,""(all)""),""X"",if(REGEXMATCH(AR181,""geography""),""X"",""""))"),"X")</f>
        <v>X</v>
      </c>
      <c r="T181" s="734" t="str">
        <f>IFERROR(__xludf.DUMMYFUNCTION("if(REGEXMATCH(AR181,""(all)""),""X"",if(REGEXMATCH(AR181,""history""),""X"",""""))"),"")</f>
        <v/>
      </c>
      <c r="U181" s="734" t="str">
        <f>IFERROR(__xludf.DUMMYFUNCTION("if(REGEXMATCH(AR181,""(all)""),""X"",if(REGEXMATCH(AR181,""local""),""X"",""""))"),"X")</f>
        <v>X</v>
      </c>
      <c r="V181" s="734" t="str">
        <f>IFERROR(__xludf.DUMMYFUNCTION("if(REGEXMATCH(AR181,""(all)""),""X"",if(REGEXMATCH(AR181,""nature""),""X"",""""))"),"")</f>
        <v/>
      </c>
      <c r="W181" s="734" t="str">
        <f>IFERROR(__xludf.DUMMYFUNCTION("if(REGEXMATCH(AR181,""(all)""),""X"",if(REGEXMATCH(AR181,""nobility""),""X"",""""))"),"X")</f>
        <v>X</v>
      </c>
      <c r="X181" s="734" t="str">
        <f>IFERROR(__xludf.DUMMYFUNCTION("if(REGEXMATCH(AR181,""(all)""),""X"",if(REGEXMATCH(AR181,""planes""),""X"",""""))"),"")</f>
        <v/>
      </c>
      <c r="Y181" s="734" t="str">
        <f>IFERROR(__xludf.DUMMYFUNCTION("if(REGEXMATCH(AR181,""(all)""),""X"",if(REGEXMATCH(AR181,""religion""),""X"",""""))"),"")</f>
        <v/>
      </c>
      <c r="Z181" s="734" t="str">
        <f>IFERROR(__xludf.DUMMYFUNCTION("if(REGEXMATCH(AR181,$Z$168),""X"","""")"),"")</f>
        <v/>
      </c>
      <c r="AA181" s="734" t="str">
        <f>IFERROR(__xludf.DUMMYFUNCTION("if(REGEXMATCH(AR181,$AA$168),""X"","""")"),"X")</f>
        <v>X</v>
      </c>
      <c r="AB181" s="734" t="str">
        <f>IFERROR(__xludf.DUMMYFUNCTION("if(REGEXMATCH(AR181,""Perform""),""X"","""")"),"")</f>
        <v/>
      </c>
      <c r="AC181" s="734" t="str">
        <f t="shared" si="10"/>
        <v/>
      </c>
      <c r="AD181" s="734" t="str">
        <f>IFERROR(__xludf.DUMMYFUNCTION("if(REGEXMATCH(AR181,""Profession""),""X"","""")"),"X")</f>
        <v>X</v>
      </c>
      <c r="AE181" s="734" t="str">
        <f t="shared" si="11"/>
        <v>X</v>
      </c>
      <c r="AF181" s="734" t="str">
        <f>IFERROR(__xludf.DUMMYFUNCTION("if(REGEXMATCH(AR181,$AF$168),""X"","""")"),"X")</f>
        <v>X</v>
      </c>
      <c r="AG181" s="734" t="str">
        <f>IFERROR(__xludf.DUMMYFUNCTION("if(REGEXMATCH(AR181,$AG$168),""X"","""")"),"X")</f>
        <v>X</v>
      </c>
      <c r="AH181" s="734" t="str">
        <f>IFERROR(__xludf.DUMMYFUNCTION("if(REGEXMATCH(AR181,$AH$168),""X"","""")"),"X")</f>
        <v>X</v>
      </c>
      <c r="AI181" s="734" t="str">
        <f>IFERROR(__xludf.DUMMYFUNCTION("if(REGEXMATCH(AR181,$AI$168),""X"","""")"),"")</f>
        <v/>
      </c>
      <c r="AJ181" s="739" t="str">
        <f>IFERROR(__xludf.DUMMYFUNCTION("if(REGEXMATCH(AR181,$AJ$168),""X"","""")"),"")</f>
        <v/>
      </c>
      <c r="AK181" s="734" t="str">
        <f>IFERROR(__xludf.DUMMYFUNCTION("if(REGEXMATCH(AR181,$AK$168),""X"","""")"),"X")</f>
        <v>X</v>
      </c>
      <c r="AL181" s="734" t="str">
        <f>IFERROR(__xludf.DUMMYFUNCTION("if(REGEXMATCH(AR181,$AL$168),""X"","""")"),"X")</f>
        <v>X</v>
      </c>
      <c r="AM181" s="734" t="str">
        <f>IFERROR(__xludf.DUMMYFUNCTION("if(REGEXMATCH(AR181,$AM$168),""X"","""")"),"")</f>
        <v/>
      </c>
      <c r="AN181" s="734"/>
      <c r="AO181" s="734"/>
      <c r="AP181" s="734" t="str">
        <f>IFERROR(__xludf.DUMMYFUNCTION("if(REGEXMATCH(AR181,""Craft""),""X"","""")"),"X")</f>
        <v>X</v>
      </c>
      <c r="AQ181" s="734" t="str">
        <f>IFERROR(__xludf.DUMMYFUNCTION("if(REGEXMATCH(AR181,""Knowledge""),""X"","""")"),"X")</f>
        <v>X</v>
      </c>
      <c r="AR181" s="740" t="s">
        <v>866</v>
      </c>
      <c r="AS181" s="233"/>
      <c r="AT181" s="233"/>
      <c r="AU181" s="233"/>
      <c r="AV181" s="233"/>
      <c r="AW181" s="233"/>
      <c r="AX181" s="233"/>
      <c r="AY181" s="233"/>
      <c r="AZ181" s="233"/>
      <c r="BA181" s="233"/>
      <c r="BB181" s="233"/>
      <c r="BC181" s="233"/>
      <c r="BD181" s="233"/>
      <c r="BE181" s="233"/>
      <c r="BF181" s="241"/>
      <c r="BG181" s="241"/>
      <c r="BH181" s="241"/>
      <c r="BI181" s="241"/>
      <c r="BJ181" s="241"/>
      <c r="BK181" s="241"/>
      <c r="BL181" s="241"/>
    </row>
    <row r="182">
      <c r="A182" s="385" t="s">
        <v>485</v>
      </c>
      <c r="B182" s="734" t="str">
        <f>IFERROR(__xludf.DUMMYFUNCTION("if(REGEXMATCH(AR182,$B$168),""X"","""")"),"")</f>
        <v/>
      </c>
      <c r="C182" s="734" t="str">
        <f>IFERROR(__xludf.DUMMYFUNCTION("if(REGEXMATCH(AR182,$C$168),""X"","""")"),"X")</f>
        <v>X</v>
      </c>
      <c r="D182" s="734" t="str">
        <f>IFERROR(__xludf.DUMMYFUNCTION("if(REGEXMATCH(AR182,$D$168),""X"","""")"),"")</f>
        <v/>
      </c>
      <c r="E182" s="734" t="str">
        <f>IFERROR(__xludf.DUMMYFUNCTION("if(REGEXMATCH(AR182,$E$168),""X"","""")"),"X")</f>
        <v>X</v>
      </c>
      <c r="F182" s="734" t="str">
        <f>IFERROR(__xludf.DUMMYFUNCTION("if(REGEXMATCH(AR182,$F$168),""X"","""")"),"X")</f>
        <v>X</v>
      </c>
      <c r="G182" s="734" t="str">
        <f t="shared" si="9"/>
        <v>X</v>
      </c>
      <c r="H182" s="734" t="str">
        <f>IFERROR(__xludf.DUMMYFUNCTION("if(REGEXMATCH(AR182,$H$168),""X"","""")"),"")</f>
        <v/>
      </c>
      <c r="I182" s="734" t="str">
        <f>IFERROR(__xludf.DUMMYFUNCTION("if(REGEXMATCH(AR182,$I$168),""X"","""")"),"X")</f>
        <v>X</v>
      </c>
      <c r="J182" s="734" t="str">
        <f>IFERROR(__xludf.DUMMYFUNCTION("if(REGEXMATCH(AR182,$J$168),""X"","""")"),"")</f>
        <v/>
      </c>
      <c r="K182" s="734" t="str">
        <f>IFERROR(__xludf.DUMMYFUNCTION("if(REGEXMATCH(AR182,$K$168),""X"","""")"),"")</f>
        <v/>
      </c>
      <c r="L182" s="734" t="str">
        <f>IFERROR(__xludf.DUMMYFUNCTION("if(REGEXMATCH(AR182,$L$168),""X"","""")"),"")</f>
        <v/>
      </c>
      <c r="M182" s="734" t="str">
        <f>IFERROR(__xludf.DUMMYFUNCTION("if(REGEXMATCH(AR182,$M$168),""X"","""")"),"")</f>
        <v/>
      </c>
      <c r="N182" s="734" t="str">
        <f>IFERROR(__xludf.DUMMYFUNCTION("if(REGEXMATCH(AR182,$N$168),""X"","""")"),"")</f>
        <v/>
      </c>
      <c r="O182" s="734" t="str">
        <f>IFERROR(__xludf.DUMMYFUNCTION("if(REGEXMATCH(AR182,$O$168),""X"","""")"),"X")</f>
        <v>X</v>
      </c>
      <c r="P182" s="734" t="str">
        <f>IFERROR(__xludf.DUMMYFUNCTION("if(REGEXMATCH(AR182,""(all)""),""X"",if(REGEXMATCH(AR182,""arcana""),""X"",""""))"),"")</f>
        <v/>
      </c>
      <c r="Q182" s="734" t="str">
        <f>IFERROR(__xludf.DUMMYFUNCTION("if(REGEXMATCH(AR182,""(all)""),""X"",if(REGEXMATCH(AR182,""dungeoneering""),""X"",""""))"),"")</f>
        <v/>
      </c>
      <c r="R182" s="734" t="str">
        <f>IFERROR(__xludf.DUMMYFUNCTION("if(REGEXMATCH(AR182,""(all)""),""X"",if(REGEXMATCH(AR182,""engineering""),""X"",""""))"),"X")</f>
        <v>X</v>
      </c>
      <c r="S182" s="734" t="str">
        <f>IFERROR(__xludf.DUMMYFUNCTION("if(REGEXMATCH(AR182,""(all)""),""X"",if(REGEXMATCH(AR182,""geography""),""X"",""""))"),"")</f>
        <v/>
      </c>
      <c r="T182" s="734" t="str">
        <f>IFERROR(__xludf.DUMMYFUNCTION("if(REGEXMATCH(AR182,""(all)""),""X"",if(REGEXMATCH(AR182,""history""),""X"",""""))"),"")</f>
        <v/>
      </c>
      <c r="U182" s="734" t="str">
        <f>IFERROR(__xludf.DUMMYFUNCTION("if(REGEXMATCH(AR182,""(all)""),""X"",if(REGEXMATCH(AR182,""local""),""X"",""""))"),"X")</f>
        <v>X</v>
      </c>
      <c r="V182" s="734" t="str">
        <f>IFERROR(__xludf.DUMMYFUNCTION("if(REGEXMATCH(AR182,""(all)""),""X"",if(REGEXMATCH(AR182,""nature""),""X"",""""))"),"")</f>
        <v/>
      </c>
      <c r="W182" s="734" t="str">
        <f>IFERROR(__xludf.DUMMYFUNCTION("if(REGEXMATCH(AR182,""(all)""),""X"",if(REGEXMATCH(AR182,""nobility""),""X"",""""))"),"")</f>
        <v/>
      </c>
      <c r="X182" s="734" t="str">
        <f>IFERROR(__xludf.DUMMYFUNCTION("if(REGEXMATCH(AR182,""(all)""),""X"",if(REGEXMATCH(AR182,""planes""),""X"",""""))"),"")</f>
        <v/>
      </c>
      <c r="Y182" s="734" t="str">
        <f>IFERROR(__xludf.DUMMYFUNCTION("if(REGEXMATCH(AR182,""(all)""),""X"",if(REGEXMATCH(AR182,""religion""),""X"",""""))"),"")</f>
        <v/>
      </c>
      <c r="Z182" s="734" t="str">
        <f>IFERROR(__xludf.DUMMYFUNCTION("if(REGEXMATCH(AR182,$Z$168),""X"","""")"),"")</f>
        <v/>
      </c>
      <c r="AA182" s="734" t="str">
        <f>IFERROR(__xludf.DUMMYFUNCTION("if(REGEXMATCH(AR182,$AA$168),""X"","""")"),"X")</f>
        <v>X</v>
      </c>
      <c r="AB182" s="734" t="str">
        <f>IFERROR(__xludf.DUMMYFUNCTION("if(REGEXMATCH(AR182,""Perform""),""X"","""")"),"")</f>
        <v/>
      </c>
      <c r="AC182" s="734" t="str">
        <f t="shared" si="10"/>
        <v/>
      </c>
      <c r="AD182" s="734" t="str">
        <f>IFERROR(__xludf.DUMMYFUNCTION("if(REGEXMATCH(AR182,""Profession""),""X"","""")"),"X")</f>
        <v>X</v>
      </c>
      <c r="AE182" s="734" t="str">
        <f t="shared" si="11"/>
        <v>X</v>
      </c>
      <c r="AF182" s="734" t="str">
        <f>IFERROR(__xludf.DUMMYFUNCTION("if(REGEXMATCH(AR182,$AF$168),""X"","""")"),"")</f>
        <v/>
      </c>
      <c r="AG182" s="734" t="str">
        <f>IFERROR(__xludf.DUMMYFUNCTION("if(REGEXMATCH(AR182,$AG$168),""X"","""")"),"")</f>
        <v/>
      </c>
      <c r="AH182" s="734" t="str">
        <f>IFERROR(__xludf.DUMMYFUNCTION("if(REGEXMATCH(AR182,$AH$168),""X"","""")"),"")</f>
        <v/>
      </c>
      <c r="AI182" s="734" t="str">
        <f>IFERROR(__xludf.DUMMYFUNCTION("if(REGEXMATCH(AR182,$AI$168),""X"","""")"),"")</f>
        <v/>
      </c>
      <c r="AJ182" s="739" t="str">
        <f>IFERROR(__xludf.DUMMYFUNCTION("if(REGEXMATCH(AR182,$AJ$168),""X"","""")"),"")</f>
        <v/>
      </c>
      <c r="AK182" s="734" t="str">
        <f>IFERROR(__xludf.DUMMYFUNCTION("if(REGEXMATCH(AR182,$AK$168),""X"","""")"),"X")</f>
        <v>X</v>
      </c>
      <c r="AL182" s="734" t="str">
        <f>IFERROR(__xludf.DUMMYFUNCTION("if(REGEXMATCH(AR182,$AL$168),""X"","""")"),"X")</f>
        <v>X</v>
      </c>
      <c r="AM182" s="734" t="str">
        <f>IFERROR(__xludf.DUMMYFUNCTION("if(REGEXMATCH(AR182,$AM$168),""X"","""")"),"X")</f>
        <v>X</v>
      </c>
      <c r="AN182" s="734"/>
      <c r="AO182" s="734"/>
      <c r="AP182" s="734" t="str">
        <f>IFERROR(__xludf.DUMMYFUNCTION("if(REGEXMATCH(AR182,""Craft""),""X"","""")"),"X")</f>
        <v>X</v>
      </c>
      <c r="AQ182" s="734" t="str">
        <f>IFERROR(__xludf.DUMMYFUNCTION("if(REGEXMATCH(AR182,""Knowledge""),""X"","""")"),"X")</f>
        <v>X</v>
      </c>
      <c r="AR182" s="740" t="s">
        <v>870</v>
      </c>
      <c r="AS182" s="233"/>
      <c r="AT182" s="233"/>
      <c r="AU182" s="233"/>
      <c r="AV182" s="233"/>
      <c r="AW182" s="233"/>
      <c r="AX182" s="233"/>
      <c r="AY182" s="233"/>
      <c r="AZ182" s="233"/>
      <c r="BA182" s="233"/>
      <c r="BB182" s="233"/>
      <c r="BC182" s="233"/>
      <c r="BD182" s="233"/>
      <c r="BE182" s="233"/>
      <c r="BF182" s="241"/>
      <c r="BG182" s="241"/>
      <c r="BH182" s="241"/>
      <c r="BI182" s="241"/>
      <c r="BJ182" s="241"/>
      <c r="BK182" s="241"/>
      <c r="BL182" s="241"/>
    </row>
    <row r="183">
      <c r="A183" s="385" t="s">
        <v>486</v>
      </c>
      <c r="B183" s="734" t="str">
        <f>IFERROR(__xludf.DUMMYFUNCTION("if(REGEXMATCH(AR183,$B$168),""X"","""")"),"")</f>
        <v/>
      </c>
      <c r="C183" s="734" t="str">
        <f>IFERROR(__xludf.DUMMYFUNCTION("if(REGEXMATCH(AR183,$C$168),""X"","""")"),"X")</f>
        <v>X</v>
      </c>
      <c r="D183" s="734" t="str">
        <f>IFERROR(__xludf.DUMMYFUNCTION("if(REGEXMATCH(AR183,$D$168),""X"","""")"),"X")</f>
        <v>X</v>
      </c>
      <c r="E183" s="734" t="str">
        <f>IFERROR(__xludf.DUMMYFUNCTION("if(REGEXMATCH(AR183,$E$168),""X"","""")"),"X")</f>
        <v>X</v>
      </c>
      <c r="F183" s="734" t="str">
        <f>IFERROR(__xludf.DUMMYFUNCTION("if(REGEXMATCH(AR183,$F$168),""X"","""")"),"X")</f>
        <v>X</v>
      </c>
      <c r="G183" s="734" t="str">
        <f t="shared" si="9"/>
        <v>X</v>
      </c>
      <c r="H183" s="734" t="str">
        <f>IFERROR(__xludf.DUMMYFUNCTION("if(REGEXMATCH(AR183,$H$168),""X"","""")"),"X")</f>
        <v>X</v>
      </c>
      <c r="I183" s="734" t="str">
        <f>IFERROR(__xludf.DUMMYFUNCTION("if(REGEXMATCH(AR183,$I$168),""X"","""")"),"")</f>
        <v/>
      </c>
      <c r="J183" s="734" t="str">
        <f>IFERROR(__xludf.DUMMYFUNCTION("if(REGEXMATCH(AR183,$J$168),""X"","""")"),"")</f>
        <v/>
      </c>
      <c r="K183" s="734" t="str">
        <f>IFERROR(__xludf.DUMMYFUNCTION("if(REGEXMATCH(AR183,$K$168),""X"","""")"),"")</f>
        <v/>
      </c>
      <c r="L183" s="734" t="str">
        <f>IFERROR(__xludf.DUMMYFUNCTION("if(REGEXMATCH(AR183,$L$168),""X"","""")"),"")</f>
        <v/>
      </c>
      <c r="M183" s="734" t="str">
        <f>IFERROR(__xludf.DUMMYFUNCTION("if(REGEXMATCH(AR183,$M$168),""X"","""")"),"X")</f>
        <v>X</v>
      </c>
      <c r="N183" s="734" t="str">
        <f>IFERROR(__xludf.DUMMYFUNCTION("if(REGEXMATCH(AR183,$N$168),""X"","""")"),"")</f>
        <v/>
      </c>
      <c r="O183" s="734" t="str">
        <f>IFERROR(__xludf.DUMMYFUNCTION("if(REGEXMATCH(AR183,$O$168),""X"","""")"),"X")</f>
        <v>X</v>
      </c>
      <c r="P183" s="734" t="str">
        <f>IFERROR(__xludf.DUMMYFUNCTION("if(REGEXMATCH(AR183,""(all)""),""X"",if(REGEXMATCH(AR183,""arcana""),""X"",""""))"),"")</f>
        <v/>
      </c>
      <c r="Q183" s="734" t="str">
        <f>IFERROR(__xludf.DUMMYFUNCTION("if(REGEXMATCH(AR183,""(all)""),""X"",if(REGEXMATCH(AR183,""dungeoneering""),""X"",""""))"),"")</f>
        <v/>
      </c>
      <c r="R183" s="734" t="str">
        <f>IFERROR(__xludf.DUMMYFUNCTION("if(REGEXMATCH(AR183,""(all)""),""X"",if(REGEXMATCH(AR183,""engineering""),""X"",""""))"),"X")</f>
        <v>X</v>
      </c>
      <c r="S183" s="734" t="str">
        <f>IFERROR(__xludf.DUMMYFUNCTION("if(REGEXMATCH(AR183,""(all)""),""X"",if(REGEXMATCH(AR183,""geography""),""X"",""""))"),"X")</f>
        <v>X</v>
      </c>
      <c r="T183" s="734" t="str">
        <f>IFERROR(__xludf.DUMMYFUNCTION("if(REGEXMATCH(AR183,""(all)""),""X"",if(REGEXMATCH(AR183,""history""),""X"",""""))"),"X")</f>
        <v>X</v>
      </c>
      <c r="U183" s="734" t="str">
        <f>IFERROR(__xludf.DUMMYFUNCTION("if(REGEXMATCH(AR183,""(all)""),""X"",if(REGEXMATCH(AR183,""local""),""X"",""""))"),"X")</f>
        <v>X</v>
      </c>
      <c r="V183" s="734" t="str">
        <f>IFERROR(__xludf.DUMMYFUNCTION("if(REGEXMATCH(AR183,""(all)""),""X"",if(REGEXMATCH(AR183,""nature""),""X"",""""))"),"")</f>
        <v/>
      </c>
      <c r="W183" s="734" t="str">
        <f>IFERROR(__xludf.DUMMYFUNCTION("if(REGEXMATCH(AR183,""(all)""),""X"",if(REGEXMATCH(AR183,""nobility""),""X"",""""))"),"X")</f>
        <v>X</v>
      </c>
      <c r="X183" s="734" t="str">
        <f>IFERROR(__xludf.DUMMYFUNCTION("if(REGEXMATCH(AR183,""(all)""),""X"",if(REGEXMATCH(AR183,""planes""),""X"",""""))"),"")</f>
        <v/>
      </c>
      <c r="Y183" s="734" t="str">
        <f>IFERROR(__xludf.DUMMYFUNCTION("if(REGEXMATCH(AR183,""(all)""),""X"",if(REGEXMATCH(AR183,""religion""),""X"",""""))"),"")</f>
        <v/>
      </c>
      <c r="Z183" s="734" t="str">
        <f>IFERROR(__xludf.DUMMYFUNCTION("if(REGEXMATCH(AR183,$Z$168),""X"","""")"),"X")</f>
        <v>X</v>
      </c>
      <c r="AA183" s="734" t="str">
        <f>IFERROR(__xludf.DUMMYFUNCTION("if(REGEXMATCH(AR183,$AA$168),""X"","""")"),"X")</f>
        <v>X</v>
      </c>
      <c r="AB183" s="734" t="str">
        <f>IFERROR(__xludf.DUMMYFUNCTION("if(REGEXMATCH(AR183,""Perform""),""X"","""")"),"")</f>
        <v/>
      </c>
      <c r="AC183" s="734" t="str">
        <f t="shared" si="10"/>
        <v/>
      </c>
      <c r="AD183" s="734" t="str">
        <f>IFERROR(__xludf.DUMMYFUNCTION("if(REGEXMATCH(AR183,""Profession""),""X"","""")"),"X")</f>
        <v>X</v>
      </c>
      <c r="AE183" s="734" t="str">
        <f t="shared" si="11"/>
        <v>X</v>
      </c>
      <c r="AF183" s="734" t="str">
        <f>IFERROR(__xludf.DUMMYFUNCTION("if(REGEXMATCH(AR183,$AF$168),""X"","""")"),"X")</f>
        <v>X</v>
      </c>
      <c r="AG183" s="734" t="str">
        <f>IFERROR(__xludf.DUMMYFUNCTION("if(REGEXMATCH(AR183,$AG$168),""X"","""")"),"X")</f>
        <v>X</v>
      </c>
      <c r="AH183" s="734" t="str">
        <f>IFERROR(__xludf.DUMMYFUNCTION("if(REGEXMATCH(AR183,$AH$168),""X"","""")"),"")</f>
        <v/>
      </c>
      <c r="AI183" s="734" t="str">
        <f>IFERROR(__xludf.DUMMYFUNCTION("if(REGEXMATCH(AR183,$AI$168),""X"","""")"),"")</f>
        <v/>
      </c>
      <c r="AJ183" s="739" t="str">
        <f>IFERROR(__xludf.DUMMYFUNCTION("if(REGEXMATCH(AR183,$AJ$168),""X"","""")"),"")</f>
        <v/>
      </c>
      <c r="AK183" s="734" t="str">
        <f>IFERROR(__xludf.DUMMYFUNCTION("if(REGEXMATCH(AR183,$AK$168),""X"","""")"),"X")</f>
        <v>X</v>
      </c>
      <c r="AL183" s="734" t="str">
        <f>IFERROR(__xludf.DUMMYFUNCTION("if(REGEXMATCH(AR183,$AL$168),""X"","""")"),"X")</f>
        <v>X</v>
      </c>
      <c r="AM183" s="734" t="str">
        <f>IFERROR(__xludf.DUMMYFUNCTION("if(REGEXMATCH(AR183,$AM$168),""X"","""")"),"")</f>
        <v/>
      </c>
      <c r="AN183" s="734"/>
      <c r="AO183" s="734"/>
      <c r="AP183" s="734" t="str">
        <f>IFERROR(__xludf.DUMMYFUNCTION("if(REGEXMATCH(AR183,""Craft""),""X"","""")"),"X")</f>
        <v>X</v>
      </c>
      <c r="AQ183" s="734" t="str">
        <f>IFERROR(__xludf.DUMMYFUNCTION("if(REGEXMATCH(AR183,""Knowledge""),""X"","""")"),"X")</f>
        <v>X</v>
      </c>
      <c r="AR183" s="740" t="s">
        <v>872</v>
      </c>
      <c r="AS183" s="233"/>
      <c r="AT183" s="233"/>
      <c r="AU183" s="233"/>
      <c r="AV183" s="233"/>
      <c r="AW183" s="233"/>
      <c r="AX183" s="233"/>
      <c r="AY183" s="233"/>
      <c r="AZ183" s="233"/>
      <c r="BA183" s="233"/>
      <c r="BB183" s="233"/>
      <c r="BC183" s="233"/>
      <c r="BD183" s="233"/>
      <c r="BE183" s="233"/>
      <c r="BF183" s="241"/>
      <c r="BG183" s="241"/>
      <c r="BH183" s="241"/>
      <c r="BI183" s="241"/>
      <c r="BJ183" s="241"/>
      <c r="BK183" s="241"/>
      <c r="BL183" s="241"/>
    </row>
    <row r="184">
      <c r="A184" s="385" t="s">
        <v>487</v>
      </c>
      <c r="B184" s="734" t="str">
        <f>IFERROR(__xludf.DUMMYFUNCTION("if(REGEXMATCH(AR184,$B$168),""X"","""")"),"")</f>
        <v/>
      </c>
      <c r="C184" s="734" t="str">
        <f>IFERROR(__xludf.DUMMYFUNCTION("if(REGEXMATCH(AR184,$C$168),""X"","""")"),"")</f>
        <v/>
      </c>
      <c r="D184" s="734" t="str">
        <f>IFERROR(__xludf.DUMMYFUNCTION("if(REGEXMATCH(AR184,$D$168),""X"","""")"),"")</f>
        <v/>
      </c>
      <c r="E184" s="734" t="str">
        <f>IFERROR(__xludf.DUMMYFUNCTION("if(REGEXMATCH(AR184,$E$168),""X"","""")"),"X")</f>
        <v>X</v>
      </c>
      <c r="F184" s="734" t="str">
        <f>IFERROR(__xludf.DUMMYFUNCTION("if(REGEXMATCH(AR184,$F$168),""X"","""")"),"X")</f>
        <v>X</v>
      </c>
      <c r="G184" s="734" t="str">
        <f t="shared" si="9"/>
        <v>X</v>
      </c>
      <c r="H184" s="734" t="str">
        <f>IFERROR(__xludf.DUMMYFUNCTION("if(REGEXMATCH(AR184,$H$168),""X"","""")"),"")</f>
        <v/>
      </c>
      <c r="I184" s="734" t="str">
        <f>IFERROR(__xludf.DUMMYFUNCTION("if(REGEXMATCH(AR184,$I$168),""X"","""")"),"")</f>
        <v/>
      </c>
      <c r="J184" s="734" t="str">
        <f>IFERROR(__xludf.DUMMYFUNCTION("if(REGEXMATCH(AR184,$J$168),""X"","""")"),"")</f>
        <v/>
      </c>
      <c r="K184" s="734" t="str">
        <f>IFERROR(__xludf.DUMMYFUNCTION("if(REGEXMATCH(AR184,$K$168),""X"","""")"),"")</f>
        <v/>
      </c>
      <c r="L184" s="734" t="str">
        <f>IFERROR(__xludf.DUMMYFUNCTION("if(REGEXMATCH(AR184,$L$168),""X"","""")"),"")</f>
        <v/>
      </c>
      <c r="M184" s="734" t="str">
        <f>IFERROR(__xludf.DUMMYFUNCTION("if(REGEXMATCH(AR184,$M$168),""X"","""")"),"X")</f>
        <v>X</v>
      </c>
      <c r="N184" s="734" t="str">
        <f>IFERROR(__xludf.DUMMYFUNCTION("if(REGEXMATCH(AR184,$N$168),""X"","""")"),"")</f>
        <v/>
      </c>
      <c r="O184" s="734" t="str">
        <f>IFERROR(__xludf.DUMMYFUNCTION("if(REGEXMATCH(AR184,$O$168),""X"","""")"),"")</f>
        <v/>
      </c>
      <c r="P184" s="734" t="str">
        <f>IFERROR(__xludf.DUMMYFUNCTION("if(REGEXMATCH(AR184,""(all)""),""X"",if(REGEXMATCH(AR184,""arcana""),""X"",""""))"),"")</f>
        <v/>
      </c>
      <c r="Q184" s="734" t="str">
        <f>IFERROR(__xludf.DUMMYFUNCTION("if(REGEXMATCH(AR184,""(all)""),""X"",if(REGEXMATCH(AR184,""dungeoneering""),""X"",""""))"),"")</f>
        <v/>
      </c>
      <c r="R184" s="734" t="str">
        <f>IFERROR(__xludf.DUMMYFUNCTION("if(REGEXMATCH(AR184,""(all)""),""X"",if(REGEXMATCH(AR184,""engineering""),""X"",""""))"),"")</f>
        <v/>
      </c>
      <c r="S184" s="734" t="str">
        <f>IFERROR(__xludf.DUMMYFUNCTION("if(REGEXMATCH(AR184,""(all)""),""X"",if(REGEXMATCH(AR184,""geography""),""X"",""""))"),"")</f>
        <v/>
      </c>
      <c r="T184" s="734" t="str">
        <f>IFERROR(__xludf.DUMMYFUNCTION("if(REGEXMATCH(AR184,""(all)""),""X"",if(REGEXMATCH(AR184,""history""),""X"",""""))"),"")</f>
        <v/>
      </c>
      <c r="U184" s="734" t="str">
        <f>IFERROR(__xludf.DUMMYFUNCTION("if(REGEXMATCH(AR184,""(all)""),""X"",if(REGEXMATCH(AR184,""local""),""X"",""""))"),"X")</f>
        <v>X</v>
      </c>
      <c r="V184" s="734" t="str">
        <f>IFERROR(__xludf.DUMMYFUNCTION("if(REGEXMATCH(AR184,""(all)""),""X"",if(REGEXMATCH(AR184,""nature""),""X"",""""))"),"")</f>
        <v/>
      </c>
      <c r="W184" s="734" t="str">
        <f>IFERROR(__xludf.DUMMYFUNCTION("if(REGEXMATCH(AR184,""(all)""),""X"",if(REGEXMATCH(AR184,""nobility""),""X"",""""))"),"")</f>
        <v/>
      </c>
      <c r="X184" s="734" t="str">
        <f>IFERROR(__xludf.DUMMYFUNCTION("if(REGEXMATCH(AR184,""(all)""),""X"",if(REGEXMATCH(AR184,""planes""),""X"",""""))"),"")</f>
        <v/>
      </c>
      <c r="Y184" s="734" t="str">
        <f>IFERROR(__xludf.DUMMYFUNCTION("if(REGEXMATCH(AR184,""(all)""),""X"",if(REGEXMATCH(AR184,""religion""),""X"",""""))"),"")</f>
        <v/>
      </c>
      <c r="Z184" s="734" t="str">
        <f>IFERROR(__xludf.DUMMYFUNCTION("if(REGEXMATCH(AR184,$Z$168),""X"","""")"),"")</f>
        <v/>
      </c>
      <c r="AA184" s="734" t="str">
        <f>IFERROR(__xludf.DUMMYFUNCTION("if(REGEXMATCH(AR184,$AA$168),""X"","""")"),"X")</f>
        <v>X</v>
      </c>
      <c r="AB184" s="734" t="str">
        <f>IFERROR(__xludf.DUMMYFUNCTION("if(REGEXMATCH(AR184,""Perform""),""X"","""")"),"")</f>
        <v/>
      </c>
      <c r="AC184" s="734" t="str">
        <f t="shared" si="10"/>
        <v/>
      </c>
      <c r="AD184" s="734" t="str">
        <f>IFERROR(__xludf.DUMMYFUNCTION("if(REGEXMATCH(AR184,""Profession""),""X"","""")"),"X")</f>
        <v>X</v>
      </c>
      <c r="AE184" s="734" t="str">
        <f t="shared" si="11"/>
        <v>X</v>
      </c>
      <c r="AF184" s="734" t="str">
        <f>IFERROR(__xludf.DUMMYFUNCTION("if(REGEXMATCH(AR184,$AF$168),""X"","""")"),"")</f>
        <v/>
      </c>
      <c r="AG184" s="734" t="str">
        <f>IFERROR(__xludf.DUMMYFUNCTION("if(REGEXMATCH(AR184,$AG$168),""X"","""")"),"")</f>
        <v/>
      </c>
      <c r="AH184" s="734" t="str">
        <f>IFERROR(__xludf.DUMMYFUNCTION("if(REGEXMATCH(AR184,$AH$168),""X"","""")"),"")</f>
        <v/>
      </c>
      <c r="AI184" s="734" t="str">
        <f>IFERROR(__xludf.DUMMYFUNCTION("if(REGEXMATCH(AR184,$AI$168),""X"","""")"),"")</f>
        <v/>
      </c>
      <c r="AJ184" s="739" t="str">
        <f>IFERROR(__xludf.DUMMYFUNCTION("if(REGEXMATCH(AR184,$AJ$168),""X"","""")"),"")</f>
        <v/>
      </c>
      <c r="AK184" s="734" t="str">
        <f>IFERROR(__xludf.DUMMYFUNCTION("if(REGEXMATCH(AR184,$AK$168),""X"","""")"),"X")</f>
        <v>X</v>
      </c>
      <c r="AL184" s="734" t="str">
        <f>IFERROR(__xludf.DUMMYFUNCTION("if(REGEXMATCH(AR184,$AL$168),""X"","""")"),"X")</f>
        <v>X</v>
      </c>
      <c r="AM184" s="734" t="str">
        <f>IFERROR(__xludf.DUMMYFUNCTION("if(REGEXMATCH(AR184,$AM$168),""X"","""")"),"")</f>
        <v/>
      </c>
      <c r="AN184" s="734"/>
      <c r="AO184" s="734"/>
      <c r="AP184" s="734" t="str">
        <f>IFERROR(__xludf.DUMMYFUNCTION("if(REGEXMATCH(AR184,""Craft""),""X"","""")"),"X")</f>
        <v>X</v>
      </c>
      <c r="AQ184" s="734" t="str">
        <f>IFERROR(__xludf.DUMMYFUNCTION("if(REGEXMATCH(AR184,""Knowledge""),""X"","""")"),"X")</f>
        <v>X</v>
      </c>
      <c r="AR184" s="740" t="s">
        <v>875</v>
      </c>
      <c r="AS184" s="233"/>
      <c r="AT184" s="233"/>
      <c r="AU184" s="233"/>
      <c r="AV184" s="233"/>
      <c r="AW184" s="233"/>
      <c r="AX184" s="233"/>
      <c r="AY184" s="233"/>
      <c r="AZ184" s="233"/>
      <c r="BA184" s="233"/>
      <c r="BB184" s="233"/>
      <c r="BC184" s="233"/>
      <c r="BD184" s="233"/>
      <c r="BE184" s="233"/>
      <c r="BF184" s="241"/>
      <c r="BG184" s="241"/>
      <c r="BH184" s="241"/>
      <c r="BI184" s="241"/>
      <c r="BJ184" s="241"/>
      <c r="BK184" s="241"/>
      <c r="BL184" s="241"/>
    </row>
    <row r="185">
      <c r="A185" s="385" t="s">
        <v>488</v>
      </c>
      <c r="B185" s="734" t="str">
        <f>IFERROR(__xludf.DUMMYFUNCTION("if(REGEXMATCH(AR185,$B$168),""X"","""")"),"")</f>
        <v/>
      </c>
      <c r="C185" s="734" t="str">
        <f>IFERROR(__xludf.DUMMYFUNCTION("if(REGEXMATCH(AR185,$C$168),""X"","""")"),"X")</f>
        <v>X</v>
      </c>
      <c r="D185" s="734" t="str">
        <f>IFERROR(__xludf.DUMMYFUNCTION("if(REGEXMATCH(AR185,$D$168),""X"","""")"),"X")</f>
        <v>X</v>
      </c>
      <c r="E185" s="734" t="str">
        <f>IFERROR(__xludf.DUMMYFUNCTION("if(REGEXMATCH(AR185,$E$168),""X"","""")"),"")</f>
        <v/>
      </c>
      <c r="F185" s="734" t="str">
        <f>IFERROR(__xludf.DUMMYFUNCTION("if(REGEXMATCH(AR185,$F$168),""X"","""")"),"X")</f>
        <v>X</v>
      </c>
      <c r="G185" s="734" t="str">
        <f t="shared" si="9"/>
        <v>X</v>
      </c>
      <c r="H185" s="734" t="str">
        <f>IFERROR(__xludf.DUMMYFUNCTION("if(REGEXMATCH(AR185,$H$168),""X"","""")"),"X")</f>
        <v>X</v>
      </c>
      <c r="I185" s="734" t="str">
        <f>IFERROR(__xludf.DUMMYFUNCTION("if(REGEXMATCH(AR185,$I$168),""X"","""")"),"X")</f>
        <v>X</v>
      </c>
      <c r="J185" s="734" t="str">
        <f>IFERROR(__xludf.DUMMYFUNCTION("if(REGEXMATCH(AR185,$J$168),""X"","""")"),"X")</f>
        <v>X</v>
      </c>
      <c r="K185" s="734" t="str">
        <f>IFERROR(__xludf.DUMMYFUNCTION("if(REGEXMATCH(AR185,$K$168),""X"","""")"),"X")</f>
        <v>X</v>
      </c>
      <c r="L185" s="734" t="str">
        <f>IFERROR(__xludf.DUMMYFUNCTION("if(REGEXMATCH(AR185,$L$168),""X"","""")"),"")</f>
        <v/>
      </c>
      <c r="M185" s="734" t="str">
        <f>IFERROR(__xludf.DUMMYFUNCTION("if(REGEXMATCH(AR185,$M$168),""X"","""")"),"X")</f>
        <v>X</v>
      </c>
      <c r="N185" s="734" t="str">
        <f>IFERROR(__xludf.DUMMYFUNCTION("if(REGEXMATCH(AR185,$N$168),""X"","""")"),"X")</f>
        <v>X</v>
      </c>
      <c r="O185" s="734" t="str">
        <f>IFERROR(__xludf.DUMMYFUNCTION("if(REGEXMATCH(AR185,$O$168),""X"","""")"),"X")</f>
        <v>X</v>
      </c>
      <c r="P185" s="734" t="str">
        <f>IFERROR(__xludf.DUMMYFUNCTION("if(REGEXMATCH(AR185,""(all)""),""X"",if(REGEXMATCH(AR185,""arcana""),""X"",""""))"),"X")</f>
        <v>X</v>
      </c>
      <c r="Q185" s="734" t="str">
        <f>IFERROR(__xludf.DUMMYFUNCTION("if(REGEXMATCH(AR185,""(all)""),""X"",if(REGEXMATCH(AR185,""dungeoneering""),""X"",""""))"),"X")</f>
        <v>X</v>
      </c>
      <c r="R185" s="734" t="str">
        <f>IFERROR(__xludf.DUMMYFUNCTION("if(REGEXMATCH(AR185,""(all)""),""X"",if(REGEXMATCH(AR185,""engineering""),""X"",""""))"),"X")</f>
        <v>X</v>
      </c>
      <c r="S185" s="734" t="str">
        <f>IFERROR(__xludf.DUMMYFUNCTION("if(REGEXMATCH(AR185,""(all)""),""X"",if(REGEXMATCH(AR185,""geography""),""X"",""""))"),"X")</f>
        <v>X</v>
      </c>
      <c r="T185" s="734" t="str">
        <f>IFERROR(__xludf.DUMMYFUNCTION("if(REGEXMATCH(AR185,""(all)""),""X"",if(REGEXMATCH(AR185,""history""),""X"",""""))"),"X")</f>
        <v>X</v>
      </c>
      <c r="U185" s="734" t="str">
        <f>IFERROR(__xludf.DUMMYFUNCTION("if(REGEXMATCH(AR185,""(all)""),""X"",if(REGEXMATCH(AR185,""local""),""X"",""""))"),"X")</f>
        <v>X</v>
      </c>
      <c r="V185" s="734" t="str">
        <f>IFERROR(__xludf.DUMMYFUNCTION("if(REGEXMATCH(AR185,""(all)""),""X"",if(REGEXMATCH(AR185,""nature""),""X"",""""))"),"X")</f>
        <v>X</v>
      </c>
      <c r="W185" s="734" t="str">
        <f>IFERROR(__xludf.DUMMYFUNCTION("if(REGEXMATCH(AR185,""(all)""),""X"",if(REGEXMATCH(AR185,""nobility""),""X"",""""))"),"X")</f>
        <v>X</v>
      </c>
      <c r="X185" s="734" t="str">
        <f>IFERROR(__xludf.DUMMYFUNCTION("if(REGEXMATCH(AR185,""(all)""),""X"",if(REGEXMATCH(AR185,""planes""),""X"",""""))"),"X")</f>
        <v>X</v>
      </c>
      <c r="Y185" s="734" t="str">
        <f>IFERROR(__xludf.DUMMYFUNCTION("if(REGEXMATCH(AR185,""(all)""),""X"",if(REGEXMATCH(AR185,""religion""),""X"",""""))"),"X")</f>
        <v>X</v>
      </c>
      <c r="Z185" s="734" t="str">
        <f>IFERROR(__xludf.DUMMYFUNCTION("if(REGEXMATCH(AR185,$Z$168),""X"","""")"),"X")</f>
        <v>X</v>
      </c>
      <c r="AA185" s="734" t="str">
        <f>IFERROR(__xludf.DUMMYFUNCTION("if(REGEXMATCH(AR185,$AA$168),""X"","""")"),"X")</f>
        <v>X</v>
      </c>
      <c r="AB185" s="734" t="str">
        <f>IFERROR(__xludf.DUMMYFUNCTION("if(REGEXMATCH(AR185,""Perform""),""X"","""")"),"X")</f>
        <v>X</v>
      </c>
      <c r="AC185" s="734" t="str">
        <f t="shared" si="10"/>
        <v>X</v>
      </c>
      <c r="AD185" s="734" t="str">
        <f>IFERROR(__xludf.DUMMYFUNCTION("if(REGEXMATCH(AR185,""Profession""),""X"","""")"),"X")</f>
        <v>X</v>
      </c>
      <c r="AE185" s="734" t="str">
        <f t="shared" si="11"/>
        <v>X</v>
      </c>
      <c r="AF185" s="734" t="str">
        <f>IFERROR(__xludf.DUMMYFUNCTION("if(REGEXMATCH(AR185,$AF$168),""X"","""")"),"")</f>
        <v/>
      </c>
      <c r="AG185" s="734" t="str">
        <f>IFERROR(__xludf.DUMMYFUNCTION("if(REGEXMATCH(AR185,$AG$168),""X"","""")"),"X")</f>
        <v>X</v>
      </c>
      <c r="AH185" s="734" t="str">
        <f>IFERROR(__xludf.DUMMYFUNCTION("if(REGEXMATCH(AR185,$AH$168),""X"","""")"),"X")</f>
        <v>X</v>
      </c>
      <c r="AI185" s="734" t="str">
        <f>IFERROR(__xludf.DUMMYFUNCTION("if(REGEXMATCH(AR185,$AI$168),""X"","""")"),"X")</f>
        <v>X</v>
      </c>
      <c r="AJ185" s="739" t="str">
        <f>IFERROR(__xludf.DUMMYFUNCTION("if(REGEXMATCH(AR185,$AJ$168),""X"","""")"),"X")</f>
        <v>X</v>
      </c>
      <c r="AK185" s="734" t="str">
        <f>IFERROR(__xludf.DUMMYFUNCTION("if(REGEXMATCH(AR185,$AK$168),""X"","""")"),"X")</f>
        <v>X</v>
      </c>
      <c r="AL185" s="734" t="str">
        <f>IFERROR(__xludf.DUMMYFUNCTION("if(REGEXMATCH(AR185,$AL$168),""X"","""")"),"")</f>
        <v/>
      </c>
      <c r="AM185" s="734" t="str">
        <f>IFERROR(__xludf.DUMMYFUNCTION("if(REGEXMATCH(AR185,$AM$168),""X"","""")"),"X")</f>
        <v>X</v>
      </c>
      <c r="AN185" s="734"/>
      <c r="AO185" s="734"/>
      <c r="AP185" s="734" t="str">
        <f>IFERROR(__xludf.DUMMYFUNCTION("if(REGEXMATCH(AR185,""Craft""),""X"","""")"),"X")</f>
        <v>X</v>
      </c>
      <c r="AQ185" s="734" t="str">
        <f>IFERROR(__xludf.DUMMYFUNCTION("if(REGEXMATCH(AR185,""Knowledge""),""X"","""")"),"X")</f>
        <v>X</v>
      </c>
      <c r="AR185" s="740" t="s">
        <v>877</v>
      </c>
      <c r="AS185" s="233"/>
      <c r="AT185" s="233"/>
      <c r="AU185" s="233"/>
      <c r="AV185" s="233"/>
      <c r="AW185" s="233"/>
      <c r="AX185" s="233"/>
      <c r="AY185" s="233"/>
      <c r="AZ185" s="233"/>
      <c r="BA185" s="233"/>
      <c r="BB185" s="233"/>
      <c r="BC185" s="233"/>
      <c r="BD185" s="233"/>
      <c r="BE185" s="233"/>
      <c r="BF185" s="241"/>
      <c r="BG185" s="241"/>
      <c r="BH185" s="241"/>
      <c r="BI185" s="241"/>
      <c r="BJ185" s="241"/>
      <c r="BK185" s="241"/>
      <c r="BL185" s="241"/>
    </row>
    <row r="186">
      <c r="A186" s="385" t="s">
        <v>434</v>
      </c>
      <c r="B186" s="734" t="str">
        <f>IFERROR(__xludf.DUMMYFUNCTION("if(REGEXMATCH(AR186,$B$168),""X"","""")"),"")</f>
        <v/>
      </c>
      <c r="C186" s="734" t="str">
        <f>IFERROR(__xludf.DUMMYFUNCTION("if(REGEXMATCH(AR186,$C$168),""X"","""")"),"")</f>
        <v/>
      </c>
      <c r="D186" s="734" t="str">
        <f>IFERROR(__xludf.DUMMYFUNCTION("if(REGEXMATCH(AR186,$D$168),""X"","""")"),"X")</f>
        <v>X</v>
      </c>
      <c r="E186" s="734" t="str">
        <f>IFERROR(__xludf.DUMMYFUNCTION("if(REGEXMATCH(AR186,$E$168),""X"","""")"),"X")</f>
        <v>X</v>
      </c>
      <c r="F186" s="734" t="str">
        <f>IFERROR(__xludf.DUMMYFUNCTION("if(REGEXMATCH(AR186,$F$168),""X"","""")"),"X")</f>
        <v>X</v>
      </c>
      <c r="G186" s="734" t="str">
        <f t="shared" si="9"/>
        <v>X</v>
      </c>
      <c r="H186" s="734" t="str">
        <f>IFERROR(__xludf.DUMMYFUNCTION("if(REGEXMATCH(AR186,$H$168),""X"","""")"),"X")</f>
        <v>X</v>
      </c>
      <c r="I186" s="734" t="str">
        <f>IFERROR(__xludf.DUMMYFUNCTION("if(REGEXMATCH(AR186,$I$168),""X"","""")"),"")</f>
        <v/>
      </c>
      <c r="J186" s="734" t="str">
        <f>IFERROR(__xludf.DUMMYFUNCTION("if(REGEXMATCH(AR186,$J$168),""X"","""")"),"")</f>
        <v/>
      </c>
      <c r="K186" s="734" t="str">
        <f>IFERROR(__xludf.DUMMYFUNCTION("if(REGEXMATCH(AR186,$K$168),""X"","""")"),"")</f>
        <v/>
      </c>
      <c r="L186" s="734" t="str">
        <f>IFERROR(__xludf.DUMMYFUNCTION("if(REGEXMATCH(AR186,$L$168),""X"","""")"),"")</f>
        <v/>
      </c>
      <c r="M186" s="734" t="str">
        <f>IFERROR(__xludf.DUMMYFUNCTION("if(REGEXMATCH(AR186,$M$168),""X"","""")"),"X")</f>
        <v>X</v>
      </c>
      <c r="N186" s="734" t="str">
        <f>IFERROR(__xludf.DUMMYFUNCTION("if(REGEXMATCH(AR186,$N$168),""X"","""")"),"X")</f>
        <v>X</v>
      </c>
      <c r="O186" s="734" t="str">
        <f>IFERROR(__xludf.DUMMYFUNCTION("if(REGEXMATCH(AR186,$O$168),""X"","""")"),"X")</f>
        <v>X</v>
      </c>
      <c r="P186" s="734" t="str">
        <f>IFERROR(__xludf.DUMMYFUNCTION("if(REGEXMATCH(AR186,""(all)""),""X"",if(REGEXMATCH(AR186,""arcana""),""X"",""""))"),"")</f>
        <v/>
      </c>
      <c r="Q186" s="734" t="str">
        <f>IFERROR(__xludf.DUMMYFUNCTION("if(REGEXMATCH(AR186,""(all)""),""X"",if(REGEXMATCH(AR186,""dungeoneering""),""X"",""""))"),"")</f>
        <v/>
      </c>
      <c r="R186" s="734" t="str">
        <f>IFERROR(__xludf.DUMMYFUNCTION("if(REGEXMATCH(AR186,""(all)""),""X"",if(REGEXMATCH(AR186,""engineering""),""X"",""""))"),"")</f>
        <v/>
      </c>
      <c r="S186" s="734" t="str">
        <f>IFERROR(__xludf.DUMMYFUNCTION("if(REGEXMATCH(AR186,""(all)""),""X"",if(REGEXMATCH(AR186,""geography""),""X"",""""))"),"")</f>
        <v/>
      </c>
      <c r="T186" s="734" t="str">
        <f>IFERROR(__xludf.DUMMYFUNCTION("if(REGEXMATCH(AR186,""(all)""),""X"",if(REGEXMATCH(AR186,""history""),""X"",""""))"),"")</f>
        <v/>
      </c>
      <c r="U186" s="734" t="str">
        <f>IFERROR(__xludf.DUMMYFUNCTION("if(REGEXMATCH(AR186,""(all)""),""X"",if(REGEXMATCH(AR186,""local""),""X"",""""))"),"")</f>
        <v/>
      </c>
      <c r="V186" s="734" t="str">
        <f>IFERROR(__xludf.DUMMYFUNCTION("if(REGEXMATCH(AR186,""(all)""),""X"",if(REGEXMATCH(AR186,""nature""),""X"",""""))"),"")</f>
        <v/>
      </c>
      <c r="W186" s="734" t="str">
        <f>IFERROR(__xludf.DUMMYFUNCTION("if(REGEXMATCH(AR186,""(all)""),""X"",if(REGEXMATCH(AR186,""nobility""),""X"",""""))"),"X")</f>
        <v>X</v>
      </c>
      <c r="X186" s="734" t="str">
        <f>IFERROR(__xludf.DUMMYFUNCTION("if(REGEXMATCH(AR186,""(all)""),""X"",if(REGEXMATCH(AR186,""planes""),""X"",""""))"),"")</f>
        <v/>
      </c>
      <c r="Y186" s="734" t="str">
        <f>IFERROR(__xludf.DUMMYFUNCTION("if(REGEXMATCH(AR186,""(all)""),""X"",if(REGEXMATCH(AR186,""religion""),""X"",""""))"),"")</f>
        <v/>
      </c>
      <c r="Z186" s="734" t="str">
        <f>IFERROR(__xludf.DUMMYFUNCTION("if(REGEXMATCH(AR186,$Z$168),""X"","""")"),"")</f>
        <v/>
      </c>
      <c r="AA186" s="734" t="str">
        <f>IFERROR(__xludf.DUMMYFUNCTION("if(REGEXMATCH(AR186,$AA$168),""X"","""")"),"X")</f>
        <v>X</v>
      </c>
      <c r="AB186" s="734" t="str">
        <f>IFERROR(__xludf.DUMMYFUNCTION("if(REGEXMATCH(AR186,""Perform""),""X"","""")"),"")</f>
        <v/>
      </c>
      <c r="AC186" s="734" t="str">
        <f t="shared" si="10"/>
        <v/>
      </c>
      <c r="AD186" s="734" t="str">
        <f>IFERROR(__xludf.DUMMYFUNCTION("if(REGEXMATCH(AR186,""Profession""),""X"","""")"),"X")</f>
        <v>X</v>
      </c>
      <c r="AE186" s="734" t="str">
        <f t="shared" si="11"/>
        <v>X</v>
      </c>
      <c r="AF186" s="734" t="str">
        <f>IFERROR(__xludf.DUMMYFUNCTION("if(REGEXMATCH(AR186,$AF$168),""X"","""")"),"X")</f>
        <v>X</v>
      </c>
      <c r="AG186" s="734" t="str">
        <f>IFERROR(__xludf.DUMMYFUNCTION("if(REGEXMATCH(AR186,$AG$168),""X"","""")"),"X")</f>
        <v>X</v>
      </c>
      <c r="AH186" s="734" t="str">
        <f>IFERROR(__xludf.DUMMYFUNCTION("if(REGEXMATCH(AR186,$AH$168),""X"","""")"),"")</f>
        <v/>
      </c>
      <c r="AI186" s="734" t="str">
        <f>IFERROR(__xludf.DUMMYFUNCTION("if(REGEXMATCH(AR186,$AI$168),""X"","""")"),"")</f>
        <v/>
      </c>
      <c r="AJ186" s="739" t="str">
        <f>IFERROR(__xludf.DUMMYFUNCTION("if(REGEXMATCH(AR186,$AJ$168),""X"","""")"),"")</f>
        <v/>
      </c>
      <c r="AK186" s="734" t="str">
        <f>IFERROR(__xludf.DUMMYFUNCTION("if(REGEXMATCH(AR186,$AK$168),""X"","""")"),"")</f>
        <v/>
      </c>
      <c r="AL186" s="734" t="str">
        <f>IFERROR(__xludf.DUMMYFUNCTION("if(REGEXMATCH(AR186,$AL$168),""X"","""")"),"X")</f>
        <v>X</v>
      </c>
      <c r="AM186" s="734" t="str">
        <f>IFERROR(__xludf.DUMMYFUNCTION("if(REGEXMATCH(AR186,$AM$168),""X"","""")"),"")</f>
        <v/>
      </c>
      <c r="AN186" s="734"/>
      <c r="AO186" s="734"/>
      <c r="AP186" s="734" t="str">
        <f>IFERROR(__xludf.DUMMYFUNCTION("if(REGEXMATCH(AR186,""Craft""),""X"","""")"),"X")</f>
        <v>X</v>
      </c>
      <c r="AQ186" s="734" t="str">
        <f>IFERROR(__xludf.DUMMYFUNCTION("if(REGEXMATCH(AR186,""Knowledge""),""X"","""")"),"X")</f>
        <v>X</v>
      </c>
      <c r="AR186" s="740" t="s">
        <v>879</v>
      </c>
      <c r="AS186" s="233"/>
      <c r="AT186" s="233"/>
      <c r="AU186" s="233"/>
      <c r="AV186" s="233"/>
      <c r="AW186" s="233"/>
      <c r="AX186" s="233"/>
      <c r="AY186" s="233"/>
      <c r="AZ186" s="233"/>
      <c r="BA186" s="233"/>
      <c r="BB186" s="233"/>
      <c r="BC186" s="233"/>
      <c r="BD186" s="233"/>
      <c r="BE186" s="233"/>
      <c r="BF186" s="241"/>
      <c r="BG186" s="241"/>
      <c r="BH186" s="241"/>
      <c r="BI186" s="241"/>
      <c r="BJ186" s="241"/>
      <c r="BK186" s="241"/>
      <c r="BL186" s="241"/>
    </row>
    <row r="187">
      <c r="A187" s="385" t="s">
        <v>489</v>
      </c>
      <c r="B187" s="734" t="str">
        <f>IFERROR(__xludf.DUMMYFUNCTION("if(REGEXMATCH(AR187,$B$168),""X"","""")"),"X")</f>
        <v>X</v>
      </c>
      <c r="C187" s="734" t="str">
        <f>IFERROR(__xludf.DUMMYFUNCTION("if(REGEXMATCH(AR187,$C$168),""X"","""")"),"")</f>
        <v/>
      </c>
      <c r="D187" s="734" t="str">
        <f>IFERROR(__xludf.DUMMYFUNCTION("if(REGEXMATCH(AR187,$D$168),""X"","""")"),"")</f>
        <v/>
      </c>
      <c r="E187" s="734" t="str">
        <f>IFERROR(__xludf.DUMMYFUNCTION("if(REGEXMATCH(AR187,$E$168),""X"","""")"),"X")</f>
        <v>X</v>
      </c>
      <c r="F187" s="734" t="str">
        <f>IFERROR(__xludf.DUMMYFUNCTION("if(REGEXMATCH(AR187,$F$168),""X"","""")"),"X")</f>
        <v>X</v>
      </c>
      <c r="G187" s="734" t="str">
        <f t="shared" si="9"/>
        <v>X</v>
      </c>
      <c r="H187" s="734" t="str">
        <f>IFERROR(__xludf.DUMMYFUNCTION("if(REGEXMATCH(AR187,$H$168),""X"","""")"),"")</f>
        <v/>
      </c>
      <c r="I187" s="734" t="str">
        <f>IFERROR(__xludf.DUMMYFUNCTION("if(REGEXMATCH(AR187,$I$168),""X"","""")"),"")</f>
        <v/>
      </c>
      <c r="J187" s="734" t="str">
        <f>IFERROR(__xludf.DUMMYFUNCTION("if(REGEXMATCH(AR187,$J$168),""X"","""")"),"")</f>
        <v/>
      </c>
      <c r="K187" s="734" t="str">
        <f>IFERROR(__xludf.DUMMYFUNCTION("if(REGEXMATCH(AR187,$K$168),""X"","""")"),"X")</f>
        <v>X</v>
      </c>
      <c r="L187" s="734" t="str">
        <f>IFERROR(__xludf.DUMMYFUNCTION("if(REGEXMATCH(AR187,$L$168),""X"","""")"),"X")</f>
        <v>X</v>
      </c>
      <c r="M187" s="734" t="str">
        <f>IFERROR(__xludf.DUMMYFUNCTION("if(REGEXMATCH(AR187,$M$168),""X"","""")"),"")</f>
        <v/>
      </c>
      <c r="N187" s="734" t="str">
        <f>IFERROR(__xludf.DUMMYFUNCTION("if(REGEXMATCH(AR187,$N$168),""X"","""")"),"X")</f>
        <v>X</v>
      </c>
      <c r="O187" s="734" t="str">
        <f>IFERROR(__xludf.DUMMYFUNCTION("if(REGEXMATCH(AR187,$O$168),""X"","""")"),"X")</f>
        <v>X</v>
      </c>
      <c r="P187" s="734" t="str">
        <f>IFERROR(__xludf.DUMMYFUNCTION("if(REGEXMATCH(AR187,""(all)""),""X"",if(REGEXMATCH(AR187,""arcana""),""X"",""""))"),"")</f>
        <v/>
      </c>
      <c r="Q187" s="734" t="str">
        <f>IFERROR(__xludf.DUMMYFUNCTION("if(REGEXMATCH(AR187,""(all)""),""X"",if(REGEXMATCH(AR187,""dungeoneering""),""X"",""""))"),"")</f>
        <v/>
      </c>
      <c r="R187" s="734" t="str">
        <f>IFERROR(__xludf.DUMMYFUNCTION("if(REGEXMATCH(AR187,""(all)""),""X"",if(REGEXMATCH(AR187,""engineering""),""X"",""""))"),"")</f>
        <v/>
      </c>
      <c r="S187" s="734" t="str">
        <f>IFERROR(__xludf.DUMMYFUNCTION("if(REGEXMATCH(AR187,""(all)""),""X"",if(REGEXMATCH(AR187,""geography""),""X"",""""))"),"")</f>
        <v/>
      </c>
      <c r="T187" s="734" t="str">
        <f>IFERROR(__xludf.DUMMYFUNCTION("if(REGEXMATCH(AR187,""(all)""),""X"",if(REGEXMATCH(AR187,""history""),""X"",""""))"),"")</f>
        <v/>
      </c>
      <c r="U187" s="734" t="str">
        <f>IFERROR(__xludf.DUMMYFUNCTION("if(REGEXMATCH(AR187,""(all)""),""X"",if(REGEXMATCH(AR187,""local""),""X"",""""))"),"")</f>
        <v/>
      </c>
      <c r="V187" s="734" t="str">
        <f>IFERROR(__xludf.DUMMYFUNCTION("if(REGEXMATCH(AR187,""(all)""),""X"",if(REGEXMATCH(AR187,""nature""),""X"",""""))"),"X")</f>
        <v>X</v>
      </c>
      <c r="W187" s="734" t="str">
        <f>IFERROR(__xludf.DUMMYFUNCTION("if(REGEXMATCH(AR187,""(all)""),""X"",if(REGEXMATCH(AR187,""nobility""),""X"",""""))"),"")</f>
        <v/>
      </c>
      <c r="X187" s="734" t="str">
        <f>IFERROR(__xludf.DUMMYFUNCTION("if(REGEXMATCH(AR187,""(all)""),""X"",if(REGEXMATCH(AR187,""planes""),""X"",""""))"),"")</f>
        <v/>
      </c>
      <c r="Y187" s="734" t="str">
        <f>IFERROR(__xludf.DUMMYFUNCTION("if(REGEXMATCH(AR187,""(all)""),""X"",if(REGEXMATCH(AR187,""religion""),""X"",""""))"),"")</f>
        <v/>
      </c>
      <c r="Z187" s="734" t="str">
        <f>IFERROR(__xludf.DUMMYFUNCTION("if(REGEXMATCH(AR187,$Z$168),""X"","""")"),"")</f>
        <v/>
      </c>
      <c r="AA187" s="734" t="str">
        <f>IFERROR(__xludf.DUMMYFUNCTION("if(REGEXMATCH(AR187,$AA$168),""X"","""")"),"X")</f>
        <v>X</v>
      </c>
      <c r="AB187" s="734" t="str">
        <f>IFERROR(__xludf.DUMMYFUNCTION("if(REGEXMATCH(AR187,""Perform""),""X"","""")"),"X")</f>
        <v>X</v>
      </c>
      <c r="AC187" s="734" t="str">
        <f t="shared" si="10"/>
        <v>X</v>
      </c>
      <c r="AD187" s="734" t="str">
        <f>IFERROR(__xludf.DUMMYFUNCTION("if(REGEXMATCH(AR187,""Profession""),""X"","""")"),"X")</f>
        <v>X</v>
      </c>
      <c r="AE187" s="734" t="str">
        <f t="shared" si="11"/>
        <v>X</v>
      </c>
      <c r="AF187" s="734" t="str">
        <f>IFERROR(__xludf.DUMMYFUNCTION("if(REGEXMATCH(AR187,$AF$168),""X"","""")"),"X")</f>
        <v>X</v>
      </c>
      <c r="AG187" s="734" t="str">
        <f>IFERROR(__xludf.DUMMYFUNCTION("if(REGEXMATCH(AR187,$AG$168),""X"","""")"),"X")</f>
        <v>X</v>
      </c>
      <c r="AH187" s="734" t="str">
        <f>IFERROR(__xludf.DUMMYFUNCTION("if(REGEXMATCH(AR187,$AH$168),""X"","""")"),"X")</f>
        <v>X</v>
      </c>
      <c r="AI187" s="734" t="str">
        <f>IFERROR(__xludf.DUMMYFUNCTION("if(REGEXMATCH(AR187,$AI$168),""X"","""")"),"")</f>
        <v/>
      </c>
      <c r="AJ187" s="739" t="str">
        <f>IFERROR(__xludf.DUMMYFUNCTION("if(REGEXMATCH(AR187,$AJ$168),""X"","""")"),"X")</f>
        <v>X</v>
      </c>
      <c r="AK187" s="734" t="str">
        <f>IFERROR(__xludf.DUMMYFUNCTION("if(REGEXMATCH(AR187,$AK$168),""X"","""")"),"X")</f>
        <v>X</v>
      </c>
      <c r="AL187" s="734" t="str">
        <f>IFERROR(__xludf.DUMMYFUNCTION("if(REGEXMATCH(AR187,$AL$168),""X"","""")"),"X")</f>
        <v>X</v>
      </c>
      <c r="AM187" s="734" t="str">
        <f>IFERROR(__xludf.DUMMYFUNCTION("if(REGEXMATCH(AR187,$AM$168),""X"","""")"),"")</f>
        <v/>
      </c>
      <c r="AN187" s="734"/>
      <c r="AO187" s="734"/>
      <c r="AP187" s="734" t="str">
        <f>IFERROR(__xludf.DUMMYFUNCTION("if(REGEXMATCH(AR187,""Craft""),""X"","""")"),"X")</f>
        <v>X</v>
      </c>
      <c r="AQ187" s="734" t="str">
        <f>IFERROR(__xludf.DUMMYFUNCTION("if(REGEXMATCH(AR187,""Knowledge""),""X"","""")"),"X")</f>
        <v>X</v>
      </c>
      <c r="AR187" s="740" t="s">
        <v>880</v>
      </c>
      <c r="AS187" s="233"/>
      <c r="AT187" s="233"/>
      <c r="AU187" s="233"/>
      <c r="AV187" s="233"/>
      <c r="AW187" s="233"/>
      <c r="AX187" s="233"/>
      <c r="AY187" s="233"/>
      <c r="AZ187" s="233"/>
      <c r="BA187" s="233"/>
      <c r="BB187" s="233"/>
      <c r="BC187" s="233"/>
      <c r="BD187" s="233"/>
      <c r="BE187" s="233"/>
      <c r="BF187" s="241"/>
      <c r="BG187" s="241"/>
      <c r="BH187" s="241"/>
      <c r="BI187" s="241"/>
      <c r="BJ187" s="241"/>
      <c r="BK187" s="241"/>
      <c r="BL187" s="241"/>
    </row>
    <row r="188">
      <c r="A188" s="385" t="s">
        <v>490</v>
      </c>
      <c r="B188" s="734" t="str">
        <f>IFERROR(__xludf.DUMMYFUNCTION("if(REGEXMATCH(AR188,$B$168),""X"","""")"),"")</f>
        <v/>
      </c>
      <c r="C188" s="734" t="str">
        <f>IFERROR(__xludf.DUMMYFUNCTION("if(REGEXMATCH(AR188,$C$168),""X"","""")"),"X")</f>
        <v>X</v>
      </c>
      <c r="D188" s="734" t="str">
        <f>IFERROR(__xludf.DUMMYFUNCTION("if(REGEXMATCH(AR188,$D$168),""X"","""")"),"X")</f>
        <v>X</v>
      </c>
      <c r="E188" s="734" t="str">
        <f>IFERROR(__xludf.DUMMYFUNCTION("if(REGEXMATCH(AR188,$E$168),""X"","""")"),"X")</f>
        <v>X</v>
      </c>
      <c r="F188" s="734" t="str">
        <f>IFERROR(__xludf.DUMMYFUNCTION("if(REGEXMATCH(AR188,$F$168),""X"","""")"),"X")</f>
        <v>X</v>
      </c>
      <c r="G188" s="734" t="str">
        <f t="shared" si="9"/>
        <v>X</v>
      </c>
      <c r="H188" s="734" t="str">
        <f>IFERROR(__xludf.DUMMYFUNCTION("if(REGEXMATCH(AR188,$H$168),""X"","""")"),"X")</f>
        <v>X</v>
      </c>
      <c r="I188" s="734" t="str">
        <f>IFERROR(__xludf.DUMMYFUNCTION("if(REGEXMATCH(AR188,$I$168),""X"","""")"),"X")</f>
        <v>X</v>
      </c>
      <c r="J188" s="734" t="str">
        <f>IFERROR(__xludf.DUMMYFUNCTION("if(REGEXMATCH(AR188,$J$168),""X"","""")"),"")</f>
        <v/>
      </c>
      <c r="K188" s="734" t="str">
        <f>IFERROR(__xludf.DUMMYFUNCTION("if(REGEXMATCH(AR188,$K$168),""X"","""")"),"")</f>
        <v/>
      </c>
      <c r="L188" s="734" t="str">
        <f>IFERROR(__xludf.DUMMYFUNCTION("if(REGEXMATCH(AR188,$L$168),""X"","""")"),"")</f>
        <v/>
      </c>
      <c r="M188" s="734" t="str">
        <f>IFERROR(__xludf.DUMMYFUNCTION("if(REGEXMATCH(AR188,$M$168),""X"","""")"),"")</f>
        <v/>
      </c>
      <c r="N188" s="734" t="str">
        <f>IFERROR(__xludf.DUMMYFUNCTION("if(REGEXMATCH(AR188,$N$168),""X"","""")"),"")</f>
        <v/>
      </c>
      <c r="O188" s="734" t="str">
        <f>IFERROR(__xludf.DUMMYFUNCTION("if(REGEXMATCH(AR188,$O$168),""X"","""")"),"")</f>
        <v/>
      </c>
      <c r="P188" s="734" t="str">
        <f>IFERROR(__xludf.DUMMYFUNCTION("if(REGEXMATCH(AR188,""(all)""),""X"",if(REGEXMATCH(AR188,""arcana""),""X"",""""))"),"")</f>
        <v/>
      </c>
      <c r="Q188" s="734" t="str">
        <f>IFERROR(__xludf.DUMMYFUNCTION("if(REGEXMATCH(AR188,""(all)""),""X"",if(REGEXMATCH(AR188,""dungeoneering""),""X"",""""))"),"X")</f>
        <v>X</v>
      </c>
      <c r="R188" s="734" t="str">
        <f>IFERROR(__xludf.DUMMYFUNCTION("if(REGEXMATCH(AR188,""(all)""),""X"",if(REGEXMATCH(AR188,""engineering""),""X"",""""))"),"X")</f>
        <v>X</v>
      </c>
      <c r="S188" s="734" t="str">
        <f>IFERROR(__xludf.DUMMYFUNCTION("if(REGEXMATCH(AR188,""(all)""),""X"",if(REGEXMATCH(AR188,""geography""),""X"",""""))"),"X")</f>
        <v>X</v>
      </c>
      <c r="T188" s="734" t="str">
        <f>IFERROR(__xludf.DUMMYFUNCTION("if(REGEXMATCH(AR188,""(all)""),""X"",if(REGEXMATCH(AR188,""history""),""X"",""""))"),"")</f>
        <v/>
      </c>
      <c r="U188" s="734" t="str">
        <f>IFERROR(__xludf.DUMMYFUNCTION("if(REGEXMATCH(AR188,""(all)""),""X"",if(REGEXMATCH(AR188,""local""),""X"",""""))"),"X")</f>
        <v>X</v>
      </c>
      <c r="V188" s="734" t="str">
        <f>IFERROR(__xludf.DUMMYFUNCTION("if(REGEXMATCH(AR188,""(all)""),""X"",if(REGEXMATCH(AR188,""nature""),""X"",""""))"),"")</f>
        <v/>
      </c>
      <c r="W188" s="734" t="str">
        <f>IFERROR(__xludf.DUMMYFUNCTION("if(REGEXMATCH(AR188,""(all)""),""X"",if(REGEXMATCH(AR188,""nobility""),""X"",""""))"),"")</f>
        <v/>
      </c>
      <c r="X188" s="734" t="str">
        <f>IFERROR(__xludf.DUMMYFUNCTION("if(REGEXMATCH(AR188,""(all)""),""X"",if(REGEXMATCH(AR188,""planes""),""X"",""""))"),"")</f>
        <v/>
      </c>
      <c r="Y188" s="734" t="str">
        <f>IFERROR(__xludf.DUMMYFUNCTION("if(REGEXMATCH(AR188,""(all)""),""X"",if(REGEXMATCH(AR188,""religion""),""X"",""""))"),"")</f>
        <v/>
      </c>
      <c r="Z188" s="734" t="str">
        <f>IFERROR(__xludf.DUMMYFUNCTION("if(REGEXMATCH(AR188,$Z$168),""X"","""")"),"X")</f>
        <v>X</v>
      </c>
      <c r="AA188" s="734" t="str">
        <f>IFERROR(__xludf.DUMMYFUNCTION("if(REGEXMATCH(AR188,$AA$168),""X"","""")"),"X")</f>
        <v>X</v>
      </c>
      <c r="AB188" s="734" t="str">
        <f>IFERROR(__xludf.DUMMYFUNCTION("if(REGEXMATCH(AR188,""Perform""),""X"","""")"),"")</f>
        <v/>
      </c>
      <c r="AC188" s="734" t="str">
        <f t="shared" si="10"/>
        <v/>
      </c>
      <c r="AD188" s="734" t="str">
        <f>IFERROR(__xludf.DUMMYFUNCTION("if(REGEXMATCH(AR188,""Profession""),""X"","""")"),"X")</f>
        <v>X</v>
      </c>
      <c r="AE188" s="734" t="str">
        <f t="shared" si="11"/>
        <v>X</v>
      </c>
      <c r="AF188" s="734" t="str">
        <f>IFERROR(__xludf.DUMMYFUNCTION("if(REGEXMATCH(AR188,$AF$168),""X"","""")"),"")</f>
        <v/>
      </c>
      <c r="AG188" s="734" t="str">
        <f>IFERROR(__xludf.DUMMYFUNCTION("if(REGEXMATCH(AR188,$AG$168),""X"","""")"),"X")</f>
        <v>X</v>
      </c>
      <c r="AH188" s="734" t="str">
        <f>IFERROR(__xludf.DUMMYFUNCTION("if(REGEXMATCH(AR188,$AH$168),""X"","""")"),"X")</f>
        <v>X</v>
      </c>
      <c r="AI188" s="734" t="str">
        <f>IFERROR(__xludf.DUMMYFUNCTION("if(REGEXMATCH(AR188,$AI$168),""X"","""")"),"")</f>
        <v/>
      </c>
      <c r="AJ188" s="739" t="str">
        <f>IFERROR(__xludf.DUMMYFUNCTION("if(REGEXMATCH(AR188,$AJ$168),""X"","""")"),"X")</f>
        <v>X</v>
      </c>
      <c r="AK188" s="734" t="str">
        <f>IFERROR(__xludf.DUMMYFUNCTION("if(REGEXMATCH(AR188,$AK$168),""X"","""")"),"")</f>
        <v/>
      </c>
      <c r="AL188" s="734" t="str">
        <f>IFERROR(__xludf.DUMMYFUNCTION("if(REGEXMATCH(AR188,$AL$168),""X"","""")"),"X")</f>
        <v>X</v>
      </c>
      <c r="AM188" s="734" t="str">
        <f>IFERROR(__xludf.DUMMYFUNCTION("if(REGEXMATCH(AR188,$AM$168),""X"","""")"),"X")</f>
        <v>X</v>
      </c>
      <c r="AN188" s="734"/>
      <c r="AO188" s="734"/>
      <c r="AP188" s="734" t="str">
        <f>IFERROR(__xludf.DUMMYFUNCTION("if(REGEXMATCH(AR188,""Craft""),""X"","""")"),"X")</f>
        <v>X</v>
      </c>
      <c r="AQ188" s="734" t="str">
        <f>IFERROR(__xludf.DUMMYFUNCTION("if(REGEXMATCH(AR188,""Knowledge""),""X"","""")"),"X")</f>
        <v>X</v>
      </c>
      <c r="AR188" s="740" t="s">
        <v>884</v>
      </c>
      <c r="AS188" s="233"/>
      <c r="AT188" s="233"/>
      <c r="AU188" s="233"/>
      <c r="AV188" s="233"/>
      <c r="AW188" s="233"/>
      <c r="AX188" s="233"/>
      <c r="AY188" s="233"/>
      <c r="AZ188" s="233"/>
      <c r="BA188" s="233"/>
      <c r="BB188" s="233"/>
      <c r="BC188" s="233"/>
      <c r="BD188" s="233"/>
      <c r="BE188" s="233"/>
      <c r="BF188" s="241"/>
      <c r="BG188" s="241"/>
      <c r="BH188" s="241"/>
      <c r="BI188" s="241"/>
      <c r="BJ188" s="241"/>
      <c r="BK188" s="241"/>
      <c r="BL188" s="241"/>
    </row>
    <row r="189">
      <c r="A189" s="385" t="s">
        <v>491</v>
      </c>
      <c r="B189" s="734" t="str">
        <f>IFERROR(__xludf.DUMMYFUNCTION("if(REGEXMATCH(AR189,$B$168),""X"","""")"),"X")</f>
        <v>X</v>
      </c>
      <c r="C189" s="734" t="str">
        <f>IFERROR(__xludf.DUMMYFUNCTION("if(REGEXMATCH(AR189,$C$168),""X"","""")"),"")</f>
        <v/>
      </c>
      <c r="D189" s="734" t="str">
        <f>IFERROR(__xludf.DUMMYFUNCTION("if(REGEXMATCH(AR189,$D$168),""X"","""")"),"X")</f>
        <v>X</v>
      </c>
      <c r="E189" s="734" t="str">
        <f>IFERROR(__xludf.DUMMYFUNCTION("if(REGEXMATCH(AR189,$E$168),""X"","""")"),"X")</f>
        <v>X</v>
      </c>
      <c r="F189" s="734" t="str">
        <f>IFERROR(__xludf.DUMMYFUNCTION("if(REGEXMATCH(AR189,$F$168),""X"","""")"),"X")</f>
        <v>X</v>
      </c>
      <c r="G189" s="734" t="str">
        <f t="shared" si="9"/>
        <v>X</v>
      </c>
      <c r="H189" s="734" t="str">
        <f>IFERROR(__xludf.DUMMYFUNCTION("if(REGEXMATCH(AR189,$H$168),""X"","""")"),"X")</f>
        <v>X</v>
      </c>
      <c r="I189" s="734" t="str">
        <f>IFERROR(__xludf.DUMMYFUNCTION("if(REGEXMATCH(AR189,$I$168),""X"","""")"),"")</f>
        <v/>
      </c>
      <c r="J189" s="734" t="str">
        <f>IFERROR(__xludf.DUMMYFUNCTION("if(REGEXMATCH(AR189,$J$168),""X"","""")"),"")</f>
        <v/>
      </c>
      <c r="K189" s="734" t="str">
        <f>IFERROR(__xludf.DUMMYFUNCTION("if(REGEXMATCH(AR189,$K$168),""X"","""")"),"")</f>
        <v/>
      </c>
      <c r="L189" s="734" t="str">
        <f>IFERROR(__xludf.DUMMYFUNCTION("if(REGEXMATCH(AR189,$L$168),""X"","""")"),"")</f>
        <v/>
      </c>
      <c r="M189" s="734" t="str">
        <f>IFERROR(__xludf.DUMMYFUNCTION("if(REGEXMATCH(AR189,$M$168),""X"","""")"),"")</f>
        <v/>
      </c>
      <c r="N189" s="734" t="str">
        <f>IFERROR(__xludf.DUMMYFUNCTION("if(REGEXMATCH(AR189,$N$168),""X"","""")"),"")</f>
        <v/>
      </c>
      <c r="O189" s="734" t="str">
        <f>IFERROR(__xludf.DUMMYFUNCTION("if(REGEXMATCH(AR189,$O$168),""X"","""")"),"X")</f>
        <v>X</v>
      </c>
      <c r="P189" s="734" t="str">
        <f>IFERROR(__xludf.DUMMYFUNCTION("if(REGEXMATCH(AR189,""(all)""),""X"",if(REGEXMATCH(AR189,""arcana""),""X"",""""))"),"X")</f>
        <v>X</v>
      </c>
      <c r="Q189" s="734" t="str">
        <f>IFERROR(__xludf.DUMMYFUNCTION("if(REGEXMATCH(AR189,""(all)""),""X"",if(REGEXMATCH(AR189,""dungeoneering""),""X"",""""))"),"X")</f>
        <v>X</v>
      </c>
      <c r="R189" s="734" t="str">
        <f>IFERROR(__xludf.DUMMYFUNCTION("if(REGEXMATCH(AR189,""(all)""),""X"",if(REGEXMATCH(AR189,""engineering""),""X"",""""))"),"X")</f>
        <v>X</v>
      </c>
      <c r="S189" s="734" t="str">
        <f>IFERROR(__xludf.DUMMYFUNCTION("if(REGEXMATCH(AR189,""(all)""),""X"",if(REGEXMATCH(AR189,""geography""),""X"",""""))"),"X")</f>
        <v>X</v>
      </c>
      <c r="T189" s="734" t="str">
        <f>IFERROR(__xludf.DUMMYFUNCTION("if(REGEXMATCH(AR189,""(all)""),""X"",if(REGEXMATCH(AR189,""history""),""X"",""""))"),"X")</f>
        <v>X</v>
      </c>
      <c r="U189" s="734" t="str">
        <f>IFERROR(__xludf.DUMMYFUNCTION("if(REGEXMATCH(AR189,""(all)""),""X"",if(REGEXMATCH(AR189,""local""),""X"",""""))"),"X")</f>
        <v>X</v>
      </c>
      <c r="V189" s="734" t="str">
        <f>IFERROR(__xludf.DUMMYFUNCTION("if(REGEXMATCH(AR189,""(all)""),""X"",if(REGEXMATCH(AR189,""nature""),""X"",""""))"),"X")</f>
        <v>X</v>
      </c>
      <c r="W189" s="734" t="str">
        <f>IFERROR(__xludf.DUMMYFUNCTION("if(REGEXMATCH(AR189,""(all)""),""X"",if(REGEXMATCH(AR189,""nobility""),""X"",""""))"),"X")</f>
        <v>X</v>
      </c>
      <c r="X189" s="734" t="str">
        <f>IFERROR(__xludf.DUMMYFUNCTION("if(REGEXMATCH(AR189,""(all)""),""X"",if(REGEXMATCH(AR189,""planes""),""X"",""""))"),"X")</f>
        <v>X</v>
      </c>
      <c r="Y189" s="734" t="str">
        <f>IFERROR(__xludf.DUMMYFUNCTION("if(REGEXMATCH(AR189,""(all)""),""X"",if(REGEXMATCH(AR189,""religion""),""X"",""""))"),"X")</f>
        <v>X</v>
      </c>
      <c r="Z189" s="734" t="str">
        <f>IFERROR(__xludf.DUMMYFUNCTION("if(REGEXMATCH(AR189,$Z$168),""X"","""")"),"")</f>
        <v/>
      </c>
      <c r="AA189" s="734" t="str">
        <f>IFERROR(__xludf.DUMMYFUNCTION("if(REGEXMATCH(AR189,$AA$168),""X"","""")"),"X")</f>
        <v>X</v>
      </c>
      <c r="AB189" s="734" t="str">
        <f>IFERROR(__xludf.DUMMYFUNCTION("if(REGEXMATCH(AR189,""Perform""),""X"","""")"),"X")</f>
        <v>X</v>
      </c>
      <c r="AC189" s="734" t="str">
        <f t="shared" si="10"/>
        <v>X</v>
      </c>
      <c r="AD189" s="734" t="str">
        <f>IFERROR(__xludf.DUMMYFUNCTION("if(REGEXMATCH(AR189,""Profession""),""X"","""")"),"X")</f>
        <v>X</v>
      </c>
      <c r="AE189" s="734" t="str">
        <f t="shared" si="11"/>
        <v>X</v>
      </c>
      <c r="AF189" s="734" t="str">
        <f>IFERROR(__xludf.DUMMYFUNCTION("if(REGEXMATCH(AR189,$AF$168),""X"","""")"),"")</f>
        <v/>
      </c>
      <c r="AG189" s="734" t="str">
        <f>IFERROR(__xludf.DUMMYFUNCTION("if(REGEXMATCH(AR189,$AG$168),""X"","""")"),"X")</f>
        <v>X</v>
      </c>
      <c r="AH189" s="734" t="str">
        <f>IFERROR(__xludf.DUMMYFUNCTION("if(REGEXMATCH(AR189,$AH$168),""X"","""")"),"")</f>
        <v/>
      </c>
      <c r="AI189" s="734" t="str">
        <f>IFERROR(__xludf.DUMMYFUNCTION("if(REGEXMATCH(AR189,$AI$168),""X"","""")"),"X")</f>
        <v>X</v>
      </c>
      <c r="AJ189" s="739" t="str">
        <f>IFERROR(__xludf.DUMMYFUNCTION("if(REGEXMATCH(AR189,$AJ$168),""X"","""")"),"")</f>
        <v/>
      </c>
      <c r="AK189" s="734" t="str">
        <f>IFERROR(__xludf.DUMMYFUNCTION("if(REGEXMATCH(AR189,$AK$168),""X"","""")"),"")</f>
        <v/>
      </c>
      <c r="AL189" s="734" t="str">
        <f>IFERROR(__xludf.DUMMYFUNCTION("if(REGEXMATCH(AR189,$AL$168),""X"","""")"),"")</f>
        <v/>
      </c>
      <c r="AM189" s="734" t="str">
        <f>IFERROR(__xludf.DUMMYFUNCTION("if(REGEXMATCH(AR189,$AM$168),""X"","""")"),"X")</f>
        <v>X</v>
      </c>
      <c r="AN189" s="734"/>
      <c r="AO189" s="734"/>
      <c r="AP189" s="734" t="str">
        <f>IFERROR(__xludf.DUMMYFUNCTION("if(REGEXMATCH(AR189,""Craft""),""X"","""")"),"X")</f>
        <v>X</v>
      </c>
      <c r="AQ189" s="734" t="str">
        <f>IFERROR(__xludf.DUMMYFUNCTION("if(REGEXMATCH(AR189,""Knowledge""),""X"","""")"),"X")</f>
        <v>X</v>
      </c>
      <c r="AR189" s="740" t="s">
        <v>888</v>
      </c>
      <c r="AS189" s="233"/>
      <c r="AT189" s="233"/>
      <c r="AU189" s="233"/>
      <c r="AV189" s="233"/>
      <c r="AW189" s="233"/>
      <c r="AX189" s="233"/>
      <c r="AY189" s="233"/>
      <c r="AZ189" s="233"/>
      <c r="BA189" s="233"/>
      <c r="BB189" s="233"/>
      <c r="BC189" s="233"/>
      <c r="BD189" s="233"/>
      <c r="BE189" s="233"/>
      <c r="BF189" s="241"/>
      <c r="BG189" s="241"/>
      <c r="BH189" s="241"/>
      <c r="BI189" s="241"/>
      <c r="BJ189" s="241"/>
      <c r="BK189" s="241"/>
      <c r="BL189" s="241"/>
    </row>
    <row r="190">
      <c r="A190" s="385" t="s">
        <v>492</v>
      </c>
      <c r="B190" s="734" t="str">
        <f>IFERROR(__xludf.DUMMYFUNCTION("if(REGEXMATCH(AR190,$B$168),""X"","""")"),"X")</f>
        <v>X</v>
      </c>
      <c r="C190" s="734" t="str">
        <f>IFERROR(__xludf.DUMMYFUNCTION("if(REGEXMATCH(AR190,$C$168),""X"","""")"),"X")</f>
        <v>X</v>
      </c>
      <c r="D190" s="734" t="str">
        <f>IFERROR(__xludf.DUMMYFUNCTION("if(REGEXMATCH(AR190,$D$168),""X"","""")"),"")</f>
        <v/>
      </c>
      <c r="E190" s="734" t="str">
        <f>IFERROR(__xludf.DUMMYFUNCTION("if(REGEXMATCH(AR190,$E$168),""X"","""")"),"X")</f>
        <v>X</v>
      </c>
      <c r="F190" s="734" t="str">
        <f>IFERROR(__xludf.DUMMYFUNCTION("if(REGEXMATCH(AR190,$F$168),""X"","""")"),"X")</f>
        <v>X</v>
      </c>
      <c r="G190" s="734" t="str">
        <f t="shared" si="9"/>
        <v>X</v>
      </c>
      <c r="H190" s="734" t="str">
        <f>IFERROR(__xludf.DUMMYFUNCTION("if(REGEXMATCH(AR190,$H$168),""X"","""")"),"X")</f>
        <v>X</v>
      </c>
      <c r="I190" s="734" t="str">
        <f>IFERROR(__xludf.DUMMYFUNCTION("if(REGEXMATCH(AR190,$I$168),""X"","""")"),"")</f>
        <v/>
      </c>
      <c r="J190" s="734" t="str">
        <f>IFERROR(__xludf.DUMMYFUNCTION("if(REGEXMATCH(AR190,$J$168),""X"","""")"),"")</f>
        <v/>
      </c>
      <c r="K190" s="734" t="str">
        <f>IFERROR(__xludf.DUMMYFUNCTION("if(REGEXMATCH(AR190,$K$168),""X"","""")"),"X")</f>
        <v>X</v>
      </c>
      <c r="L190" s="734" t="str">
        <f>IFERROR(__xludf.DUMMYFUNCTION("if(REGEXMATCH(AR190,$L$168),""X"","""")"),"")</f>
        <v/>
      </c>
      <c r="M190" s="734" t="str">
        <f>IFERROR(__xludf.DUMMYFUNCTION("if(REGEXMATCH(AR190,$M$168),""X"","""")"),"")</f>
        <v/>
      </c>
      <c r="N190" s="734" t="str">
        <f>IFERROR(__xludf.DUMMYFUNCTION("if(REGEXMATCH(AR190,$N$168),""X"","""")"),"")</f>
        <v/>
      </c>
      <c r="O190" s="734" t="str">
        <f>IFERROR(__xludf.DUMMYFUNCTION("if(REGEXMATCH(AR190,$O$168),""X"","""")"),"X")</f>
        <v>X</v>
      </c>
      <c r="P190" s="734" t="str">
        <f>IFERROR(__xludf.DUMMYFUNCTION("if(REGEXMATCH(AR190,""(all)""),""X"",if(REGEXMATCH(AR190,""arcana""),""X"",""""))"),"X")</f>
        <v>X</v>
      </c>
      <c r="Q190" s="734" t="str">
        <f>IFERROR(__xludf.DUMMYFUNCTION("if(REGEXMATCH(AR190,""(all)""),""X"",if(REGEXMATCH(AR190,""dungeoneering""),""X"",""""))"),"X")</f>
        <v>X</v>
      </c>
      <c r="R190" s="734" t="str">
        <f>IFERROR(__xludf.DUMMYFUNCTION("if(REGEXMATCH(AR190,""(all)""),""X"",if(REGEXMATCH(AR190,""engineering""),""X"",""""))"),"X")</f>
        <v>X</v>
      </c>
      <c r="S190" s="734" t="str">
        <f>IFERROR(__xludf.DUMMYFUNCTION("if(REGEXMATCH(AR190,""(all)""),""X"",if(REGEXMATCH(AR190,""geography""),""X"",""""))"),"X")</f>
        <v>X</v>
      </c>
      <c r="T190" s="734" t="str">
        <f>IFERROR(__xludf.DUMMYFUNCTION("if(REGEXMATCH(AR190,""(all)""),""X"",if(REGEXMATCH(AR190,""history""),""X"",""""))"),"X")</f>
        <v>X</v>
      </c>
      <c r="U190" s="734" t="str">
        <f>IFERROR(__xludf.DUMMYFUNCTION("if(REGEXMATCH(AR190,""(all)""),""X"",if(REGEXMATCH(AR190,""local""),""X"",""""))"),"X")</f>
        <v>X</v>
      </c>
      <c r="V190" s="734" t="str">
        <f>IFERROR(__xludf.DUMMYFUNCTION("if(REGEXMATCH(AR190,""(all)""),""X"",if(REGEXMATCH(AR190,""nature""),""X"",""""))"),"X")</f>
        <v>X</v>
      </c>
      <c r="W190" s="734" t="str">
        <f>IFERROR(__xludf.DUMMYFUNCTION("if(REGEXMATCH(AR190,""(all)""),""X"",if(REGEXMATCH(AR190,""nobility""),""X"",""""))"),"X")</f>
        <v>X</v>
      </c>
      <c r="X190" s="734" t="str">
        <f>IFERROR(__xludf.DUMMYFUNCTION("if(REGEXMATCH(AR190,""(all)""),""X"",if(REGEXMATCH(AR190,""planes""),""X"",""""))"),"X")</f>
        <v>X</v>
      </c>
      <c r="Y190" s="734" t="str">
        <f>IFERROR(__xludf.DUMMYFUNCTION("if(REGEXMATCH(AR190,""(all)""),""X"",if(REGEXMATCH(AR190,""religion""),""X"",""""))"),"X")</f>
        <v>X</v>
      </c>
      <c r="Z190" s="734" t="str">
        <f>IFERROR(__xludf.DUMMYFUNCTION("if(REGEXMATCH(AR190,$Z$168),""X"","""")"),"")</f>
        <v/>
      </c>
      <c r="AA190" s="734" t="str">
        <f>IFERROR(__xludf.DUMMYFUNCTION("if(REGEXMATCH(AR190,$AA$168),""X"","""")"),"X")</f>
        <v>X</v>
      </c>
      <c r="AB190" s="734" t="str">
        <f>IFERROR(__xludf.DUMMYFUNCTION("if(REGEXMATCH(AR190,""Perform""),""X"","""")"),"X")</f>
        <v>X</v>
      </c>
      <c r="AC190" s="734" t="str">
        <f t="shared" si="10"/>
        <v>X</v>
      </c>
      <c r="AD190" s="734" t="str">
        <f>IFERROR(__xludf.DUMMYFUNCTION("if(REGEXMATCH(AR190,""Profession""),""X"","""")"),"X")</f>
        <v>X</v>
      </c>
      <c r="AE190" s="734" t="str">
        <f t="shared" si="11"/>
        <v>X</v>
      </c>
      <c r="AF190" s="734" t="str">
        <f>IFERROR(__xludf.DUMMYFUNCTION("if(REGEXMATCH(AR190,$AF$168),""X"","""")"),"X")</f>
        <v>X</v>
      </c>
      <c r="AG190" s="734" t="str">
        <f>IFERROR(__xludf.DUMMYFUNCTION("if(REGEXMATCH(AR190,$AG$168),""X"","""")"),"X")</f>
        <v>X</v>
      </c>
      <c r="AH190" s="734" t="str">
        <f>IFERROR(__xludf.DUMMYFUNCTION("if(REGEXMATCH(AR190,$AH$168),""X"","""")"),"")</f>
        <v/>
      </c>
      <c r="AI190" s="734" t="str">
        <f>IFERROR(__xludf.DUMMYFUNCTION("if(REGEXMATCH(AR190,$AI$168),""X"","""")"),"")</f>
        <v/>
      </c>
      <c r="AJ190" s="739" t="str">
        <f>IFERROR(__xludf.DUMMYFUNCTION("if(REGEXMATCH(AR190,$AJ$168),""X"","""")"),"X")</f>
        <v>X</v>
      </c>
      <c r="AK190" s="734" t="str">
        <f>IFERROR(__xludf.DUMMYFUNCTION("if(REGEXMATCH(AR190,$AK$168),""X"","""")"),"")</f>
        <v/>
      </c>
      <c r="AL190" s="734" t="str">
        <f>IFERROR(__xludf.DUMMYFUNCTION("if(REGEXMATCH(AR190,$AL$168),""X"","""")"),"X")</f>
        <v>X</v>
      </c>
      <c r="AM190" s="734" t="str">
        <f>IFERROR(__xludf.DUMMYFUNCTION("if(REGEXMATCH(AR190,$AM$168),""X"","""")"),"")</f>
        <v/>
      </c>
      <c r="AN190" s="734"/>
      <c r="AO190" s="734"/>
      <c r="AP190" s="734" t="str">
        <f>IFERROR(__xludf.DUMMYFUNCTION("if(REGEXMATCH(AR190,""Craft""),""X"","""")"),"X")</f>
        <v>X</v>
      </c>
      <c r="AQ190" s="734" t="str">
        <f>IFERROR(__xludf.DUMMYFUNCTION("if(REGEXMATCH(AR190,""Knowledge""),""X"","""")"),"X")</f>
        <v>X</v>
      </c>
      <c r="AR190" s="740" t="s">
        <v>891</v>
      </c>
      <c r="AS190" s="233"/>
      <c r="AT190" s="233"/>
      <c r="AU190" s="233"/>
      <c r="AV190" s="233"/>
      <c r="AW190" s="233"/>
      <c r="AX190" s="233"/>
      <c r="AY190" s="233"/>
      <c r="AZ190" s="233"/>
      <c r="BA190" s="233"/>
      <c r="BB190" s="233"/>
      <c r="BC190" s="233"/>
      <c r="BD190" s="233"/>
      <c r="BE190" s="233"/>
      <c r="BF190" s="241"/>
      <c r="BG190" s="241"/>
      <c r="BH190" s="241"/>
      <c r="BI190" s="241"/>
      <c r="BJ190" s="241"/>
      <c r="BK190" s="241"/>
      <c r="BL190" s="241"/>
    </row>
    <row r="191">
      <c r="A191" s="385" t="s">
        <v>493</v>
      </c>
      <c r="B191" s="734" t="str">
        <f>IFERROR(__xludf.DUMMYFUNCTION("if(REGEXMATCH(AR191,$B$168),""X"","""")"),"X")</f>
        <v>X</v>
      </c>
      <c r="C191" s="734" t="str">
        <f>IFERROR(__xludf.DUMMYFUNCTION("if(REGEXMATCH(AR191,$C$168),""X"","""")"),"X")</f>
        <v>X</v>
      </c>
      <c r="D191" s="734" t="str">
        <f>IFERROR(__xludf.DUMMYFUNCTION("if(REGEXMATCH(AR191,$D$168),""X"","""")"),"X")</f>
        <v>X</v>
      </c>
      <c r="E191" s="734" t="str">
        <f>IFERROR(__xludf.DUMMYFUNCTION("if(REGEXMATCH(AR191,$E$168),""X"","""")"),"X")</f>
        <v>X</v>
      </c>
      <c r="F191" s="734" t="str">
        <f>IFERROR(__xludf.DUMMYFUNCTION("if(REGEXMATCH(AR191,$F$168),""X"","""")"),"X")</f>
        <v>X</v>
      </c>
      <c r="G191" s="734" t="str">
        <f t="shared" si="9"/>
        <v>X</v>
      </c>
      <c r="H191" s="734" t="str">
        <f>IFERROR(__xludf.DUMMYFUNCTION("if(REGEXMATCH(AR191,$H$168),""X"","""")"),"X")</f>
        <v>X</v>
      </c>
      <c r="I191" s="734" t="str">
        <f>IFERROR(__xludf.DUMMYFUNCTION("if(REGEXMATCH(AR191,$I$168),""X"","""")"),"X")</f>
        <v>X</v>
      </c>
      <c r="J191" s="734" t="str">
        <f>IFERROR(__xludf.DUMMYFUNCTION("if(REGEXMATCH(AR191,$J$168),""X"","""")"),"X")</f>
        <v>X</v>
      </c>
      <c r="K191" s="734" t="str">
        <f>IFERROR(__xludf.DUMMYFUNCTION("if(REGEXMATCH(AR191,$K$168),""X"","""")"),"X")</f>
        <v>X</v>
      </c>
      <c r="L191" s="734" t="str">
        <f>IFERROR(__xludf.DUMMYFUNCTION("if(REGEXMATCH(AR191,$L$168),""X"","""")"),"")</f>
        <v/>
      </c>
      <c r="M191" s="734" t="str">
        <f>IFERROR(__xludf.DUMMYFUNCTION("if(REGEXMATCH(AR191,$M$168),""X"","""")"),"")</f>
        <v/>
      </c>
      <c r="N191" s="734" t="str">
        <f>IFERROR(__xludf.DUMMYFUNCTION("if(REGEXMATCH(AR191,$N$168),""X"","""")"),"")</f>
        <v/>
      </c>
      <c r="O191" s="734" t="str">
        <f>IFERROR(__xludf.DUMMYFUNCTION("if(REGEXMATCH(AR191,$O$168),""X"","""")"),"X")</f>
        <v>X</v>
      </c>
      <c r="P191" s="734" t="str">
        <f>IFERROR(__xludf.DUMMYFUNCTION("if(REGEXMATCH(AR191,""(all)""),""X"",if(REGEXMATCH(AR191,""arcana""),""X"",""""))"),"X")</f>
        <v>X</v>
      </c>
      <c r="Q191" s="734" t="str">
        <f>IFERROR(__xludf.DUMMYFUNCTION("if(REGEXMATCH(AR191,""(all)""),""X"",if(REGEXMATCH(AR191,""dungeoneering""),""X"",""""))"),"X")</f>
        <v>X</v>
      </c>
      <c r="R191" s="734" t="str">
        <f>IFERROR(__xludf.DUMMYFUNCTION("if(REGEXMATCH(AR191,""(all)""),""X"",if(REGEXMATCH(AR191,""engineering""),""X"",""""))"),"X")</f>
        <v>X</v>
      </c>
      <c r="S191" s="734" t="str">
        <f>IFERROR(__xludf.DUMMYFUNCTION("if(REGEXMATCH(AR191,""(all)""),""X"",if(REGEXMATCH(AR191,""geography""),""X"",""""))"),"X")</f>
        <v>X</v>
      </c>
      <c r="T191" s="734" t="str">
        <f>IFERROR(__xludf.DUMMYFUNCTION("if(REGEXMATCH(AR191,""(all)""),""X"",if(REGEXMATCH(AR191,""history""),""X"",""""))"),"X")</f>
        <v>X</v>
      </c>
      <c r="U191" s="734" t="str">
        <f>IFERROR(__xludf.DUMMYFUNCTION("if(REGEXMATCH(AR191,""(all)""),""X"",if(REGEXMATCH(AR191,""local""),""X"",""""))"),"X")</f>
        <v>X</v>
      </c>
      <c r="V191" s="734" t="str">
        <f>IFERROR(__xludf.DUMMYFUNCTION("if(REGEXMATCH(AR191,""(all)""),""X"",if(REGEXMATCH(AR191,""nature""),""X"",""""))"),"X")</f>
        <v>X</v>
      </c>
      <c r="W191" s="734" t="str">
        <f>IFERROR(__xludf.DUMMYFUNCTION("if(REGEXMATCH(AR191,""(all)""),""X"",if(REGEXMATCH(AR191,""nobility""),""X"",""""))"),"X")</f>
        <v>X</v>
      </c>
      <c r="X191" s="734" t="str">
        <f>IFERROR(__xludf.DUMMYFUNCTION("if(REGEXMATCH(AR191,""(all)""),""X"",if(REGEXMATCH(AR191,""planes""),""X"",""""))"),"X")</f>
        <v>X</v>
      </c>
      <c r="Y191" s="734" t="str">
        <f>IFERROR(__xludf.DUMMYFUNCTION("if(REGEXMATCH(AR191,""(all)""),""X"",if(REGEXMATCH(AR191,""religion""),""X"",""""))"),"X")</f>
        <v>X</v>
      </c>
      <c r="Z191" s="734" t="str">
        <f>IFERROR(__xludf.DUMMYFUNCTION("if(REGEXMATCH(AR191,$Z$168),""X"","""")"),"X")</f>
        <v>X</v>
      </c>
      <c r="AA191" s="734" t="str">
        <f>IFERROR(__xludf.DUMMYFUNCTION("if(REGEXMATCH(AR191,$AA$168),""X"","""")"),"")</f>
        <v/>
      </c>
      <c r="AB191" s="734" t="str">
        <f>IFERROR(__xludf.DUMMYFUNCTION("if(REGEXMATCH(AR191,""Perform""),""X"","""")"),"X")</f>
        <v>X</v>
      </c>
      <c r="AC191" s="734" t="str">
        <f t="shared" si="10"/>
        <v>X</v>
      </c>
      <c r="AD191" s="734" t="str">
        <f>IFERROR(__xludf.DUMMYFUNCTION("if(REGEXMATCH(AR191,""Profession""),""X"","""")"),"X")</f>
        <v>X</v>
      </c>
      <c r="AE191" s="734" t="str">
        <f t="shared" si="11"/>
        <v>X</v>
      </c>
      <c r="AF191" s="734" t="str">
        <f>IFERROR(__xludf.DUMMYFUNCTION("if(REGEXMATCH(AR191,$AF$168),""X"","""")"),"")</f>
        <v/>
      </c>
      <c r="AG191" s="734" t="str">
        <f>IFERROR(__xludf.DUMMYFUNCTION("if(REGEXMATCH(AR191,$AG$168),""X"","""")"),"X")</f>
        <v>X</v>
      </c>
      <c r="AH191" s="734" t="str">
        <f>IFERROR(__xludf.DUMMYFUNCTION("if(REGEXMATCH(AR191,$AH$168),""X"","""")"),"")</f>
        <v/>
      </c>
      <c r="AI191" s="734" t="str">
        <f>IFERROR(__xludf.DUMMYFUNCTION("if(REGEXMATCH(AR191,$AI$168),""X"","""")"),"X")</f>
        <v>X</v>
      </c>
      <c r="AJ191" s="739" t="str">
        <f>IFERROR(__xludf.DUMMYFUNCTION("if(REGEXMATCH(AR191,$AJ$168),""X"","""")"),"X")</f>
        <v>X</v>
      </c>
      <c r="AK191" s="734" t="str">
        <f>IFERROR(__xludf.DUMMYFUNCTION("if(REGEXMATCH(AR191,$AK$168),""X"","""")"),"")</f>
        <v/>
      </c>
      <c r="AL191" s="734" t="str">
        <f>IFERROR(__xludf.DUMMYFUNCTION("if(REGEXMATCH(AR191,$AL$168),""X"","""")"),"X")</f>
        <v>X</v>
      </c>
      <c r="AM191" s="734" t="str">
        <f>IFERROR(__xludf.DUMMYFUNCTION("if(REGEXMATCH(AR191,$AM$168),""X"","""")"),"X")</f>
        <v>X</v>
      </c>
      <c r="AN191" s="734"/>
      <c r="AO191" s="734"/>
      <c r="AP191" s="734" t="str">
        <f>IFERROR(__xludf.DUMMYFUNCTION("if(REGEXMATCH(AR191,""Craft""),""X"","""")"),"X")</f>
        <v>X</v>
      </c>
      <c r="AQ191" s="734" t="str">
        <f>IFERROR(__xludf.DUMMYFUNCTION("if(REGEXMATCH(AR191,""Knowledge""),""X"","""")"),"X")</f>
        <v>X</v>
      </c>
      <c r="AR191" s="740" t="s">
        <v>893</v>
      </c>
      <c r="AS191" s="233"/>
      <c r="AT191" s="233"/>
      <c r="AU191" s="233"/>
      <c r="AV191" s="233"/>
      <c r="AW191" s="233"/>
      <c r="AX191" s="233"/>
      <c r="AY191" s="233"/>
      <c r="AZ191" s="233"/>
      <c r="BA191" s="233"/>
      <c r="BB191" s="233"/>
      <c r="BC191" s="233"/>
      <c r="BD191" s="233"/>
      <c r="BE191" s="233"/>
      <c r="BF191" s="241"/>
      <c r="BG191" s="241"/>
      <c r="BH191" s="241"/>
      <c r="BI191" s="241"/>
      <c r="BJ191" s="241"/>
      <c r="BK191" s="241"/>
      <c r="BL191" s="241"/>
    </row>
    <row r="192">
      <c r="A192" s="385" t="s">
        <v>494</v>
      </c>
      <c r="B192" s="734" t="str">
        <f>IFERROR(__xludf.DUMMYFUNCTION("if(REGEXMATCH(AR192,$B$168),""X"","""")"),"")</f>
        <v/>
      </c>
      <c r="C192" s="734" t="str">
        <f>IFERROR(__xludf.DUMMYFUNCTION("if(REGEXMATCH(AR192,$C$168),""X"","""")"),"")</f>
        <v/>
      </c>
      <c r="D192" s="734" t="str">
        <f>IFERROR(__xludf.DUMMYFUNCTION("if(REGEXMATCH(AR192,$D$168),""X"","""")"),"")</f>
        <v/>
      </c>
      <c r="E192" s="734" t="str">
        <f>IFERROR(__xludf.DUMMYFUNCTION("if(REGEXMATCH(AR192,$E$168),""X"","""")"),"X")</f>
        <v>X</v>
      </c>
      <c r="F192" s="734" t="str">
        <f>IFERROR(__xludf.DUMMYFUNCTION("if(REGEXMATCH(AR192,$F$168),""X"","""")"),"X")</f>
        <v>X</v>
      </c>
      <c r="G192" s="734" t="str">
        <f t="shared" si="9"/>
        <v>X</v>
      </c>
      <c r="H192" s="734" t="str">
        <f>IFERROR(__xludf.DUMMYFUNCTION("if(REGEXMATCH(AR192,$H$168),""X"","""")"),"X")</f>
        <v>X</v>
      </c>
      <c r="I192" s="734" t="str">
        <f>IFERROR(__xludf.DUMMYFUNCTION("if(REGEXMATCH(AR192,$I$168),""X"","""")"),"")</f>
        <v/>
      </c>
      <c r="J192" s="734" t="str">
        <f>IFERROR(__xludf.DUMMYFUNCTION("if(REGEXMATCH(AR192,$J$168),""X"","""")"),"")</f>
        <v/>
      </c>
      <c r="K192" s="734" t="str">
        <f>IFERROR(__xludf.DUMMYFUNCTION("if(REGEXMATCH(AR192,$K$168),""X"","""")"),"")</f>
        <v/>
      </c>
      <c r="L192" s="734" t="str">
        <f>IFERROR(__xludf.DUMMYFUNCTION("if(REGEXMATCH(AR192,$L$168),""X"","""")"),"")</f>
        <v/>
      </c>
      <c r="M192" s="734" t="str">
        <f>IFERROR(__xludf.DUMMYFUNCTION("if(REGEXMATCH(AR192,$M$168),""X"","""")"),"X")</f>
        <v>X</v>
      </c>
      <c r="N192" s="734" t="str">
        <f>IFERROR(__xludf.DUMMYFUNCTION("if(REGEXMATCH(AR192,$N$168),""X"","""")"),"X")</f>
        <v>X</v>
      </c>
      <c r="O192" s="734" t="str">
        <f>IFERROR(__xludf.DUMMYFUNCTION("if(REGEXMATCH(AR192,$O$168),""X"","""")"),"X")</f>
        <v>X</v>
      </c>
      <c r="P192" s="734" t="str">
        <f>IFERROR(__xludf.DUMMYFUNCTION("if(REGEXMATCH(AR192,""(all)""),""X"",if(REGEXMATCH(AR192,""arcana""),""X"",""""))"),"X")</f>
        <v>X</v>
      </c>
      <c r="Q192" s="734" t="str">
        <f>IFERROR(__xludf.DUMMYFUNCTION("if(REGEXMATCH(AR192,""(all)""),""X"",if(REGEXMATCH(AR192,""dungeoneering""),""X"",""""))"),"")</f>
        <v/>
      </c>
      <c r="R192" s="734" t="str">
        <f>IFERROR(__xludf.DUMMYFUNCTION("if(REGEXMATCH(AR192,""(all)""),""X"",if(REGEXMATCH(AR192,""engineering""),""X"",""""))"),"")</f>
        <v/>
      </c>
      <c r="S192" s="734" t="str">
        <f>IFERROR(__xludf.DUMMYFUNCTION("if(REGEXMATCH(AR192,""(all)""),""X"",if(REGEXMATCH(AR192,""geography""),""X"",""""))"),"")</f>
        <v/>
      </c>
      <c r="T192" s="734" t="str">
        <f>IFERROR(__xludf.DUMMYFUNCTION("if(REGEXMATCH(AR192,""(all)""),""X"",if(REGEXMATCH(AR192,""history""),""X"",""""))"),"X")</f>
        <v>X</v>
      </c>
      <c r="U192" s="734" t="str">
        <f>IFERROR(__xludf.DUMMYFUNCTION("if(REGEXMATCH(AR192,""(all)""),""X"",if(REGEXMATCH(AR192,""local""),""X"",""""))"),"X")</f>
        <v>X</v>
      </c>
      <c r="V192" s="734" t="str">
        <f>IFERROR(__xludf.DUMMYFUNCTION("if(REGEXMATCH(AR192,""(all)""),""X"",if(REGEXMATCH(AR192,""nature""),""X"",""""))"),"")</f>
        <v/>
      </c>
      <c r="W192" s="734" t="str">
        <f>IFERROR(__xludf.DUMMYFUNCTION("if(REGEXMATCH(AR192,""(all)""),""X"",if(REGEXMATCH(AR192,""nobility""),""X"",""""))"),"X")</f>
        <v>X</v>
      </c>
      <c r="X192" s="734" t="str">
        <f>IFERROR(__xludf.DUMMYFUNCTION("if(REGEXMATCH(AR192,""(all)""),""X"",if(REGEXMATCH(AR192,""planes""),""X"",""""))"),"")</f>
        <v/>
      </c>
      <c r="Y192" s="734" t="str">
        <f>IFERROR(__xludf.DUMMYFUNCTION("if(REGEXMATCH(AR192,""(all)""),""X"",if(REGEXMATCH(AR192,""religion""),""X"",""""))"),"")</f>
        <v/>
      </c>
      <c r="Z192" s="734" t="str">
        <f>IFERROR(__xludf.DUMMYFUNCTION("if(REGEXMATCH(AR192,$Z$168),""X"","""")"),"")</f>
        <v/>
      </c>
      <c r="AA192" s="734" t="str">
        <f>IFERROR(__xludf.DUMMYFUNCTION("if(REGEXMATCH(AR192,$AA$168),""X"","""")"),"X")</f>
        <v>X</v>
      </c>
      <c r="AB192" s="734" t="str">
        <f>IFERROR(__xludf.DUMMYFUNCTION("if(REGEXMATCH(AR192,""Perform""),""X"","""")"),"")</f>
        <v/>
      </c>
      <c r="AC192" s="734" t="str">
        <f t="shared" si="10"/>
        <v/>
      </c>
      <c r="AD192" s="734" t="str">
        <f>IFERROR(__xludf.DUMMYFUNCTION("if(REGEXMATCH(AR192,""Profession""),""X"","""")"),"X")</f>
        <v>X</v>
      </c>
      <c r="AE192" s="734" t="str">
        <f t="shared" si="11"/>
        <v>X</v>
      </c>
      <c r="AF192" s="734" t="str">
        <f>IFERROR(__xludf.DUMMYFUNCTION("if(REGEXMATCH(AR192,$AF$168),""X"","""")"),"")</f>
        <v/>
      </c>
      <c r="AG192" s="734" t="str">
        <f>IFERROR(__xludf.DUMMYFUNCTION("if(REGEXMATCH(AR192,$AG$168),""X"","""")"),"X")</f>
        <v>X</v>
      </c>
      <c r="AH192" s="734" t="str">
        <f>IFERROR(__xludf.DUMMYFUNCTION("if(REGEXMATCH(AR192,$AH$168),""X"","""")"),"")</f>
        <v/>
      </c>
      <c r="AI192" s="734" t="str">
        <f>IFERROR(__xludf.DUMMYFUNCTION("if(REGEXMATCH(AR192,$AI$168),""X"","""")"),"X")</f>
        <v>X</v>
      </c>
      <c r="AJ192" s="739" t="str">
        <f>IFERROR(__xludf.DUMMYFUNCTION("if(REGEXMATCH(AR192,$AJ$168),""X"","""")"),"")</f>
        <v/>
      </c>
      <c r="AK192" s="734" t="str">
        <f>IFERROR(__xludf.DUMMYFUNCTION("if(REGEXMATCH(AR192,$AK$168),""X"","""")"),"")</f>
        <v/>
      </c>
      <c r="AL192" s="734" t="str">
        <f>IFERROR(__xludf.DUMMYFUNCTION("if(REGEXMATCH(AR192,$AL$168),""X"","""")"),"X")</f>
        <v>X</v>
      </c>
      <c r="AM192" s="734" t="str">
        <f>IFERROR(__xludf.DUMMYFUNCTION("if(REGEXMATCH(AR192,$AM$168),""X"","""")"),"")</f>
        <v/>
      </c>
      <c r="AN192" s="734"/>
      <c r="AO192" s="734"/>
      <c r="AP192" s="734" t="str">
        <f>IFERROR(__xludf.DUMMYFUNCTION("if(REGEXMATCH(AR192,""Craft""),""X"","""")"),"X")</f>
        <v>X</v>
      </c>
      <c r="AQ192" s="734" t="str">
        <f>IFERROR(__xludf.DUMMYFUNCTION("if(REGEXMATCH(AR192,""Knowledge""),""X"","""")"),"X")</f>
        <v>X</v>
      </c>
      <c r="AR192" s="740" t="s">
        <v>896</v>
      </c>
      <c r="AS192" s="233"/>
      <c r="AT192" s="233"/>
      <c r="AU192" s="233"/>
      <c r="AV192" s="233"/>
      <c r="AW192" s="233"/>
      <c r="AX192" s="233"/>
      <c r="AY192" s="233"/>
      <c r="AZ192" s="233"/>
      <c r="BA192" s="233"/>
      <c r="BB192" s="233"/>
      <c r="BC192" s="233"/>
      <c r="BD192" s="233"/>
      <c r="BE192" s="233"/>
      <c r="BF192" s="241"/>
      <c r="BG192" s="241"/>
      <c r="BH192" s="241"/>
      <c r="BI192" s="241"/>
      <c r="BJ192" s="241"/>
      <c r="BK192" s="241"/>
      <c r="BL192" s="241"/>
    </row>
    <row r="193">
      <c r="A193" s="385" t="s">
        <v>495</v>
      </c>
      <c r="B193" s="734" t="str">
        <f>IFERROR(__xludf.DUMMYFUNCTION("if(REGEXMATCH(AR193,$B$168),""X"","""")"),"X")</f>
        <v>X</v>
      </c>
      <c r="C193" s="734" t="str">
        <f>IFERROR(__xludf.DUMMYFUNCTION("if(REGEXMATCH(AR193,$C$168),""X"","""")"),"")</f>
        <v/>
      </c>
      <c r="D193" s="734" t="str">
        <f>IFERROR(__xludf.DUMMYFUNCTION("if(REGEXMATCH(AR193,$D$168),""X"","""")"),"X")</f>
        <v>X</v>
      </c>
      <c r="E193" s="734" t="str">
        <f>IFERROR(__xludf.DUMMYFUNCTION("if(REGEXMATCH(AR193,$E$168),""X"","""")"),"X")</f>
        <v>X</v>
      </c>
      <c r="F193" s="734" t="str">
        <f>IFERROR(__xludf.DUMMYFUNCTION("if(REGEXMATCH(AR193,$F$168),""X"","""")"),"X")</f>
        <v>X</v>
      </c>
      <c r="G193" s="734" t="str">
        <f t="shared" si="9"/>
        <v>X</v>
      </c>
      <c r="H193" s="734" t="str">
        <f>IFERROR(__xludf.DUMMYFUNCTION("if(REGEXMATCH(AR193,$H$168),""X"","""")"),"X")</f>
        <v>X</v>
      </c>
      <c r="I193" s="734" t="str">
        <f>IFERROR(__xludf.DUMMYFUNCTION("if(REGEXMATCH(AR193,$I$168),""X"","""")"),"")</f>
        <v/>
      </c>
      <c r="J193" s="734" t="str">
        <f>IFERROR(__xludf.DUMMYFUNCTION("if(REGEXMATCH(AR193,$J$168),""X"","""")"),"")</f>
        <v/>
      </c>
      <c r="K193" s="734" t="str">
        <f>IFERROR(__xludf.DUMMYFUNCTION("if(REGEXMATCH(AR193,$K$168),""X"","""")"),"")</f>
        <v/>
      </c>
      <c r="L193" s="734" t="str">
        <f>IFERROR(__xludf.DUMMYFUNCTION("if(REGEXMATCH(AR193,$L$168),""X"","""")"),"")</f>
        <v/>
      </c>
      <c r="M193" s="734" t="str">
        <f>IFERROR(__xludf.DUMMYFUNCTION("if(REGEXMATCH(AR193,$M$168),""X"","""")"),"")</f>
        <v/>
      </c>
      <c r="N193" s="734" t="str">
        <f>IFERROR(__xludf.DUMMYFUNCTION("if(REGEXMATCH(AR193,$N$168),""X"","""")"),"")</f>
        <v/>
      </c>
      <c r="O193" s="734" t="str">
        <f>IFERROR(__xludf.DUMMYFUNCTION("if(REGEXMATCH(AR193,$O$168),""X"","""")"),"X")</f>
        <v>X</v>
      </c>
      <c r="P193" s="734" t="str">
        <f>IFERROR(__xludf.DUMMYFUNCTION("if(REGEXMATCH(AR193,""(all)""),""X"",if(REGEXMATCH(AR193,""arcana""),""X"",""""))"),"")</f>
        <v/>
      </c>
      <c r="Q193" s="734" t="str">
        <f>IFERROR(__xludf.DUMMYFUNCTION("if(REGEXMATCH(AR193,""(all)""),""X"",if(REGEXMATCH(AR193,""dungeoneering""),""X"",""""))"),"")</f>
        <v/>
      </c>
      <c r="R193" s="734" t="str">
        <f>IFERROR(__xludf.DUMMYFUNCTION("if(REGEXMATCH(AR193,""(all)""),""X"",if(REGEXMATCH(AR193,""engineering""),""X"",""""))"),"")</f>
        <v/>
      </c>
      <c r="S193" s="734" t="str">
        <f>IFERROR(__xludf.DUMMYFUNCTION("if(REGEXMATCH(AR193,""(all)""),""X"",if(REGEXMATCH(AR193,""geography""),""X"",""""))"),"")</f>
        <v/>
      </c>
      <c r="T193" s="734" t="str">
        <f>IFERROR(__xludf.DUMMYFUNCTION("if(REGEXMATCH(AR193,""(all)""),""X"",if(REGEXMATCH(AR193,""history""),""X"",""""))"),"")</f>
        <v/>
      </c>
      <c r="U193" s="734" t="str">
        <f>IFERROR(__xludf.DUMMYFUNCTION("if(REGEXMATCH(AR193,""(all)""),""X"",if(REGEXMATCH(AR193,""local""),""X"",""""))"),"X")</f>
        <v>X</v>
      </c>
      <c r="V193" s="734" t="str">
        <f>IFERROR(__xludf.DUMMYFUNCTION("if(REGEXMATCH(AR193,""(all)""),""X"",if(REGEXMATCH(AR193,""nature""),""X"",""""))"),"")</f>
        <v/>
      </c>
      <c r="W193" s="734" t="str">
        <f>IFERROR(__xludf.DUMMYFUNCTION("if(REGEXMATCH(AR193,""(all)""),""X"",if(REGEXMATCH(AR193,""nobility""),""X"",""""))"),"")</f>
        <v/>
      </c>
      <c r="X193" s="734" t="str">
        <f>IFERROR(__xludf.DUMMYFUNCTION("if(REGEXMATCH(AR193,""(all)""),""X"",if(REGEXMATCH(AR193,""planes""),""X"",""""))"),"")</f>
        <v/>
      </c>
      <c r="Y193" s="734" t="str">
        <f>IFERROR(__xludf.DUMMYFUNCTION("if(REGEXMATCH(AR193,""(all)""),""X"",if(REGEXMATCH(AR193,""religion""),""X"",""""))"),"")</f>
        <v/>
      </c>
      <c r="Z193" s="734" t="str">
        <f>IFERROR(__xludf.DUMMYFUNCTION("if(REGEXMATCH(AR193,$Z$168),""X"","""")"),"")</f>
        <v/>
      </c>
      <c r="AA193" s="734" t="str">
        <f>IFERROR(__xludf.DUMMYFUNCTION("if(REGEXMATCH(AR193,$AA$168),""X"","""")"),"X")</f>
        <v>X</v>
      </c>
      <c r="AB193" s="734" t="str">
        <f>IFERROR(__xludf.DUMMYFUNCTION("if(REGEXMATCH(AR193,""Perform""),""X"","""")"),"X")</f>
        <v>X</v>
      </c>
      <c r="AC193" s="734" t="str">
        <f t="shared" si="10"/>
        <v>X</v>
      </c>
      <c r="AD193" s="734" t="str">
        <f>IFERROR(__xludf.DUMMYFUNCTION("if(REGEXMATCH(AR193,""Profession""),""X"","""")"),"X")</f>
        <v>X</v>
      </c>
      <c r="AE193" s="734" t="str">
        <f t="shared" si="11"/>
        <v>X</v>
      </c>
      <c r="AF193" s="734" t="str">
        <f>IFERROR(__xludf.DUMMYFUNCTION("if(REGEXMATCH(AR193,$AF$168),""X"","""")"),"")</f>
        <v/>
      </c>
      <c r="AG193" s="734" t="str">
        <f>IFERROR(__xludf.DUMMYFUNCTION("if(REGEXMATCH(AR193,$AG$168),""X"","""")"),"X")</f>
        <v>X</v>
      </c>
      <c r="AH193" s="734" t="str">
        <f>IFERROR(__xludf.DUMMYFUNCTION("if(REGEXMATCH(AR193,$AH$168),""X"","""")"),"")</f>
        <v/>
      </c>
      <c r="AI193" s="734" t="str">
        <f>IFERROR(__xludf.DUMMYFUNCTION("if(REGEXMATCH(AR193,$AI$168),""X"","""")"),"X")</f>
        <v>X</v>
      </c>
      <c r="AJ193" s="739" t="str">
        <f>IFERROR(__xludf.DUMMYFUNCTION("if(REGEXMATCH(AR193,$AJ$168),""X"","""")"),"")</f>
        <v/>
      </c>
      <c r="AK193" s="734" t="str">
        <f>IFERROR(__xludf.DUMMYFUNCTION("if(REGEXMATCH(AR193,$AK$168),""X"","""")"),"")</f>
        <v/>
      </c>
      <c r="AL193" s="734" t="str">
        <f>IFERROR(__xludf.DUMMYFUNCTION("if(REGEXMATCH(AR193,$AL$168),""X"","""")"),"")</f>
        <v/>
      </c>
      <c r="AM193" s="734" t="str">
        <f>IFERROR(__xludf.DUMMYFUNCTION("if(REGEXMATCH(AR193,$AM$168),""X"","""")"),"X")</f>
        <v>X</v>
      </c>
      <c r="AN193" s="734"/>
      <c r="AO193" s="734"/>
      <c r="AP193" s="734" t="str">
        <f>IFERROR(__xludf.DUMMYFUNCTION("if(REGEXMATCH(AR193,""Craft""),""X"","""")"),"X")</f>
        <v>X</v>
      </c>
      <c r="AQ193" s="734" t="str">
        <f>IFERROR(__xludf.DUMMYFUNCTION("if(REGEXMATCH(AR193,""Knowledge""),""X"","""")"),"X")</f>
        <v>X</v>
      </c>
      <c r="AR193" s="740" t="s">
        <v>900</v>
      </c>
      <c r="AS193" s="233"/>
      <c r="AT193" s="233"/>
      <c r="AU193" s="233"/>
      <c r="AV193" s="233"/>
      <c r="AW193" s="233"/>
      <c r="AX193" s="233"/>
      <c r="AY193" s="233"/>
      <c r="AZ193" s="233"/>
      <c r="BA193" s="233"/>
      <c r="BB193" s="233"/>
      <c r="BC193" s="233"/>
      <c r="BD193" s="233"/>
      <c r="BE193" s="233"/>
      <c r="BF193" s="241"/>
      <c r="BG193" s="241"/>
      <c r="BH193" s="241"/>
      <c r="BI193" s="241"/>
      <c r="BJ193" s="241"/>
      <c r="BK193" s="241"/>
      <c r="BL193" s="241"/>
    </row>
    <row r="194">
      <c r="A194" s="385" t="s">
        <v>496</v>
      </c>
      <c r="B194" s="734" t="str">
        <f>IFERROR(__xludf.DUMMYFUNCTION("if(REGEXMATCH(AR194,$B$168),""X"","""")"),"X")</f>
        <v>X</v>
      </c>
      <c r="C194" s="734" t="str">
        <f>IFERROR(__xludf.DUMMYFUNCTION("if(REGEXMATCH(AR194,$C$168),""X"","""")"),"X")</f>
        <v>X</v>
      </c>
      <c r="D194" s="734" t="str">
        <f>IFERROR(__xludf.DUMMYFUNCTION("if(REGEXMATCH(AR194,$D$168),""X"","""")"),"X")</f>
        <v>X</v>
      </c>
      <c r="E194" s="734" t="str">
        <f>IFERROR(__xludf.DUMMYFUNCTION("if(REGEXMATCH(AR194,$E$168),""X"","""")"),"X")</f>
        <v>X</v>
      </c>
      <c r="F194" s="734" t="str">
        <f>IFERROR(__xludf.DUMMYFUNCTION("if(REGEXMATCH(AR194,$F$168),""X"","""")"),"X")</f>
        <v>X</v>
      </c>
      <c r="G194" s="734" t="str">
        <f t="shared" si="9"/>
        <v>X</v>
      </c>
      <c r="H194" s="734" t="str">
        <f>IFERROR(__xludf.DUMMYFUNCTION("if(REGEXMATCH(AR194,$H$168),""X"","""")"),"X")</f>
        <v>X</v>
      </c>
      <c r="I194" s="734" t="str">
        <f>IFERROR(__xludf.DUMMYFUNCTION("if(REGEXMATCH(AR194,$I$168),""X"","""")"),"X")</f>
        <v>X</v>
      </c>
      <c r="J194" s="734" t="str">
        <f>IFERROR(__xludf.DUMMYFUNCTION("if(REGEXMATCH(AR194,$J$168),""X"","""")"),"X")</f>
        <v>X</v>
      </c>
      <c r="K194" s="734" t="str">
        <f>IFERROR(__xludf.DUMMYFUNCTION("if(REGEXMATCH(AR194,$K$168),""X"","""")"),"X")</f>
        <v>X</v>
      </c>
      <c r="L194" s="734" t="str">
        <f>IFERROR(__xludf.DUMMYFUNCTION("if(REGEXMATCH(AR194,$L$168),""X"","""")"),"")</f>
        <v/>
      </c>
      <c r="M194" s="734" t="str">
        <f>IFERROR(__xludf.DUMMYFUNCTION("if(REGEXMATCH(AR194,$M$168),""X"","""")"),"")</f>
        <v/>
      </c>
      <c r="N194" s="734" t="str">
        <f>IFERROR(__xludf.DUMMYFUNCTION("if(REGEXMATCH(AR194,$N$168),""X"","""")"),"")</f>
        <v/>
      </c>
      <c r="O194" s="734" t="str">
        <f>IFERROR(__xludf.DUMMYFUNCTION("if(REGEXMATCH(AR194,$O$168),""X"","""")"),"X")</f>
        <v>X</v>
      </c>
      <c r="P194" s="734" t="str">
        <f>IFERROR(__xludf.DUMMYFUNCTION("if(REGEXMATCH(AR194,""(all)""),""X"",if(REGEXMATCH(AR194,""arcana""),""X"",""""))"),"X")</f>
        <v>X</v>
      </c>
      <c r="Q194" s="734" t="str">
        <f>IFERROR(__xludf.DUMMYFUNCTION("if(REGEXMATCH(AR194,""(all)""),""X"",if(REGEXMATCH(AR194,""dungeoneering""),""X"",""""))"),"")</f>
        <v/>
      </c>
      <c r="R194" s="734" t="str">
        <f>IFERROR(__xludf.DUMMYFUNCTION("if(REGEXMATCH(AR194,""(all)""),""X"",if(REGEXMATCH(AR194,""engineering""),""X"",""""))"),"")</f>
        <v/>
      </c>
      <c r="S194" s="734" t="str">
        <f>IFERROR(__xludf.DUMMYFUNCTION("if(REGEXMATCH(AR194,""(all)""),""X"",if(REGEXMATCH(AR194,""geography""),""X"",""""))"),"")</f>
        <v/>
      </c>
      <c r="T194" s="734" t="str">
        <f>IFERROR(__xludf.DUMMYFUNCTION("if(REGEXMATCH(AR194,""(all)""),""X"",if(REGEXMATCH(AR194,""history""),""X"",""""))"),"")</f>
        <v/>
      </c>
      <c r="U194" s="734" t="str">
        <f>IFERROR(__xludf.DUMMYFUNCTION("if(REGEXMATCH(AR194,""(all)""),""X"",if(REGEXMATCH(AR194,""local""),""X"",""""))"),"X")</f>
        <v>X</v>
      </c>
      <c r="V194" s="734" t="str">
        <f>IFERROR(__xludf.DUMMYFUNCTION("if(REGEXMATCH(AR194,""(all)""),""X"",if(REGEXMATCH(AR194,""nature""),""X"",""""))"),"")</f>
        <v/>
      </c>
      <c r="W194" s="734" t="str">
        <f>IFERROR(__xludf.DUMMYFUNCTION("if(REGEXMATCH(AR194,""(all)""),""X"",if(REGEXMATCH(AR194,""nobility""),""X"",""""))"),"X")</f>
        <v>X</v>
      </c>
      <c r="X194" s="734" t="str">
        <f>IFERROR(__xludf.DUMMYFUNCTION("if(REGEXMATCH(AR194,""(all)""),""X"",if(REGEXMATCH(AR194,""planes""),""X"",""""))"),"")</f>
        <v/>
      </c>
      <c r="Y194" s="734" t="str">
        <f>IFERROR(__xludf.DUMMYFUNCTION("if(REGEXMATCH(AR194,""(all)""),""X"",if(REGEXMATCH(AR194,""religion""),""X"",""""))"),"")</f>
        <v/>
      </c>
      <c r="Z194" s="734" t="str">
        <f>IFERROR(__xludf.DUMMYFUNCTION("if(REGEXMATCH(AR194,$Z$168),""X"","""")"),"X")</f>
        <v>X</v>
      </c>
      <c r="AA194" s="734" t="str">
        <f>IFERROR(__xludf.DUMMYFUNCTION("if(REGEXMATCH(AR194,$AA$168),""X"","""")"),"X")</f>
        <v>X</v>
      </c>
      <c r="AB194" s="734" t="str">
        <f>IFERROR(__xludf.DUMMYFUNCTION("if(REGEXMATCH(AR194,""Perform""),""X"","""")"),"X")</f>
        <v>X</v>
      </c>
      <c r="AC194" s="734" t="str">
        <f t="shared" si="10"/>
        <v>X</v>
      </c>
      <c r="AD194" s="734" t="str">
        <f>IFERROR(__xludf.DUMMYFUNCTION("if(REGEXMATCH(AR194,""Profession""),""X"","""")"),"X")</f>
        <v>X</v>
      </c>
      <c r="AE194" s="734" t="str">
        <f t="shared" si="11"/>
        <v>X</v>
      </c>
      <c r="AF194" s="734" t="str">
        <f>IFERROR(__xludf.DUMMYFUNCTION("if(REGEXMATCH(AR194,$AF$168),""X"","""")"),"")</f>
        <v/>
      </c>
      <c r="AG194" s="734" t="str">
        <f>IFERROR(__xludf.DUMMYFUNCTION("if(REGEXMATCH(AR194,$AG$168),""X"","""")"),"X")</f>
        <v>X</v>
      </c>
      <c r="AH194" s="734" t="str">
        <f>IFERROR(__xludf.DUMMYFUNCTION("if(REGEXMATCH(AR194,$AH$168),""X"","""")"),"X")</f>
        <v>X</v>
      </c>
      <c r="AI194" s="734" t="str">
        <f>IFERROR(__xludf.DUMMYFUNCTION("if(REGEXMATCH(AR194,$AI$168),""X"","""")"),"X")</f>
        <v>X</v>
      </c>
      <c r="AJ194" s="739" t="str">
        <f>IFERROR(__xludf.DUMMYFUNCTION("if(REGEXMATCH(AR194,$AJ$168),""X"","""")"),"X")</f>
        <v>X</v>
      </c>
      <c r="AK194" s="734" t="str">
        <f>IFERROR(__xludf.DUMMYFUNCTION("if(REGEXMATCH(AR194,$AK$168),""X"","""")"),"")</f>
        <v/>
      </c>
      <c r="AL194" s="734" t="str">
        <f>IFERROR(__xludf.DUMMYFUNCTION("if(REGEXMATCH(AR194,$AL$168),""X"","""")"),"X")</f>
        <v>X</v>
      </c>
      <c r="AM194" s="734" t="str">
        <f>IFERROR(__xludf.DUMMYFUNCTION("if(REGEXMATCH(AR194,$AM$168),""X"","""")"),"X")</f>
        <v>X</v>
      </c>
      <c r="AN194" s="734"/>
      <c r="AO194" s="734"/>
      <c r="AP194" s="734" t="str">
        <f>IFERROR(__xludf.DUMMYFUNCTION("if(REGEXMATCH(AR194,""Craft""),""X"","""")"),"X")</f>
        <v>X</v>
      </c>
      <c r="AQ194" s="734" t="str">
        <f>IFERROR(__xludf.DUMMYFUNCTION("if(REGEXMATCH(AR194,""Knowledge""),""X"","""")"),"X")</f>
        <v>X</v>
      </c>
      <c r="AR194" s="740" t="s">
        <v>904</v>
      </c>
      <c r="AS194" s="233"/>
      <c r="AT194" s="233"/>
      <c r="AU194" s="233"/>
      <c r="AV194" s="233"/>
      <c r="AW194" s="233"/>
      <c r="AX194" s="233"/>
      <c r="AY194" s="233"/>
      <c r="AZ194" s="233"/>
      <c r="BA194" s="233"/>
      <c r="BB194" s="233"/>
      <c r="BC194" s="233"/>
      <c r="BD194" s="233"/>
      <c r="BE194" s="233"/>
      <c r="BF194" s="241"/>
      <c r="BG194" s="241"/>
      <c r="BH194" s="241"/>
      <c r="BI194" s="241"/>
      <c r="BJ194" s="241"/>
      <c r="BK194" s="241"/>
      <c r="BL194" s="241"/>
    </row>
    <row r="195">
      <c r="A195" s="385" t="s">
        <v>497</v>
      </c>
      <c r="B195" s="734" t="str">
        <f>IFERROR(__xludf.DUMMYFUNCTION("if(REGEXMATCH(AR195,$B$168),""X"","""")"),"X")</f>
        <v>X</v>
      </c>
      <c r="C195" s="734" t="str">
        <f>IFERROR(__xludf.DUMMYFUNCTION("if(REGEXMATCH(AR195,$C$168),""X"","""")"),"")</f>
        <v/>
      </c>
      <c r="D195" s="734" t="str">
        <f>IFERROR(__xludf.DUMMYFUNCTION("if(REGEXMATCH(AR195,$D$168),""X"","""")"),"X")</f>
        <v>X</v>
      </c>
      <c r="E195" s="734" t="str">
        <f>IFERROR(__xludf.DUMMYFUNCTION("if(REGEXMATCH(AR195,$E$168),""X"","""")"),"X")</f>
        <v>X</v>
      </c>
      <c r="F195" s="734" t="str">
        <f>IFERROR(__xludf.DUMMYFUNCTION("if(REGEXMATCH(AR195,$F$168),""X"","""")"),"X")</f>
        <v>X</v>
      </c>
      <c r="G195" s="734" t="str">
        <f t="shared" si="9"/>
        <v>X</v>
      </c>
      <c r="H195" s="734" t="str">
        <f>IFERROR(__xludf.DUMMYFUNCTION("if(REGEXMATCH(AR195,$H$168),""X"","""")"),"X")</f>
        <v>X</v>
      </c>
      <c r="I195" s="734" t="str">
        <f>IFERROR(__xludf.DUMMYFUNCTION("if(REGEXMATCH(AR195,$I$168),""X"","""")"),"")</f>
        <v/>
      </c>
      <c r="J195" s="734" t="str">
        <f>IFERROR(__xludf.DUMMYFUNCTION("if(REGEXMATCH(AR195,$J$168),""X"","""")"),"")</f>
        <v/>
      </c>
      <c r="K195" s="734" t="str">
        <f>IFERROR(__xludf.DUMMYFUNCTION("if(REGEXMATCH(AR195,$K$168),""X"","""")"),"")</f>
        <v/>
      </c>
      <c r="L195" s="734" t="str">
        <f>IFERROR(__xludf.DUMMYFUNCTION("if(REGEXMATCH(AR195,$L$168),""X"","""")"),"")</f>
        <v/>
      </c>
      <c r="M195" s="734" t="str">
        <f>IFERROR(__xludf.DUMMYFUNCTION("if(REGEXMATCH(AR195,$M$168),""X"","""")"),"")</f>
        <v/>
      </c>
      <c r="N195" s="734" t="str">
        <f>IFERROR(__xludf.DUMMYFUNCTION("if(REGEXMATCH(AR195,$N$168),""X"","""")"),"")</f>
        <v/>
      </c>
      <c r="O195" s="734" t="str">
        <f>IFERROR(__xludf.DUMMYFUNCTION("if(REGEXMATCH(AR195,$O$168),""X"","""")"),"X")</f>
        <v>X</v>
      </c>
      <c r="P195" s="734" t="str">
        <f>IFERROR(__xludf.DUMMYFUNCTION("if(REGEXMATCH(AR195,""(all)""),""X"",if(REGEXMATCH(AR195,""arcana""),""X"",""""))"),"")</f>
        <v/>
      </c>
      <c r="Q195" s="734" t="str">
        <f>IFERROR(__xludf.DUMMYFUNCTION("if(REGEXMATCH(AR195,""(all)""),""X"",if(REGEXMATCH(AR195,""dungeoneering""),""X"",""""))"),"")</f>
        <v/>
      </c>
      <c r="R195" s="734" t="str">
        <f>IFERROR(__xludf.DUMMYFUNCTION("if(REGEXMATCH(AR195,""(all)""),""X"",if(REGEXMATCH(AR195,""engineering""),""X"",""""))"),"")</f>
        <v/>
      </c>
      <c r="S195" s="734" t="str">
        <f>IFERROR(__xludf.DUMMYFUNCTION("if(REGEXMATCH(AR195,""(all)""),""X"",if(REGEXMATCH(AR195,""geography""),""X"",""""))"),"")</f>
        <v/>
      </c>
      <c r="T195" s="734" t="str">
        <f>IFERROR(__xludf.DUMMYFUNCTION("if(REGEXMATCH(AR195,""(all)""),""X"",if(REGEXMATCH(AR195,""history""),""X"",""""))"),"")</f>
        <v/>
      </c>
      <c r="U195" s="734" t="str">
        <f>IFERROR(__xludf.DUMMYFUNCTION("if(REGEXMATCH(AR195,""(all)""),""X"",if(REGEXMATCH(AR195,""local""),""X"",""""))"),"X")</f>
        <v>X</v>
      </c>
      <c r="V195" s="734" t="str">
        <f>IFERROR(__xludf.DUMMYFUNCTION("if(REGEXMATCH(AR195,""(all)""),""X"",if(REGEXMATCH(AR195,""nature""),""X"",""""))"),"")</f>
        <v/>
      </c>
      <c r="W195" s="734" t="str">
        <f>IFERROR(__xludf.DUMMYFUNCTION("if(REGEXMATCH(AR195,""(all)""),""X"",if(REGEXMATCH(AR195,""nobility""),""X"",""""))"),"")</f>
        <v/>
      </c>
      <c r="X195" s="734" t="str">
        <f>IFERROR(__xludf.DUMMYFUNCTION("if(REGEXMATCH(AR195,""(all)""),""X"",if(REGEXMATCH(AR195,""planes""),""X"",""""))"),"")</f>
        <v/>
      </c>
      <c r="Y195" s="734" t="str">
        <f>IFERROR(__xludf.DUMMYFUNCTION("if(REGEXMATCH(AR195,""(all)""),""X"",if(REGEXMATCH(AR195,""religion""),""X"",""""))"),"")</f>
        <v/>
      </c>
      <c r="Z195" s="734" t="str">
        <f>IFERROR(__xludf.DUMMYFUNCTION("if(REGEXMATCH(AR195,$Z$168),""X"","""")"),"")</f>
        <v/>
      </c>
      <c r="AA195" s="734" t="str">
        <f>IFERROR(__xludf.DUMMYFUNCTION("if(REGEXMATCH(AR195,$AA$168),""X"","""")"),"X")</f>
        <v>X</v>
      </c>
      <c r="AB195" s="734" t="str">
        <f>IFERROR(__xludf.DUMMYFUNCTION("if(REGEXMATCH(AR195,""Perform""),""X"","""")"),"X")</f>
        <v>X</v>
      </c>
      <c r="AC195" s="734" t="str">
        <f t="shared" si="10"/>
        <v>X</v>
      </c>
      <c r="AD195" s="734" t="str">
        <f>IFERROR(__xludf.DUMMYFUNCTION("if(REGEXMATCH(AR195,""Profession""),""X"","""")"),"X")</f>
        <v>X</v>
      </c>
      <c r="AE195" s="734" t="str">
        <f t="shared" si="11"/>
        <v>X</v>
      </c>
      <c r="AF195" s="734" t="str">
        <f>IFERROR(__xludf.DUMMYFUNCTION("if(REGEXMATCH(AR195,$AF$168),""X"","""")"),"")</f>
        <v/>
      </c>
      <c r="AG195" s="734" t="str">
        <f>IFERROR(__xludf.DUMMYFUNCTION("if(REGEXMATCH(AR195,$AG$168),""X"","""")"),"X")</f>
        <v>X</v>
      </c>
      <c r="AH195" s="734" t="str">
        <f>IFERROR(__xludf.DUMMYFUNCTION("if(REGEXMATCH(AR195,$AH$168),""X"","""")"),"")</f>
        <v/>
      </c>
      <c r="AI195" s="734" t="str">
        <f>IFERROR(__xludf.DUMMYFUNCTION("if(REGEXMATCH(AR195,$AI$168),""X"","""")"),"X")</f>
        <v>X</v>
      </c>
      <c r="AJ195" s="739" t="str">
        <f>IFERROR(__xludf.DUMMYFUNCTION("if(REGEXMATCH(AR195,$AJ$168),""X"","""")"),"")</f>
        <v/>
      </c>
      <c r="AK195" s="734" t="str">
        <f>IFERROR(__xludf.DUMMYFUNCTION("if(REGEXMATCH(AR195,$AK$168),""X"","""")"),"")</f>
        <v/>
      </c>
      <c r="AL195" s="734" t="str">
        <f>IFERROR(__xludf.DUMMYFUNCTION("if(REGEXMATCH(AR195,$AL$168),""X"","""")"),"")</f>
        <v/>
      </c>
      <c r="AM195" s="734" t="str">
        <f>IFERROR(__xludf.DUMMYFUNCTION("if(REGEXMATCH(AR195,$AM$168),""X"","""")"),"X")</f>
        <v>X</v>
      </c>
      <c r="AN195" s="734"/>
      <c r="AO195" s="734"/>
      <c r="AP195" s="734" t="str">
        <f>IFERROR(__xludf.DUMMYFUNCTION("if(REGEXMATCH(AR195,""Craft""),""X"","""")"),"X")</f>
        <v>X</v>
      </c>
      <c r="AQ195" s="734" t="str">
        <f>IFERROR(__xludf.DUMMYFUNCTION("if(REGEXMATCH(AR195,""Knowledge""),""X"","""")"),"X")</f>
        <v>X</v>
      </c>
      <c r="AR195" s="740" t="s">
        <v>900</v>
      </c>
      <c r="AS195" s="233"/>
      <c r="AT195" s="233"/>
      <c r="AU195" s="233"/>
      <c r="AV195" s="233"/>
      <c r="AW195" s="233"/>
      <c r="AX195" s="233"/>
      <c r="AY195" s="233"/>
      <c r="AZ195" s="233"/>
      <c r="BA195" s="233"/>
      <c r="BB195" s="233"/>
      <c r="BC195" s="233"/>
      <c r="BD195" s="233"/>
      <c r="BE195" s="233"/>
      <c r="BF195" s="241"/>
      <c r="BG195" s="241"/>
      <c r="BH195" s="241"/>
      <c r="BI195" s="241"/>
      <c r="BJ195" s="241"/>
      <c r="BK195" s="241"/>
      <c r="BL195" s="241"/>
    </row>
    <row r="196">
      <c r="A196" s="385" t="s">
        <v>499</v>
      </c>
      <c r="B196" s="734" t="str">
        <f>IFERROR(__xludf.DUMMYFUNCTION("if(REGEXMATCH(AR196,$B$168),""X"","""")"),"X")</f>
        <v>X</v>
      </c>
      <c r="C196" s="734" t="str">
        <f>IFERROR(__xludf.DUMMYFUNCTION("if(REGEXMATCH(AR196,$C$168),""X"","""")"),"")</f>
        <v/>
      </c>
      <c r="D196" s="734" t="str">
        <f>IFERROR(__xludf.DUMMYFUNCTION("if(REGEXMATCH(AR196,$D$168),""X"","""")"),"X")</f>
        <v>X</v>
      </c>
      <c r="E196" s="734" t="str">
        <f>IFERROR(__xludf.DUMMYFUNCTION("if(REGEXMATCH(AR196,$E$168),""X"","""")"),"X")</f>
        <v>X</v>
      </c>
      <c r="F196" s="734" t="str">
        <f>IFERROR(__xludf.DUMMYFUNCTION("if(REGEXMATCH(AR196,$F$168),""X"","""")"),"X")</f>
        <v>X</v>
      </c>
      <c r="G196" s="734" t="str">
        <f t="shared" si="9"/>
        <v>X</v>
      </c>
      <c r="H196" s="734" t="str">
        <f>IFERROR(__xludf.DUMMYFUNCTION("if(REGEXMATCH(AR196,$H$168),""X"","""")"),"")</f>
        <v/>
      </c>
      <c r="I196" s="734" t="str">
        <f>IFERROR(__xludf.DUMMYFUNCTION("if(REGEXMATCH(AR196,$I$168),""X"","""")"),"")</f>
        <v/>
      </c>
      <c r="J196" s="734" t="str">
        <f>IFERROR(__xludf.DUMMYFUNCTION("if(REGEXMATCH(AR196,$J$168),""X"","""")"),"X")</f>
        <v>X</v>
      </c>
      <c r="K196" s="734" t="str">
        <f>IFERROR(__xludf.DUMMYFUNCTION("if(REGEXMATCH(AR196,$K$168),""X"","""")"),"")</f>
        <v/>
      </c>
      <c r="L196" s="734" t="str">
        <f>IFERROR(__xludf.DUMMYFUNCTION("if(REGEXMATCH(AR196,$L$168),""X"","""")"),"")</f>
        <v/>
      </c>
      <c r="M196" s="734" t="str">
        <f>IFERROR(__xludf.DUMMYFUNCTION("if(REGEXMATCH(AR196,$M$168),""X"","""")"),"")</f>
        <v/>
      </c>
      <c r="N196" s="734" t="str">
        <f>IFERROR(__xludf.DUMMYFUNCTION("if(REGEXMATCH(AR196,$N$168),""X"","""")"),"X")</f>
        <v>X</v>
      </c>
      <c r="O196" s="734" t="str">
        <f>IFERROR(__xludf.DUMMYFUNCTION("if(REGEXMATCH(AR196,$O$168),""X"","""")"),"X")</f>
        <v>X</v>
      </c>
      <c r="P196" s="734" t="str">
        <f>IFERROR(__xludf.DUMMYFUNCTION("if(REGEXMATCH(AR196,""(all)""),""X"",if(REGEXMATCH(AR196,""arcana""),""X"",""""))"),"X")</f>
        <v>X</v>
      </c>
      <c r="Q196" s="734" t="str">
        <f>IFERROR(__xludf.DUMMYFUNCTION("if(REGEXMATCH(AR196,""(all)""),""X"",if(REGEXMATCH(AR196,""dungeoneering""),""X"",""""))"),"X")</f>
        <v>X</v>
      </c>
      <c r="R196" s="734" t="str">
        <f>IFERROR(__xludf.DUMMYFUNCTION("if(REGEXMATCH(AR196,""(all)""),""X"",if(REGEXMATCH(AR196,""engineering""),""X"",""""))"),"")</f>
        <v/>
      </c>
      <c r="S196" s="734" t="str">
        <f>IFERROR(__xludf.DUMMYFUNCTION("if(REGEXMATCH(AR196,""(all)""),""X"",if(REGEXMATCH(AR196,""geography""),""X"",""""))"),"")</f>
        <v/>
      </c>
      <c r="T196" s="734" t="str">
        <f>IFERROR(__xludf.DUMMYFUNCTION("if(REGEXMATCH(AR196,""(all)""),""X"",if(REGEXMATCH(AR196,""history""),""X"",""""))"),"")</f>
        <v/>
      </c>
      <c r="U196" s="734" t="str">
        <f>IFERROR(__xludf.DUMMYFUNCTION("if(REGEXMATCH(AR196,""(all)""),""X"",if(REGEXMATCH(AR196,""local""),""X"",""""))"),"X")</f>
        <v>X</v>
      </c>
      <c r="V196" s="734" t="str">
        <f>IFERROR(__xludf.DUMMYFUNCTION("if(REGEXMATCH(AR196,""(all)""),""X"",if(REGEXMATCH(AR196,""nature""),""X"",""""))"),"X")</f>
        <v>X</v>
      </c>
      <c r="W196" s="734" t="str">
        <f>IFERROR(__xludf.DUMMYFUNCTION("if(REGEXMATCH(AR196,""(all)""),""X"",if(REGEXMATCH(AR196,""nobility""),""X"",""""))"),"")</f>
        <v/>
      </c>
      <c r="X196" s="734" t="str">
        <f>IFERROR(__xludf.DUMMYFUNCTION("if(REGEXMATCH(AR196,""(all)""),""X"",if(REGEXMATCH(AR196,""planes""),""X"",""""))"),"X")</f>
        <v>X</v>
      </c>
      <c r="Y196" s="734" t="str">
        <f>IFERROR(__xludf.DUMMYFUNCTION("if(REGEXMATCH(AR196,""(all)""),""X"",if(REGEXMATCH(AR196,""religion""),""X"",""""))"),"X")</f>
        <v>X</v>
      </c>
      <c r="Z196" s="734" t="str">
        <f>IFERROR(__xludf.DUMMYFUNCTION("if(REGEXMATCH(AR196,$Z$168),""X"","""")"),"X")</f>
        <v>X</v>
      </c>
      <c r="AA196" s="734" t="str">
        <f>IFERROR(__xludf.DUMMYFUNCTION("if(REGEXMATCH(AR196,$AA$168),""X"","""")"),"X")</f>
        <v>X</v>
      </c>
      <c r="AB196" s="734" t="str">
        <f>IFERROR(__xludf.DUMMYFUNCTION("if(REGEXMATCH(AR196,""Perform""),""X"","""")"),"")</f>
        <v/>
      </c>
      <c r="AC196" s="734" t="str">
        <f t="shared" si="10"/>
        <v/>
      </c>
      <c r="AD196" s="734" t="str">
        <f>IFERROR(__xludf.DUMMYFUNCTION("if(REGEXMATCH(AR196,""Profession""),""X"","""")"),"X")</f>
        <v>X</v>
      </c>
      <c r="AE196" s="734" t="str">
        <f t="shared" si="11"/>
        <v>X</v>
      </c>
      <c r="AF196" s="734" t="str">
        <f>IFERROR(__xludf.DUMMYFUNCTION("if(REGEXMATCH(AR196,$AF$168),""X"","""")"),"X")</f>
        <v>X</v>
      </c>
      <c r="AG196" s="734" t="str">
        <f>IFERROR(__xludf.DUMMYFUNCTION("if(REGEXMATCH(AR196,$AG$168),""X"","""")"),"X")</f>
        <v>X</v>
      </c>
      <c r="AH196" s="734" t="str">
        <f>IFERROR(__xludf.DUMMYFUNCTION("if(REGEXMATCH(AR196,$AH$168),""X"","""")"),"")</f>
        <v/>
      </c>
      <c r="AI196" s="734" t="str">
        <f>IFERROR(__xludf.DUMMYFUNCTION("if(REGEXMATCH(AR196,$AI$168),""X"","""")"),"X")</f>
        <v>X</v>
      </c>
      <c r="AJ196" s="739" t="str">
        <f>IFERROR(__xludf.DUMMYFUNCTION("if(REGEXMATCH(AR196,$AJ$168),""X"","""")"),"X")</f>
        <v>X</v>
      </c>
      <c r="AK196" s="734" t="str">
        <f>IFERROR(__xludf.DUMMYFUNCTION("if(REGEXMATCH(AR196,$AK$168),""X"","""")"),"X")</f>
        <v>X</v>
      </c>
      <c r="AL196" s="734" t="str">
        <f>IFERROR(__xludf.DUMMYFUNCTION("if(REGEXMATCH(AR196,$AL$168),""X"","""")"),"")</f>
        <v/>
      </c>
      <c r="AM196" s="734" t="str">
        <f>IFERROR(__xludf.DUMMYFUNCTION("if(REGEXMATCH(AR196,$AM$168),""X"","""")"),"X")</f>
        <v>X</v>
      </c>
      <c r="AN196" s="734"/>
      <c r="AO196" s="734"/>
      <c r="AP196" s="734" t="str">
        <f>IFERROR(__xludf.DUMMYFUNCTION("if(REGEXMATCH(AR196,""Craft""),""X"","""")"),"X")</f>
        <v>X</v>
      </c>
      <c r="AQ196" s="734" t="str">
        <f>IFERROR(__xludf.DUMMYFUNCTION("if(REGEXMATCH(AR196,""Knowledge""),""X"","""")"),"X")</f>
        <v>X</v>
      </c>
      <c r="AR196" s="740" t="s">
        <v>909</v>
      </c>
      <c r="AS196" s="233"/>
      <c r="AT196" s="233"/>
      <c r="AU196" s="233"/>
      <c r="AV196" s="233"/>
      <c r="AW196" s="233"/>
      <c r="AX196" s="233"/>
      <c r="AY196" s="233"/>
      <c r="AZ196" s="233"/>
      <c r="BA196" s="233"/>
      <c r="BB196" s="233"/>
      <c r="BC196" s="233"/>
      <c r="BD196" s="233"/>
      <c r="BE196" s="233"/>
      <c r="BF196" s="241"/>
      <c r="BG196" s="241"/>
      <c r="BH196" s="241"/>
      <c r="BI196" s="241"/>
      <c r="BJ196" s="241"/>
      <c r="BK196" s="241"/>
      <c r="BL196" s="241"/>
    </row>
    <row r="197">
      <c r="A197" s="385" t="s">
        <v>500</v>
      </c>
      <c r="B197" s="734" t="str">
        <f>IFERROR(__xludf.DUMMYFUNCTION("if(REGEXMATCH(AR197,$B$168),""X"","""")"),"")</f>
        <v/>
      </c>
      <c r="C197" s="734" t="str">
        <f>IFERROR(__xludf.DUMMYFUNCTION("if(REGEXMATCH(AR197,$C$168),""X"","""")"),"")</f>
        <v/>
      </c>
      <c r="D197" s="800" t="str">
        <f>IFERROR(__xludf.DUMMYFUNCTION("if(REGEXMATCH(AR197,$D$168),""X"","""")"),"X")</f>
        <v>X</v>
      </c>
      <c r="E197" s="734" t="str">
        <f>IFERROR(__xludf.DUMMYFUNCTION("if(REGEXMATCH(AR197,$E$168),""X"","""")"),"X")</f>
        <v>X</v>
      </c>
      <c r="F197" s="734" t="str">
        <f>IFERROR(__xludf.DUMMYFUNCTION("if(REGEXMATCH(AR197,$F$168),""X"","""")"),"X")</f>
        <v>X</v>
      </c>
      <c r="G197" s="734" t="str">
        <f t="shared" si="9"/>
        <v>X</v>
      </c>
      <c r="H197" s="734" t="str">
        <f>IFERROR(__xludf.DUMMYFUNCTION("if(REGEXMATCH(AR197,$H$168),""X"","""")"),"")</f>
        <v/>
      </c>
      <c r="I197" s="800" t="str">
        <f>IFERROR(__xludf.DUMMYFUNCTION("if(REGEXMATCH(AR197,$I$168),""X"","""")"),"")</f>
        <v/>
      </c>
      <c r="J197" s="800" t="str">
        <f>IFERROR(__xludf.DUMMYFUNCTION("if(REGEXMATCH(AR197,$J$168),""X"","""")"),"")</f>
        <v/>
      </c>
      <c r="K197" s="800" t="str">
        <f>IFERROR(__xludf.DUMMYFUNCTION("if(REGEXMATCH(AR197,$K$168),""X"","""")"),"")</f>
        <v/>
      </c>
      <c r="L197" s="800" t="str">
        <f>IFERROR(__xludf.DUMMYFUNCTION("if(REGEXMATCH(AR197,$L$168),""X"","""")"),"")</f>
        <v/>
      </c>
      <c r="M197" s="800" t="str">
        <f>IFERROR(__xludf.DUMMYFUNCTION("if(REGEXMATCH(AR197,$M$168),""X"","""")"),"")</f>
        <v/>
      </c>
      <c r="N197" s="800" t="str">
        <f>IFERROR(__xludf.DUMMYFUNCTION("if(REGEXMATCH(AR197,$N$168),""X"","""")"),"")</f>
        <v/>
      </c>
      <c r="O197" s="800" t="str">
        <f>IFERROR(__xludf.DUMMYFUNCTION("if(REGEXMATCH(AR197,$O$168),""X"","""")"),"X")</f>
        <v>X</v>
      </c>
      <c r="P197" s="800" t="str">
        <f>IFERROR(__xludf.DUMMYFUNCTION("if(REGEXMATCH(AR197,""(all)""),""X"",if(REGEXMATCH(AR197,""arcana""),""X"",""""))"),"")</f>
        <v/>
      </c>
      <c r="Q197" s="800" t="str">
        <f>IFERROR(__xludf.DUMMYFUNCTION("if(REGEXMATCH(AR197,""(all)""),""X"",if(REGEXMATCH(AR197,""dungeoneering""),""X"",""""))"),"")</f>
        <v/>
      </c>
      <c r="R197" s="800" t="str">
        <f>IFERROR(__xludf.DUMMYFUNCTION("if(REGEXMATCH(AR197,""(all)""),""X"",if(REGEXMATCH(AR197,""engineering""),""X"",""""))"),"")</f>
        <v/>
      </c>
      <c r="S197" s="800" t="str">
        <f>IFERROR(__xludf.DUMMYFUNCTION("if(REGEXMATCH(AR197,""(all)""),""X"",if(REGEXMATCH(AR197,""geography""),""X"",""""))"),"")</f>
        <v/>
      </c>
      <c r="T197" s="800" t="str">
        <f>IFERROR(__xludf.DUMMYFUNCTION("if(REGEXMATCH(AR197,""(all)""),""X"",if(REGEXMATCH(AR197,""history""),""X"",""""))"),"")</f>
        <v/>
      </c>
      <c r="U197" s="800" t="str">
        <f>IFERROR(__xludf.DUMMYFUNCTION("if(REGEXMATCH(AR197,""(all)""),""X"",if(REGEXMATCH(AR197,""local""),""X"",""""))"),"")</f>
        <v/>
      </c>
      <c r="V197" s="800" t="str">
        <f>IFERROR(__xludf.DUMMYFUNCTION("if(REGEXMATCH(AR197,""(all)""),""X"",if(REGEXMATCH(AR197,""nature""),""X"",""""))"),"")</f>
        <v/>
      </c>
      <c r="W197" s="800" t="str">
        <f>IFERROR(__xludf.DUMMYFUNCTION("if(REGEXMATCH(AR197,""(all)""),""X"",if(REGEXMATCH(AR197,""nobility""),""X"",""""))"),"")</f>
        <v/>
      </c>
      <c r="X197" s="800" t="str">
        <f>IFERROR(__xludf.DUMMYFUNCTION("if(REGEXMATCH(AR197,""(all)""),""X"",if(REGEXMATCH(AR197,""planes""),""X"",""""))"),"")</f>
        <v/>
      </c>
      <c r="Y197" s="800" t="str">
        <f>IFERROR(__xludf.DUMMYFUNCTION("if(REGEXMATCH(AR197,""(all)""),""X"",if(REGEXMATCH(AR197,""religion""),""X"",""""))"),"")</f>
        <v/>
      </c>
      <c r="Z197" s="800" t="str">
        <f>IFERROR(__xludf.DUMMYFUNCTION("if(REGEXMATCH(AR197,$Z$168),""X"","""")"),"")</f>
        <v/>
      </c>
      <c r="AA197" s="800" t="str">
        <f>IFERROR(__xludf.DUMMYFUNCTION("if(REGEXMATCH(AR197,$AA$168),""X"","""")"),"")</f>
        <v/>
      </c>
      <c r="AB197" s="734" t="str">
        <f>IFERROR(__xludf.DUMMYFUNCTION("if(REGEXMATCH(AR197,""Perform""),""X"","""")"),"")</f>
        <v/>
      </c>
      <c r="AC197" s="734" t="str">
        <f t="shared" si="10"/>
        <v/>
      </c>
      <c r="AD197" s="734" t="str">
        <f>IFERROR(__xludf.DUMMYFUNCTION("if(REGEXMATCH(AR197,""Profession""),""X"","""")"),"X")</f>
        <v>X</v>
      </c>
      <c r="AE197" s="734" t="str">
        <f t="shared" si="11"/>
        <v>X</v>
      </c>
      <c r="AF197" s="800" t="str">
        <f>IFERROR(__xludf.DUMMYFUNCTION("if(REGEXMATCH(AR197,$AF$168),""X"","""")"),"X")</f>
        <v>X</v>
      </c>
      <c r="AG197" s="800" t="str">
        <f>IFERROR(__xludf.DUMMYFUNCTION("if(REGEXMATCH(AR197,$AG$168),""X"","""")"),"X")</f>
        <v>X</v>
      </c>
      <c r="AH197" s="800" t="str">
        <f>IFERROR(__xludf.DUMMYFUNCTION("if(REGEXMATCH(AR197,$AH$168),""X"","""")"),"")</f>
        <v/>
      </c>
      <c r="AI197" s="800" t="str">
        <f>IFERROR(__xludf.DUMMYFUNCTION("if(REGEXMATCH(AR197,$AI$168),""X"","""")"),"")</f>
        <v/>
      </c>
      <c r="AJ197" s="739" t="str">
        <f>IFERROR(__xludf.DUMMYFUNCTION("if(REGEXMATCH(AR197,$AJ$168),""X"","""")"),"")</f>
        <v/>
      </c>
      <c r="AK197" s="800" t="str">
        <f>IFERROR(__xludf.DUMMYFUNCTION("if(REGEXMATCH(AR197,$AK$168),""X"","""")"),"")</f>
        <v/>
      </c>
      <c r="AL197" s="800" t="str">
        <f>IFERROR(__xludf.DUMMYFUNCTION("if(REGEXMATCH(AR197,$AL$168),""X"","""")"),"X")</f>
        <v>X</v>
      </c>
      <c r="AM197" s="800" t="str">
        <f>IFERROR(__xludf.DUMMYFUNCTION("if(REGEXMATCH(AR197,$AM$168),""X"","""")"),"X")</f>
        <v>X</v>
      </c>
      <c r="AN197" s="800"/>
      <c r="AO197" s="800"/>
      <c r="AP197" s="800" t="str">
        <f>IFERROR(__xludf.DUMMYFUNCTION("if(REGEXMATCH(AR197,""Craft""),""X"","""")"),"X")</f>
        <v>X</v>
      </c>
      <c r="AQ197" s="800" t="str">
        <f>IFERROR(__xludf.DUMMYFUNCTION("if(REGEXMATCH(AR197,""Knowledge""),""X"","""")"),"X")</f>
        <v>X</v>
      </c>
      <c r="AR197" s="740" t="s">
        <v>915</v>
      </c>
      <c r="AS197" s="233"/>
      <c r="AT197" s="233"/>
      <c r="AU197" s="233"/>
      <c r="AV197" s="233"/>
      <c r="AW197" s="233"/>
      <c r="AX197" s="233"/>
      <c r="AY197" s="233"/>
      <c r="AZ197" s="233"/>
      <c r="BA197" s="233"/>
      <c r="BB197" s="233"/>
      <c r="BC197" s="233"/>
      <c r="BD197" s="233"/>
      <c r="BE197" s="233"/>
      <c r="BF197" s="241"/>
      <c r="BG197" s="241"/>
      <c r="BH197" s="241"/>
      <c r="BI197" s="241"/>
      <c r="BJ197" s="241"/>
      <c r="BK197" s="241"/>
      <c r="BL197" s="241"/>
    </row>
    <row r="198">
      <c r="A198" s="385" t="s">
        <v>501</v>
      </c>
      <c r="B198" s="734" t="str">
        <f>IFERROR(__xludf.DUMMYFUNCTION("if(REGEXMATCH(AR198,$B$168),""X"","""")"),"X")</f>
        <v>X</v>
      </c>
      <c r="C198" s="734" t="str">
        <f>IFERROR(__xludf.DUMMYFUNCTION("if(REGEXMATCH(AR198,$C$168),""X"","""")"),"")</f>
        <v/>
      </c>
      <c r="D198" s="800" t="str">
        <f>IFERROR(__xludf.DUMMYFUNCTION("if(REGEXMATCH(AR198,$D$168),""X"","""")"),"X")</f>
        <v>X</v>
      </c>
      <c r="E198" s="734" t="str">
        <f>IFERROR(__xludf.DUMMYFUNCTION("if(REGEXMATCH(AR198,$E$168),""X"","""")"),"X")</f>
        <v>X</v>
      </c>
      <c r="F198" s="734" t="str">
        <f>IFERROR(__xludf.DUMMYFUNCTION("if(REGEXMATCH(AR198,$F$168),""X"","""")"),"X")</f>
        <v>X</v>
      </c>
      <c r="G198" s="734" t="str">
        <f t="shared" si="9"/>
        <v>X</v>
      </c>
      <c r="H198" s="734" t="str">
        <f>IFERROR(__xludf.DUMMYFUNCTION("if(REGEXMATCH(AR198,$H$168),""X"","""")"),"")</f>
        <v/>
      </c>
      <c r="I198" s="800" t="str">
        <f>IFERROR(__xludf.DUMMYFUNCTION("if(REGEXMATCH(AR198,$I$168),""X"","""")"),"X")</f>
        <v>X</v>
      </c>
      <c r="J198" s="800" t="str">
        <f>IFERROR(__xludf.DUMMYFUNCTION("if(REGEXMATCH(AR198,$J$168),""X"","""")"),"X")</f>
        <v>X</v>
      </c>
      <c r="K198" s="800" t="str">
        <f>IFERROR(__xludf.DUMMYFUNCTION("if(REGEXMATCH(AR198,$K$168),""X"","""")"),"X")</f>
        <v>X</v>
      </c>
      <c r="L198" s="800" t="str">
        <f>IFERROR(__xludf.DUMMYFUNCTION("if(REGEXMATCH(AR198,$L$168),""X"","""")"),"")</f>
        <v/>
      </c>
      <c r="M198" s="800" t="str">
        <f>IFERROR(__xludf.DUMMYFUNCTION("if(REGEXMATCH(AR198,$M$168),""X"","""")"),"")</f>
        <v/>
      </c>
      <c r="N198" s="800" t="str">
        <f>IFERROR(__xludf.DUMMYFUNCTION("if(REGEXMATCH(AR198,$N$168),""X"","""")"),"")</f>
        <v/>
      </c>
      <c r="O198" s="800" t="str">
        <f>IFERROR(__xludf.DUMMYFUNCTION("if(REGEXMATCH(AR198,$O$168),""X"","""")"),"X")</f>
        <v>X</v>
      </c>
      <c r="P198" s="800" t="str">
        <f>IFERROR(__xludf.DUMMYFUNCTION("if(REGEXMATCH(AR198,""(all)""),""X"",if(REGEXMATCH(AR198,""arcana""),""X"",""""))"),"X")</f>
        <v>X</v>
      </c>
      <c r="Q198" s="800" t="str">
        <f>IFERROR(__xludf.DUMMYFUNCTION("if(REGEXMATCH(AR198,""(all)""),""X"",if(REGEXMATCH(AR198,""dungeoneering""),""X"",""""))"),"")</f>
        <v/>
      </c>
      <c r="R198" s="800" t="str">
        <f>IFERROR(__xludf.DUMMYFUNCTION("if(REGEXMATCH(AR198,""(all)""),""X"",if(REGEXMATCH(AR198,""engineering""),""X"",""""))"),"")</f>
        <v/>
      </c>
      <c r="S198" s="800" t="str">
        <f>IFERROR(__xludf.DUMMYFUNCTION("if(REGEXMATCH(AR198,""(all)""),""X"",if(REGEXMATCH(AR198,""geography""),""X"",""""))"),"")</f>
        <v/>
      </c>
      <c r="T198" s="800" t="str">
        <f>IFERROR(__xludf.DUMMYFUNCTION("if(REGEXMATCH(AR198,""(all)""),""X"",if(REGEXMATCH(AR198,""history""),""X"",""""))"),"X")</f>
        <v>X</v>
      </c>
      <c r="U198" s="800" t="str">
        <f>IFERROR(__xludf.DUMMYFUNCTION("if(REGEXMATCH(AR198,""(all)""),""X"",if(REGEXMATCH(AR198,""local""),""X"",""""))"),"")</f>
        <v/>
      </c>
      <c r="V198" s="800" t="str">
        <f>IFERROR(__xludf.DUMMYFUNCTION("if(REGEXMATCH(AR198,""(all)""),""X"",if(REGEXMATCH(AR198,""nature""),""X"",""""))"),"")</f>
        <v/>
      </c>
      <c r="W198" s="800" t="str">
        <f>IFERROR(__xludf.DUMMYFUNCTION("if(REGEXMATCH(AR198,""(all)""),""X"",if(REGEXMATCH(AR198,""nobility""),""X"",""""))"),"X")</f>
        <v>X</v>
      </c>
      <c r="X198" s="800" t="str">
        <f>IFERROR(__xludf.DUMMYFUNCTION("if(REGEXMATCH(AR198,""(all)""),""X"",if(REGEXMATCH(AR198,""planes""),""X"",""""))"),"X")</f>
        <v>X</v>
      </c>
      <c r="Y198" s="800" t="str">
        <f>IFERROR(__xludf.DUMMYFUNCTION("if(REGEXMATCH(AR198,""(all)""),""X"",if(REGEXMATCH(AR198,""religion""),""X"",""""))"),"X")</f>
        <v>X</v>
      </c>
      <c r="Z198" s="800" t="str">
        <f>IFERROR(__xludf.DUMMYFUNCTION("if(REGEXMATCH(AR198,$Z$168),""X"","""")"),"")</f>
        <v/>
      </c>
      <c r="AA198" s="800" t="str">
        <f>IFERROR(__xludf.DUMMYFUNCTION("if(REGEXMATCH(AR198,$AA$168),""X"","""")"),"X")</f>
        <v>X</v>
      </c>
      <c r="AB198" s="734" t="str">
        <f>IFERROR(__xludf.DUMMYFUNCTION("if(REGEXMATCH(AR198,""Perform""),""X"","""")"),"")</f>
        <v/>
      </c>
      <c r="AC198" s="734" t="str">
        <f t="shared" si="10"/>
        <v/>
      </c>
      <c r="AD198" s="734" t="str">
        <f>IFERROR(__xludf.DUMMYFUNCTION("if(REGEXMATCH(AR198,""Profession""),""X"","""")"),"")</f>
        <v/>
      </c>
      <c r="AE198" s="734" t="str">
        <f t="shared" si="11"/>
        <v/>
      </c>
      <c r="AF198" s="800" t="str">
        <f>IFERROR(__xludf.DUMMYFUNCTION("if(REGEXMATCH(AR198,$AF$168),""X"","""")"),"")</f>
        <v/>
      </c>
      <c r="AG198" s="800" t="str">
        <f>IFERROR(__xludf.DUMMYFUNCTION("if(REGEXMATCH(AR198,$AG$168),""X"","""")"),"")</f>
        <v/>
      </c>
      <c r="AH198" s="800" t="str">
        <f>IFERROR(__xludf.DUMMYFUNCTION("if(REGEXMATCH(AR198,$AH$168),""X"","""")"),"X")</f>
        <v>X</v>
      </c>
      <c r="AI198" s="800" t="str">
        <f>IFERROR(__xludf.DUMMYFUNCTION("if(REGEXMATCH(AR198,$AI$168),""X"","""")"),"X")</f>
        <v>X</v>
      </c>
      <c r="AJ198" s="739" t="str">
        <f>IFERROR(__xludf.DUMMYFUNCTION("if(REGEXMATCH(AR198,$AJ$168),""X"","""")"),"X")</f>
        <v>X</v>
      </c>
      <c r="AK198" s="800" t="str">
        <f>IFERROR(__xludf.DUMMYFUNCTION("if(REGEXMATCH(AR198,$AK$168),""X"","""")"),"")</f>
        <v/>
      </c>
      <c r="AL198" s="800" t="str">
        <f>IFERROR(__xludf.DUMMYFUNCTION("if(REGEXMATCH(AR198,$AL$168),""X"","""")"),"X")</f>
        <v>X</v>
      </c>
      <c r="AM198" s="800" t="str">
        <f>IFERROR(__xludf.DUMMYFUNCTION("if(REGEXMATCH(AR198,$AM$168),""X"","""")"),"X")</f>
        <v>X</v>
      </c>
      <c r="AN198" s="800"/>
      <c r="AO198" s="800"/>
      <c r="AP198" s="800" t="str">
        <f>IFERROR(__xludf.DUMMYFUNCTION("if(REGEXMATCH(AR198,""Craft""),""X"","""")"),"X")</f>
        <v>X</v>
      </c>
      <c r="AQ198" s="800" t="str">
        <f>IFERROR(__xludf.DUMMYFUNCTION("if(REGEXMATCH(AR198,""Knowledge""),""X"","""")"),"X")</f>
        <v>X</v>
      </c>
      <c r="AR198" s="740" t="s">
        <v>918</v>
      </c>
      <c r="AS198" s="233"/>
      <c r="AT198" s="233"/>
      <c r="AU198" s="233"/>
      <c r="AV198" s="233"/>
      <c r="AW198" s="233"/>
      <c r="AX198" s="233"/>
      <c r="AY198" s="233"/>
      <c r="AZ198" s="233"/>
      <c r="BA198" s="233"/>
      <c r="BB198" s="233"/>
      <c r="BC198" s="233"/>
      <c r="BD198" s="233"/>
      <c r="BE198" s="233"/>
      <c r="BF198" s="241"/>
      <c r="BG198" s="241"/>
      <c r="BH198" s="241"/>
      <c r="BI198" s="241"/>
      <c r="BJ198" s="241"/>
      <c r="BK198" s="241"/>
      <c r="BL198" s="241"/>
    </row>
    <row r="199">
      <c r="A199" s="385" t="s">
        <v>502</v>
      </c>
      <c r="B199" s="734" t="str">
        <f>IFERROR(__xludf.DUMMYFUNCTION("if(REGEXMATCH(AR199,$B$168),""X"","""")"),"X")</f>
        <v>X</v>
      </c>
      <c r="C199" s="734" t="str">
        <f>IFERROR(__xludf.DUMMYFUNCTION("if(REGEXMATCH(AR199,$C$168),""X"","""")"),"")</f>
        <v/>
      </c>
      <c r="D199" s="800" t="str">
        <f>IFERROR(__xludf.DUMMYFUNCTION("if(REGEXMATCH(AR199,$D$168),""X"","""")"),"")</f>
        <v/>
      </c>
      <c r="E199" s="734" t="str">
        <f>IFERROR(__xludf.DUMMYFUNCTION("if(REGEXMATCH(AR199,$E$168),""X"","""")"),"X")</f>
        <v>X</v>
      </c>
      <c r="F199" s="734" t="str">
        <f>IFERROR(__xludf.DUMMYFUNCTION("if(REGEXMATCH(AR199,$F$168),""X"","""")"),"X")</f>
        <v>X</v>
      </c>
      <c r="G199" s="734" t="str">
        <f t="shared" si="9"/>
        <v>X</v>
      </c>
      <c r="H199" s="734" t="str">
        <f>IFERROR(__xludf.DUMMYFUNCTION("if(REGEXMATCH(AR199,$H$168),""X"","""")"),"X")</f>
        <v>X</v>
      </c>
      <c r="I199" s="800" t="str">
        <f>IFERROR(__xludf.DUMMYFUNCTION("if(REGEXMATCH(AR199,$I$168),""X"","""")"),"X")</f>
        <v>X</v>
      </c>
      <c r="J199" s="800" t="str">
        <f>IFERROR(__xludf.DUMMYFUNCTION("if(REGEXMATCH(AR199,$J$168),""X"","""")"),"")</f>
        <v/>
      </c>
      <c r="K199" s="800" t="str">
        <f>IFERROR(__xludf.DUMMYFUNCTION("if(REGEXMATCH(AR199,$K$168),""X"","""")"),"X")</f>
        <v>X</v>
      </c>
      <c r="L199" s="800" t="str">
        <f>IFERROR(__xludf.DUMMYFUNCTION("if(REGEXMATCH(AR199,$L$168),""X"","""")"),"")</f>
        <v/>
      </c>
      <c r="M199" s="800" t="str">
        <f>IFERROR(__xludf.DUMMYFUNCTION("if(REGEXMATCH(AR199,$M$168),""X"","""")"),"")</f>
        <v/>
      </c>
      <c r="N199" s="800" t="str">
        <f>IFERROR(__xludf.DUMMYFUNCTION("if(REGEXMATCH(AR199,$N$168),""X"","""")"),"X")</f>
        <v>X</v>
      </c>
      <c r="O199" s="800" t="str">
        <f>IFERROR(__xludf.DUMMYFUNCTION("if(REGEXMATCH(AR199,$O$168),""X"","""")"),"")</f>
        <v/>
      </c>
      <c r="P199" s="800" t="str">
        <f>IFERROR(__xludf.DUMMYFUNCTION("if(REGEXMATCH(AR199,""(all)""),""X"",if(REGEXMATCH(AR199,""arcana""),""X"",""""))"),"")</f>
        <v/>
      </c>
      <c r="Q199" s="800" t="str">
        <f>IFERROR(__xludf.DUMMYFUNCTION("if(REGEXMATCH(AR199,""(all)""),""X"",if(REGEXMATCH(AR199,""dungeoneering""),""X"",""""))"),"")</f>
        <v/>
      </c>
      <c r="R199" s="800" t="str">
        <f>IFERROR(__xludf.DUMMYFUNCTION("if(REGEXMATCH(AR199,""(all)""),""X"",if(REGEXMATCH(AR199,""engineering""),""X"",""""))"),"")</f>
        <v/>
      </c>
      <c r="S199" s="800" t="str">
        <f>IFERROR(__xludf.DUMMYFUNCTION("if(REGEXMATCH(AR199,""(all)""),""X"",if(REGEXMATCH(AR199,""geography""),""X"",""""))"),"")</f>
        <v/>
      </c>
      <c r="T199" s="800" t="str">
        <f>IFERROR(__xludf.DUMMYFUNCTION("if(REGEXMATCH(AR199,""(all)""),""X"",if(REGEXMATCH(AR199,""history""),""X"",""""))"),"")</f>
        <v/>
      </c>
      <c r="U199" s="800" t="str">
        <f>IFERROR(__xludf.DUMMYFUNCTION("if(REGEXMATCH(AR199,""(all)""),""X"",if(REGEXMATCH(AR199,""local""),""X"",""""))"),"")</f>
        <v/>
      </c>
      <c r="V199" s="800" t="str">
        <f>IFERROR(__xludf.DUMMYFUNCTION("if(REGEXMATCH(AR199,""(all)""),""X"",if(REGEXMATCH(AR199,""nature""),""X"",""""))"),"")</f>
        <v/>
      </c>
      <c r="W199" s="800" t="str">
        <f>IFERROR(__xludf.DUMMYFUNCTION("if(REGEXMATCH(AR199,""(all)""),""X"",if(REGEXMATCH(AR199,""nobility""),""X"",""""))"),"")</f>
        <v/>
      </c>
      <c r="X199" s="800" t="str">
        <f>IFERROR(__xludf.DUMMYFUNCTION("if(REGEXMATCH(AR199,""(all)""),""X"",if(REGEXMATCH(AR199,""planes""),""X"",""""))"),"")</f>
        <v/>
      </c>
      <c r="Y199" s="800" t="str">
        <f>IFERROR(__xludf.DUMMYFUNCTION("if(REGEXMATCH(AR199,""(all)""),""X"",if(REGEXMATCH(AR199,""religion""),""X"",""""))"),"")</f>
        <v/>
      </c>
      <c r="Z199" s="800" t="str">
        <f>IFERROR(__xludf.DUMMYFUNCTION("if(REGEXMATCH(AR199,$Z$168),""X"","""")"),"")</f>
        <v/>
      </c>
      <c r="AA199" s="800" t="str">
        <f>IFERROR(__xludf.DUMMYFUNCTION("if(REGEXMATCH(AR199,$AA$168),""X"","""")"),"X")</f>
        <v>X</v>
      </c>
      <c r="AB199" s="734" t="str">
        <f>IFERROR(__xludf.DUMMYFUNCTION("if(REGEXMATCH(AR199,""Perform""),""X"","""")"),"")</f>
        <v/>
      </c>
      <c r="AC199" s="734" t="str">
        <f t="shared" si="10"/>
        <v/>
      </c>
      <c r="AD199" s="734" t="str">
        <f>IFERROR(__xludf.DUMMYFUNCTION("if(REGEXMATCH(AR199,""Profession""),""X"","""")"),"")</f>
        <v/>
      </c>
      <c r="AE199" s="734" t="str">
        <f t="shared" si="11"/>
        <v/>
      </c>
      <c r="AF199" s="800" t="str">
        <f>IFERROR(__xludf.DUMMYFUNCTION("if(REGEXMATCH(AR199,$AF$168),""X"","""")"),"")</f>
        <v/>
      </c>
      <c r="AG199" s="800" t="str">
        <f>IFERROR(__xludf.DUMMYFUNCTION("if(REGEXMATCH(AR199,$AG$168),""X"","""")"),"X")</f>
        <v>X</v>
      </c>
      <c r="AH199" s="800" t="str">
        <f>IFERROR(__xludf.DUMMYFUNCTION("if(REGEXMATCH(AR199,$AH$168),""X"","""")"),"")</f>
        <v/>
      </c>
      <c r="AI199" s="800" t="str">
        <f>IFERROR(__xludf.DUMMYFUNCTION("if(REGEXMATCH(AR199,$AI$168),""X"","""")"),"")</f>
        <v/>
      </c>
      <c r="AJ199" s="739" t="str">
        <f>IFERROR(__xludf.DUMMYFUNCTION("if(REGEXMATCH(AR199,$AJ$168),""X"","""")"),"X")</f>
        <v>X</v>
      </c>
      <c r="AK199" s="800" t="str">
        <f>IFERROR(__xludf.DUMMYFUNCTION("if(REGEXMATCH(AR199,$AK$168),""X"","""")"),"X")</f>
        <v>X</v>
      </c>
      <c r="AL199" s="800" t="str">
        <f>IFERROR(__xludf.DUMMYFUNCTION("if(REGEXMATCH(AR199,$AL$168),""X"","""")"),"X")</f>
        <v>X</v>
      </c>
      <c r="AM199" s="800" t="str">
        <f>IFERROR(__xludf.DUMMYFUNCTION("if(REGEXMATCH(AR199,$AM$168),""X"","""")"),"")</f>
        <v/>
      </c>
      <c r="AN199" s="800"/>
      <c r="AO199" s="800"/>
      <c r="AP199" s="800" t="str">
        <f>IFERROR(__xludf.DUMMYFUNCTION("if(REGEXMATCH(AR199,""Craft""),""X"","""")"),"X")</f>
        <v>X</v>
      </c>
      <c r="AQ199" s="800" t="str">
        <f>IFERROR(__xludf.DUMMYFUNCTION("if(REGEXMATCH(AR199,""Knowledge""),""X"","""")"),"X")</f>
        <v>X</v>
      </c>
      <c r="AR199" s="740" t="s">
        <v>922</v>
      </c>
      <c r="AS199" s="233"/>
      <c r="AT199" s="233"/>
      <c r="AU199" s="233"/>
      <c r="AV199" s="233"/>
      <c r="AW199" s="233"/>
      <c r="AX199" s="233"/>
      <c r="AY199" s="233"/>
      <c r="AZ199" s="233"/>
      <c r="BA199" s="233"/>
      <c r="BB199" s="233"/>
      <c r="BC199" s="233"/>
      <c r="BD199" s="233"/>
      <c r="BE199" s="233"/>
      <c r="BF199" s="241"/>
      <c r="BG199" s="241"/>
      <c r="BH199" s="241"/>
      <c r="BI199" s="241"/>
      <c r="BJ199" s="241"/>
      <c r="BK199" s="241"/>
      <c r="BL199" s="241"/>
    </row>
    <row r="200">
      <c r="A200" s="385" t="s">
        <v>504</v>
      </c>
      <c r="B200" s="734" t="str">
        <f>IFERROR(__xludf.DUMMYFUNCTION("if(REGEXMATCH(AR200,$B$168),""X"","""")"),"")</f>
        <v/>
      </c>
      <c r="C200" s="734" t="str">
        <f>IFERROR(__xludf.DUMMYFUNCTION("if(REGEXMATCH(AR200,$C$168),""X"","""")"),"")</f>
        <v/>
      </c>
      <c r="D200" s="800" t="str">
        <f>IFERROR(__xludf.DUMMYFUNCTION("if(REGEXMATCH(AR200,$D$168),""X"","""")"),"X")</f>
        <v>X</v>
      </c>
      <c r="E200" s="734" t="str">
        <f>IFERROR(__xludf.DUMMYFUNCTION("if(REGEXMATCH(AR200,$E$168),""X"","""")"),"")</f>
        <v/>
      </c>
      <c r="F200" s="734" t="str">
        <f>IFERROR(__xludf.DUMMYFUNCTION("if(REGEXMATCH(AR200,$F$168),""X"","""")"),"X")</f>
        <v>X</v>
      </c>
      <c r="G200" s="734" t="str">
        <f t="shared" si="9"/>
        <v>X</v>
      </c>
      <c r="H200" s="734" t="str">
        <f>IFERROR(__xludf.DUMMYFUNCTION("if(REGEXMATCH(AR200,$H$168),""X"","""")"),"X")</f>
        <v>X</v>
      </c>
      <c r="I200" s="800" t="str">
        <f>IFERROR(__xludf.DUMMYFUNCTION("if(REGEXMATCH(AR200,$I$168),""X"","""")"),"")</f>
        <v/>
      </c>
      <c r="J200" s="800" t="str">
        <f>IFERROR(__xludf.DUMMYFUNCTION("if(REGEXMATCH(AR200,$J$168),""X"","""")"),"")</f>
        <v/>
      </c>
      <c r="K200" s="800" t="str">
        <f>IFERROR(__xludf.DUMMYFUNCTION("if(REGEXMATCH(AR200,$K$168),""X"","""")"),"")</f>
        <v/>
      </c>
      <c r="L200" s="800" t="str">
        <f>IFERROR(__xludf.DUMMYFUNCTION("if(REGEXMATCH(AR200,$L$168),""X"","""")"),"")</f>
        <v/>
      </c>
      <c r="M200" s="800" t="str">
        <f>IFERROR(__xludf.DUMMYFUNCTION("if(REGEXMATCH(AR200,$M$168),""X"","""")"),"")</f>
        <v/>
      </c>
      <c r="N200" s="800" t="str">
        <f>IFERROR(__xludf.DUMMYFUNCTION("if(REGEXMATCH(AR200,$N$168),""X"","""")"),"X")</f>
        <v>X</v>
      </c>
      <c r="O200" s="800" t="str">
        <f>IFERROR(__xludf.DUMMYFUNCTION("if(REGEXMATCH(AR200,$O$168),""X"","""")"),"X")</f>
        <v>X</v>
      </c>
      <c r="P200" s="800" t="str">
        <f>IFERROR(__xludf.DUMMYFUNCTION("if(REGEXMATCH(AR200,""(all)""),""X"",if(REGEXMATCH(AR200,""arcana""),""X"",""""))"),"X")</f>
        <v>X</v>
      </c>
      <c r="Q200" s="800" t="str">
        <f>IFERROR(__xludf.DUMMYFUNCTION("if(REGEXMATCH(AR200,""(all)""),""X"",if(REGEXMATCH(AR200,""dungeoneering""),""X"",""""))"),"")</f>
        <v/>
      </c>
      <c r="R200" s="800" t="str">
        <f>IFERROR(__xludf.DUMMYFUNCTION("if(REGEXMATCH(AR200,""(all)""),""X"",if(REGEXMATCH(AR200,""engineering""),""X"",""""))"),"")</f>
        <v/>
      </c>
      <c r="S200" s="800" t="str">
        <f>IFERROR(__xludf.DUMMYFUNCTION("if(REGEXMATCH(AR200,""(all)""),""X"",if(REGEXMATCH(AR200,""geography""),""X"",""""))"),"")</f>
        <v/>
      </c>
      <c r="T200" s="800" t="str">
        <f>IFERROR(__xludf.DUMMYFUNCTION("if(REGEXMATCH(AR200,""(all)""),""X"",if(REGEXMATCH(AR200,""history""),""X"",""""))"),"")</f>
        <v/>
      </c>
      <c r="U200" s="800" t="str">
        <f>IFERROR(__xludf.DUMMYFUNCTION("if(REGEXMATCH(AR200,""(all)""),""X"",if(REGEXMATCH(AR200,""local""),""X"",""""))"),"")</f>
        <v/>
      </c>
      <c r="V200" s="800" t="str">
        <f>IFERROR(__xludf.DUMMYFUNCTION("if(REGEXMATCH(AR200,""(all)""),""X"",if(REGEXMATCH(AR200,""nature""),""X"",""""))"),"")</f>
        <v/>
      </c>
      <c r="W200" s="800" t="str">
        <f>IFERROR(__xludf.DUMMYFUNCTION("if(REGEXMATCH(AR200,""(all)""),""X"",if(REGEXMATCH(AR200,""nobility""),""X"",""""))"),"")</f>
        <v/>
      </c>
      <c r="X200" s="800" t="str">
        <f>IFERROR(__xludf.DUMMYFUNCTION("if(REGEXMATCH(AR200,""(all)""),""X"",if(REGEXMATCH(AR200,""planes""),""X"",""""))"),"X")</f>
        <v>X</v>
      </c>
      <c r="Y200" s="800" t="str">
        <f>IFERROR(__xludf.DUMMYFUNCTION("if(REGEXMATCH(AR200,""(all)""),""X"",if(REGEXMATCH(AR200,""religion""),""X"",""""))"),"X")</f>
        <v>X</v>
      </c>
      <c r="Z200" s="800" t="str">
        <f>IFERROR(__xludf.DUMMYFUNCTION("if(REGEXMATCH(AR200,$Z$168),""X"","""")"),"X")</f>
        <v>X</v>
      </c>
      <c r="AA200" s="800" t="str">
        <f>IFERROR(__xludf.DUMMYFUNCTION("if(REGEXMATCH(AR200,$AA$168),""X"","""")"),"X")</f>
        <v>X</v>
      </c>
      <c r="AB200" s="734" t="str">
        <f>IFERROR(__xludf.DUMMYFUNCTION("if(REGEXMATCH(AR200,""Perform""),""X"","""")"),"")</f>
        <v/>
      </c>
      <c r="AC200" s="734" t="str">
        <f t="shared" si="10"/>
        <v/>
      </c>
      <c r="AD200" s="734" t="str">
        <f>IFERROR(__xludf.DUMMYFUNCTION("if(REGEXMATCH(AR200,""Profession""),""X"","""")"),"X")</f>
        <v>X</v>
      </c>
      <c r="AE200" s="734" t="str">
        <f t="shared" si="11"/>
        <v>X</v>
      </c>
      <c r="AF200" s="800" t="str">
        <f>IFERROR(__xludf.DUMMYFUNCTION("if(REGEXMATCH(AR200,$AF$168),""X"","""")"),"")</f>
        <v/>
      </c>
      <c r="AG200" s="800" t="str">
        <f>IFERROR(__xludf.DUMMYFUNCTION("if(REGEXMATCH(AR200,$AG$168),""X"","""")"),"")</f>
        <v/>
      </c>
      <c r="AH200" s="800" t="str">
        <f>IFERROR(__xludf.DUMMYFUNCTION("if(REGEXMATCH(AR200,$AH$168),""X"","""")"),"")</f>
        <v/>
      </c>
      <c r="AI200" s="800" t="str">
        <f>IFERROR(__xludf.DUMMYFUNCTION("if(REGEXMATCH(AR200,$AI$168),""X"","""")"),"X")</f>
        <v>X</v>
      </c>
      <c r="AJ200" s="739" t="str">
        <f>IFERROR(__xludf.DUMMYFUNCTION("if(REGEXMATCH(AR200,$AJ$168),""X"","""")"),"")</f>
        <v/>
      </c>
      <c r="AK200" s="800" t="str">
        <f>IFERROR(__xludf.DUMMYFUNCTION("if(REGEXMATCH(AR200,$AK$168),""X"","""")"),"")</f>
        <v/>
      </c>
      <c r="AL200" s="800" t="str">
        <f>IFERROR(__xludf.DUMMYFUNCTION("if(REGEXMATCH(AR200,$AL$168),""X"","""")"),"")</f>
        <v/>
      </c>
      <c r="AM200" s="800" t="str">
        <f>IFERROR(__xludf.DUMMYFUNCTION("if(REGEXMATCH(AR200,$AM$168),""X"","""")"),"X")</f>
        <v>X</v>
      </c>
      <c r="AN200" s="800"/>
      <c r="AO200" s="800"/>
      <c r="AP200" s="800" t="str">
        <f>IFERROR(__xludf.DUMMYFUNCTION("if(REGEXMATCH(AR200,""Craft""),""X"","""")"),"X")</f>
        <v>X</v>
      </c>
      <c r="AQ200" s="800" t="str">
        <f>IFERROR(__xludf.DUMMYFUNCTION("if(REGEXMATCH(AR200,""Knowledge""),""X"","""")"),"X")</f>
        <v>X</v>
      </c>
      <c r="AR200" s="740" t="s">
        <v>925</v>
      </c>
      <c r="AS200" s="233"/>
      <c r="AT200" s="233"/>
      <c r="AU200" s="233"/>
      <c r="AV200" s="233"/>
      <c r="AW200" s="233"/>
      <c r="AX200" s="233"/>
      <c r="AY200" s="233"/>
      <c r="AZ200" s="233"/>
      <c r="BA200" s="233"/>
      <c r="BB200" s="233"/>
      <c r="BC200" s="233"/>
      <c r="BD200" s="233"/>
      <c r="BE200" s="233"/>
      <c r="BF200" s="241"/>
      <c r="BG200" s="241"/>
      <c r="BH200" s="241"/>
      <c r="BI200" s="241"/>
      <c r="BJ200" s="241"/>
      <c r="BK200" s="241"/>
      <c r="BL200" s="241"/>
    </row>
    <row r="201">
      <c r="A201" s="385" t="s">
        <v>505</v>
      </c>
      <c r="B201" s="734" t="str">
        <f>IFERROR(__xludf.DUMMYFUNCTION("if(REGEXMATCH(AR201,$B$168),""X"","""")"),"")</f>
        <v/>
      </c>
      <c r="C201" s="734" t="str">
        <f>IFERROR(__xludf.DUMMYFUNCTION("if(REGEXMATCH(AR201,$C$168),""X"","""")"),"")</f>
        <v/>
      </c>
      <c r="D201" s="800" t="str">
        <f>IFERROR(__xludf.DUMMYFUNCTION("if(REGEXMATCH(AR201,$D$168),""X"","""")"),"")</f>
        <v/>
      </c>
      <c r="E201" s="734" t="str">
        <f>IFERROR(__xludf.DUMMYFUNCTION("if(REGEXMATCH(AR201,$E$168),""X"","""")"),"")</f>
        <v/>
      </c>
      <c r="F201" s="734" t="str">
        <f>IFERROR(__xludf.DUMMYFUNCTION("if(REGEXMATCH(AR201,$F$168),""X"","""")"),"X")</f>
        <v>X</v>
      </c>
      <c r="G201" s="734" t="str">
        <f t="shared" si="9"/>
        <v>X</v>
      </c>
      <c r="H201" s="734" t="str">
        <f>IFERROR(__xludf.DUMMYFUNCTION("if(REGEXMATCH(AR201,$H$168),""X"","""")"),"X")</f>
        <v>X</v>
      </c>
      <c r="I201" s="800" t="str">
        <f>IFERROR(__xludf.DUMMYFUNCTION("if(REGEXMATCH(AR201,$I$168),""X"","""")"),"")</f>
        <v/>
      </c>
      <c r="J201" s="800" t="str">
        <f>IFERROR(__xludf.DUMMYFUNCTION("if(REGEXMATCH(AR201,$J$168),""X"","""")"),"")</f>
        <v/>
      </c>
      <c r="K201" s="800" t="str">
        <f>IFERROR(__xludf.DUMMYFUNCTION("if(REGEXMATCH(AR201,$K$168),""X"","""")"),"")</f>
        <v/>
      </c>
      <c r="L201" s="800" t="str">
        <f>IFERROR(__xludf.DUMMYFUNCTION("if(REGEXMATCH(AR201,$L$168),""X"","""")"),"")</f>
        <v/>
      </c>
      <c r="M201" s="800" t="str">
        <f>IFERROR(__xludf.DUMMYFUNCTION("if(REGEXMATCH(AR201,$M$168),""X"","""")"),"X")</f>
        <v>X</v>
      </c>
      <c r="N201" s="800" t="str">
        <f>IFERROR(__xludf.DUMMYFUNCTION("if(REGEXMATCH(AR201,$N$168),""X"","""")"),"X")</f>
        <v>X</v>
      </c>
      <c r="O201" s="800" t="str">
        <f>IFERROR(__xludf.DUMMYFUNCTION("if(REGEXMATCH(AR201,$O$168),""X"","""")"),"")</f>
        <v/>
      </c>
      <c r="P201" s="800" t="str">
        <f>IFERROR(__xludf.DUMMYFUNCTION("if(REGEXMATCH(AR201,""(all)""),""X"",if(REGEXMATCH(AR201,""arcana""),""X"",""""))"),"X")</f>
        <v>X</v>
      </c>
      <c r="Q201" s="800" t="str">
        <f>IFERROR(__xludf.DUMMYFUNCTION("if(REGEXMATCH(AR201,""(all)""),""X"",if(REGEXMATCH(AR201,""dungeoneering""),""X"",""""))"),"X")</f>
        <v>X</v>
      </c>
      <c r="R201" s="800" t="str">
        <f>IFERROR(__xludf.DUMMYFUNCTION("if(REGEXMATCH(AR201,""(all)""),""X"",if(REGEXMATCH(AR201,""engineering""),""X"",""""))"),"")</f>
        <v/>
      </c>
      <c r="S201" s="800" t="str">
        <f>IFERROR(__xludf.DUMMYFUNCTION("if(REGEXMATCH(AR201,""(all)""),""X"",if(REGEXMATCH(AR201,""geography""),""X"",""""))"),"")</f>
        <v/>
      </c>
      <c r="T201" s="800" t="str">
        <f>IFERROR(__xludf.DUMMYFUNCTION("if(REGEXMATCH(AR201,""(all)""),""X"",if(REGEXMATCH(AR201,""history""),""X"",""""))"),"X")</f>
        <v>X</v>
      </c>
      <c r="U201" s="800" t="str">
        <f>IFERROR(__xludf.DUMMYFUNCTION("if(REGEXMATCH(AR201,""(all)""),""X"",if(REGEXMATCH(AR201,""local""),""X"",""""))"),"X")</f>
        <v>X</v>
      </c>
      <c r="V201" s="800" t="str">
        <f>IFERROR(__xludf.DUMMYFUNCTION("if(REGEXMATCH(AR201,""(all)""),""X"",if(REGEXMATCH(AR201,""nature""),""X"",""""))"),"X")</f>
        <v>X</v>
      </c>
      <c r="W201" s="800" t="str">
        <f>IFERROR(__xludf.DUMMYFUNCTION("if(REGEXMATCH(AR201,""(all)""),""X"",if(REGEXMATCH(AR201,""nobility""),""X"",""""))"),"")</f>
        <v/>
      </c>
      <c r="X201" s="800" t="str">
        <f>IFERROR(__xludf.DUMMYFUNCTION("if(REGEXMATCH(AR201,""(all)""),""X"",if(REGEXMATCH(AR201,""planes""),""X"",""""))"),"")</f>
        <v/>
      </c>
      <c r="Y201" s="800" t="str">
        <f>IFERROR(__xludf.DUMMYFUNCTION("if(REGEXMATCH(AR201,""(all)""),""X"",if(REGEXMATCH(AR201,""religion""),""X"",""""))"),"X")</f>
        <v>X</v>
      </c>
      <c r="Z201" s="800" t="str">
        <f>IFERROR(__xludf.DUMMYFUNCTION("if(REGEXMATCH(AR201,$Z$168),""X"","""")"),"X")</f>
        <v>X</v>
      </c>
      <c r="AA201" s="800" t="str">
        <f>IFERROR(__xludf.DUMMYFUNCTION("if(REGEXMATCH(AR201,$AA$168),""X"","""")"),"X")</f>
        <v>X</v>
      </c>
      <c r="AB201" s="734" t="str">
        <f>IFERROR(__xludf.DUMMYFUNCTION("if(REGEXMATCH(AR201,""Perform""),""X"","""")"),"")</f>
        <v/>
      </c>
      <c r="AC201" s="734" t="str">
        <f t="shared" si="10"/>
        <v/>
      </c>
      <c r="AD201" s="734" t="str">
        <f>IFERROR(__xludf.DUMMYFUNCTION("if(REGEXMATCH(AR201,""Profession""),""X"","""")"),"X")</f>
        <v>X</v>
      </c>
      <c r="AE201" s="734" t="str">
        <f t="shared" si="11"/>
        <v>X</v>
      </c>
      <c r="AF201" s="800" t="str">
        <f>IFERROR(__xludf.DUMMYFUNCTION("if(REGEXMATCH(AR201,$AF$168),""X"","""")"),"")</f>
        <v/>
      </c>
      <c r="AG201" s="800" t="str">
        <f>IFERROR(__xludf.DUMMYFUNCTION("if(REGEXMATCH(AR201,$AG$168),""X"","""")"),"X")</f>
        <v>X</v>
      </c>
      <c r="AH201" s="800" t="str">
        <f>IFERROR(__xludf.DUMMYFUNCTION("if(REGEXMATCH(AR201,$AH$168),""X"","""")"),"")</f>
        <v/>
      </c>
      <c r="AI201" s="800" t="str">
        <f>IFERROR(__xludf.DUMMYFUNCTION("if(REGEXMATCH(AR201,$AI$168),""X"","""")"),"")</f>
        <v/>
      </c>
      <c r="AJ201" s="739" t="str">
        <f>IFERROR(__xludf.DUMMYFUNCTION("if(REGEXMATCH(AR201,$AJ$168),""X"","""")"),"")</f>
        <v/>
      </c>
      <c r="AK201" s="800" t="str">
        <f>IFERROR(__xludf.DUMMYFUNCTION("if(REGEXMATCH(AR201,$AK$168),""X"","""")"),"X")</f>
        <v>X</v>
      </c>
      <c r="AL201" s="800" t="str">
        <f>IFERROR(__xludf.DUMMYFUNCTION("if(REGEXMATCH(AR201,$AL$168),""X"","""")"),"")</f>
        <v/>
      </c>
      <c r="AM201" s="800" t="str">
        <f>IFERROR(__xludf.DUMMYFUNCTION("if(REGEXMATCH(AR201,$AM$168),""X"","""")"),"")</f>
        <v/>
      </c>
      <c r="AN201" s="800"/>
      <c r="AO201" s="800"/>
      <c r="AP201" s="800" t="str">
        <f>IFERROR(__xludf.DUMMYFUNCTION("if(REGEXMATCH(AR201,""Craft""),""X"","""")"),"X")</f>
        <v>X</v>
      </c>
      <c r="AQ201" s="800" t="str">
        <f>IFERROR(__xludf.DUMMYFUNCTION("if(REGEXMATCH(AR201,""Knowledge""),""X"","""")"),"X")</f>
        <v>X</v>
      </c>
      <c r="AR201" s="740" t="s">
        <v>928</v>
      </c>
      <c r="AS201" s="233"/>
      <c r="AT201" s="233"/>
      <c r="AU201" s="233"/>
      <c r="AV201" s="233"/>
      <c r="AW201" s="233"/>
      <c r="AX201" s="233"/>
      <c r="AY201" s="233"/>
      <c r="AZ201" s="233"/>
      <c r="BA201" s="233"/>
      <c r="BB201" s="233"/>
      <c r="BC201" s="233"/>
      <c r="BD201" s="233"/>
      <c r="BE201" s="233"/>
      <c r="BF201" s="241"/>
      <c r="BG201" s="241"/>
      <c r="BH201" s="241"/>
      <c r="BI201" s="241"/>
      <c r="BJ201" s="241"/>
      <c r="BK201" s="241"/>
      <c r="BL201" s="241"/>
    </row>
    <row r="202">
      <c r="A202" s="385" t="s">
        <v>26</v>
      </c>
      <c r="B202" s="734" t="str">
        <f>IFERROR(__xludf.DUMMYFUNCTION("if(REGEXMATCH(AR202,$B$168),""X"","""")"),"")</f>
        <v/>
      </c>
      <c r="C202" s="734" t="str">
        <f>IFERROR(__xludf.DUMMYFUNCTION("if(REGEXMATCH(AR202,$C$168),""X"","""")"),"X")</f>
        <v>X</v>
      </c>
      <c r="D202" s="800" t="str">
        <f>IFERROR(__xludf.DUMMYFUNCTION("if(REGEXMATCH(AR202,$D$168),""X"","""")"),"X")</f>
        <v>X</v>
      </c>
      <c r="E202" s="734" t="str">
        <f>IFERROR(__xludf.DUMMYFUNCTION("if(REGEXMATCH(AR202,$E$168),""X"","""")"),"X")</f>
        <v>X</v>
      </c>
      <c r="F202" s="734" t="str">
        <f>IFERROR(__xludf.DUMMYFUNCTION("if(REGEXMATCH(AR202,$F$168),""X"","""")"),"X")</f>
        <v>X</v>
      </c>
      <c r="G202" s="734" t="str">
        <f t="shared" si="9"/>
        <v>X</v>
      </c>
      <c r="H202" s="734" t="str">
        <f>IFERROR(__xludf.DUMMYFUNCTION("if(REGEXMATCH(AR202,$H$168),""X"","""")"),"X")</f>
        <v>X</v>
      </c>
      <c r="I202" s="800" t="str">
        <f>IFERROR(__xludf.DUMMYFUNCTION("if(REGEXMATCH(AR202,$I$168),""X"","""")"),"")</f>
        <v/>
      </c>
      <c r="J202" s="800" t="str">
        <f>IFERROR(__xludf.DUMMYFUNCTION("if(REGEXMATCH(AR202,$J$168),""X"","""")"),"")</f>
        <v/>
      </c>
      <c r="K202" s="800" t="str">
        <f>IFERROR(__xludf.DUMMYFUNCTION("if(REGEXMATCH(AR202,$K$168),""X"","""")"),"")</f>
        <v/>
      </c>
      <c r="L202" s="800" t="str">
        <f>IFERROR(__xludf.DUMMYFUNCTION("if(REGEXMATCH(AR202,$L$168),""X"","""")"),"")</f>
        <v/>
      </c>
      <c r="M202" s="800" t="str">
        <f>IFERROR(__xludf.DUMMYFUNCTION("if(REGEXMATCH(AR202,$M$168),""X"","""")"),"X")</f>
        <v>X</v>
      </c>
      <c r="N202" s="800" t="str">
        <f>IFERROR(__xludf.DUMMYFUNCTION("if(REGEXMATCH(AR202,$N$168),""X"","""")"),"X")</f>
        <v>X</v>
      </c>
      <c r="O202" s="800" t="str">
        <f>IFERROR(__xludf.DUMMYFUNCTION("if(REGEXMATCH(AR202,$O$168),""X"","""")"),"X")</f>
        <v>X</v>
      </c>
      <c r="P202" s="800" t="str">
        <f>IFERROR(__xludf.DUMMYFUNCTION("if(REGEXMATCH(AR202,""(all)""),""X"",if(REGEXMATCH(AR202,""arcana""),""X"",""""))"),"")</f>
        <v/>
      </c>
      <c r="Q202" s="800" t="str">
        <f>IFERROR(__xludf.DUMMYFUNCTION("if(REGEXMATCH(AR202,""(all)""),""X"",if(REGEXMATCH(AR202,""dungeoneering""),""X"",""""))"),"")</f>
        <v/>
      </c>
      <c r="R202" s="800" t="str">
        <f>IFERROR(__xludf.DUMMYFUNCTION("if(REGEXMATCH(AR202,""(all)""),""X"",if(REGEXMATCH(AR202,""engineering""),""X"",""""))"),"")</f>
        <v/>
      </c>
      <c r="S202" s="800" t="str">
        <f>IFERROR(__xludf.DUMMYFUNCTION("if(REGEXMATCH(AR202,""(all)""),""X"",if(REGEXMATCH(AR202,""geography""),""X"",""""))"),"")</f>
        <v/>
      </c>
      <c r="T202" s="800" t="str">
        <f>IFERROR(__xludf.DUMMYFUNCTION("if(REGEXMATCH(AR202,""(all)""),""X"",if(REGEXMATCH(AR202,""history""),""X"",""""))"),"")</f>
        <v/>
      </c>
      <c r="U202" s="800" t="str">
        <f>IFERROR(__xludf.DUMMYFUNCTION("if(REGEXMATCH(AR202,""(all)""),""X"",if(REGEXMATCH(AR202,""local""),""X"",""""))"),"")</f>
        <v/>
      </c>
      <c r="V202" s="800" t="str">
        <f>IFERROR(__xludf.DUMMYFUNCTION("if(REGEXMATCH(AR202,""(all)""),""X"",if(REGEXMATCH(AR202,""nature""),""X"",""""))"),"")</f>
        <v/>
      </c>
      <c r="W202" s="800" t="str">
        <f>IFERROR(__xludf.DUMMYFUNCTION("if(REGEXMATCH(AR202,""(all)""),""X"",if(REGEXMATCH(AR202,""nobility""),""X"",""""))"),"")</f>
        <v/>
      </c>
      <c r="X202" s="800" t="str">
        <f>IFERROR(__xludf.DUMMYFUNCTION("if(REGEXMATCH(AR202,""(all)""),""X"",if(REGEXMATCH(AR202,""planes""),""X"",""""))"),"")</f>
        <v/>
      </c>
      <c r="Y202" s="800" t="str">
        <f>IFERROR(__xludf.DUMMYFUNCTION("if(REGEXMATCH(AR202,""(all)""),""X"",if(REGEXMATCH(AR202,""religion""),""X"",""""))"),"")</f>
        <v/>
      </c>
      <c r="Z202" s="800" t="str">
        <f>IFERROR(__xludf.DUMMYFUNCTION("if(REGEXMATCH(AR202,$Z$168),""X"","""")"),"X")</f>
        <v>X</v>
      </c>
      <c r="AA202" s="800" t="str">
        <f>IFERROR(__xludf.DUMMYFUNCTION("if(REGEXMATCH(AR202,$AA$168),""X"","""")"),"X")</f>
        <v>X</v>
      </c>
      <c r="AB202" s="734" t="str">
        <f>IFERROR(__xludf.DUMMYFUNCTION("if(REGEXMATCH(AR202,""Perform""),""X"","""")"),"X")</f>
        <v>X</v>
      </c>
      <c r="AC202" s="734" t="str">
        <f t="shared" si="10"/>
        <v>X</v>
      </c>
      <c r="AD202" s="734" t="str">
        <f>IFERROR(__xludf.DUMMYFUNCTION("if(REGEXMATCH(AR202,""Profession""),""X"","""")"),"X")</f>
        <v>X</v>
      </c>
      <c r="AE202" s="734" t="str">
        <f t="shared" si="11"/>
        <v>X</v>
      </c>
      <c r="AF202" s="800" t="str">
        <f>IFERROR(__xludf.DUMMYFUNCTION("if(REGEXMATCH(AR202,$AF$168),""X"","""")"),"X")</f>
        <v>X</v>
      </c>
      <c r="AG202" s="800" t="str">
        <f>IFERROR(__xludf.DUMMYFUNCTION("if(REGEXMATCH(AR202,$AG$168),""X"","""")"),"X")</f>
        <v>X</v>
      </c>
      <c r="AH202" s="800" t="str">
        <f>IFERROR(__xludf.DUMMYFUNCTION("if(REGEXMATCH(AR202,$AH$168),""X"","""")"),"")</f>
        <v/>
      </c>
      <c r="AI202" s="800" t="str">
        <f>IFERROR(__xludf.DUMMYFUNCTION("if(REGEXMATCH(AR202,$AI$168),""X"","""")"),"X")</f>
        <v>X</v>
      </c>
      <c r="AJ202" s="739" t="str">
        <f>IFERROR(__xludf.DUMMYFUNCTION("if(REGEXMATCH(AR202,$AJ$168),""X"","""")"),"")</f>
        <v/>
      </c>
      <c r="AK202" s="800" t="str">
        <f>IFERROR(__xludf.DUMMYFUNCTION("if(REGEXMATCH(AR202,$AK$168),""X"","""")"),"")</f>
        <v/>
      </c>
      <c r="AL202" s="800" t="str">
        <f>IFERROR(__xludf.DUMMYFUNCTION("if(REGEXMATCH(AR202,$AL$168),""X"","""")"),"X")</f>
        <v>X</v>
      </c>
      <c r="AM202" s="800" t="str">
        <f>IFERROR(__xludf.DUMMYFUNCTION("if(REGEXMATCH(AR202,$AM$168),""X"","""")"),"")</f>
        <v/>
      </c>
      <c r="AN202" s="800"/>
      <c r="AO202" s="800"/>
      <c r="AP202" s="800" t="str">
        <f>IFERROR(__xludf.DUMMYFUNCTION("if(REGEXMATCH(AR202,""Craft""),""X"","""")"),"X")</f>
        <v>X</v>
      </c>
      <c r="AQ202" s="800" t="str">
        <f>IFERROR(__xludf.DUMMYFUNCTION("if(REGEXMATCH(AR202,""Knowledge""),""X"","""")"),"X")</f>
        <v>X</v>
      </c>
      <c r="AR202" s="807" t="s">
        <v>932</v>
      </c>
      <c r="AS202" s="233"/>
      <c r="AT202" s="233"/>
      <c r="AU202" s="233"/>
      <c r="AV202" s="233"/>
      <c r="AW202" s="233"/>
      <c r="AX202" s="233"/>
      <c r="AY202" s="233"/>
      <c r="AZ202" s="233"/>
      <c r="BA202" s="233"/>
      <c r="BB202" s="233"/>
      <c r="BC202" s="233"/>
      <c r="BD202" s="233"/>
      <c r="BE202" s="233"/>
      <c r="BF202" s="241"/>
      <c r="BG202" s="241"/>
      <c r="BH202" s="241"/>
      <c r="BI202" s="241"/>
      <c r="BJ202" s="241"/>
      <c r="BK202" s="241"/>
      <c r="BL202" s="241"/>
    </row>
    <row r="203">
      <c r="A203" s="385" t="s">
        <v>506</v>
      </c>
      <c r="B203" s="734" t="str">
        <f>IFERROR(__xludf.DUMMYFUNCTION("if(REGEXMATCH(AR203,$B$168),""X"","""")"),"")</f>
        <v/>
      </c>
      <c r="C203" s="734" t="str">
        <f>IFERROR(__xludf.DUMMYFUNCTION("if(REGEXMATCH(AR203,$C$168),""X"","""")"),"")</f>
        <v/>
      </c>
      <c r="D203" s="800" t="str">
        <f>IFERROR(__xludf.DUMMYFUNCTION("if(REGEXMATCH(AR203,$D$168),""X"","""")"),"")</f>
        <v/>
      </c>
      <c r="E203" s="734" t="str">
        <f>IFERROR(__xludf.DUMMYFUNCTION("if(REGEXMATCH(AR203,$E$168),""X"","""")"),"X")</f>
        <v>X</v>
      </c>
      <c r="F203" s="734" t="str">
        <f>IFERROR(__xludf.DUMMYFUNCTION("if(REGEXMATCH(AR203,$F$168),""X"","""")"),"X")</f>
        <v>X</v>
      </c>
      <c r="G203" s="734" t="str">
        <f t="shared" si="9"/>
        <v>X</v>
      </c>
      <c r="H203" s="734" t="str">
        <f>IFERROR(__xludf.DUMMYFUNCTION("if(REGEXMATCH(AR203,$H$168),""X"","""")"),"")</f>
        <v/>
      </c>
      <c r="I203" s="800" t="str">
        <f>IFERROR(__xludf.DUMMYFUNCTION("if(REGEXMATCH(AR203,$I$168),""X"","""")"),"")</f>
        <v/>
      </c>
      <c r="J203" s="800" t="str">
        <f>IFERROR(__xludf.DUMMYFUNCTION("if(REGEXMATCH(AR203,$J$168),""X"","""")"),"")</f>
        <v/>
      </c>
      <c r="K203" s="800" t="str">
        <f>IFERROR(__xludf.DUMMYFUNCTION("if(REGEXMATCH(AR203,$K$168),""X"","""")"),"")</f>
        <v/>
      </c>
      <c r="L203" s="800" t="str">
        <f>IFERROR(__xludf.DUMMYFUNCTION("if(REGEXMATCH(AR203,$L$168),""X"","""")"),"X")</f>
        <v>X</v>
      </c>
      <c r="M203" s="800" t="str">
        <f>IFERROR(__xludf.DUMMYFUNCTION("if(REGEXMATCH(AR203,$M$168),""X"","""")"),"")</f>
        <v/>
      </c>
      <c r="N203" s="800" t="str">
        <f>IFERROR(__xludf.DUMMYFUNCTION("if(REGEXMATCH(AR203,$N$168),""X"","""")"),"X")</f>
        <v>X</v>
      </c>
      <c r="O203" s="800" t="str">
        <f>IFERROR(__xludf.DUMMYFUNCTION("if(REGEXMATCH(AR203,$O$168),""X"","""")"),"X")</f>
        <v>X</v>
      </c>
      <c r="P203" s="800" t="str">
        <f>IFERROR(__xludf.DUMMYFUNCTION("if(REGEXMATCH(AR203,""(all)""),""X"",if(REGEXMATCH(AR203,""arcana""),""X"",""""))"),"X")</f>
        <v>X</v>
      </c>
      <c r="Q203" s="800" t="str">
        <f>IFERROR(__xludf.DUMMYFUNCTION("if(REGEXMATCH(AR203,""(all)""),""X"",if(REGEXMATCH(AR203,""dungeoneering""),""X"",""""))"),"")</f>
        <v/>
      </c>
      <c r="R203" s="800" t="str">
        <f>IFERROR(__xludf.DUMMYFUNCTION("if(REGEXMATCH(AR203,""(all)""),""X"",if(REGEXMATCH(AR203,""engineering""),""X"",""""))"),"")</f>
        <v/>
      </c>
      <c r="S203" s="800" t="str">
        <f>IFERROR(__xludf.DUMMYFUNCTION("if(REGEXMATCH(AR203,""(all)""),""X"",if(REGEXMATCH(AR203,""geography""),""X"",""""))"),"X")</f>
        <v>X</v>
      </c>
      <c r="T203" s="800" t="str">
        <f>IFERROR(__xludf.DUMMYFUNCTION("if(REGEXMATCH(AR203,""(all)""),""X"",if(REGEXMATCH(AR203,""history""),""X"",""""))"),"")</f>
        <v/>
      </c>
      <c r="U203" s="800" t="str">
        <f>IFERROR(__xludf.DUMMYFUNCTION("if(REGEXMATCH(AR203,""(all)""),""X"",if(REGEXMATCH(AR203,""local""),""X"",""""))"),"")</f>
        <v/>
      </c>
      <c r="V203" s="800" t="str">
        <f>IFERROR(__xludf.DUMMYFUNCTION("if(REGEXMATCH(AR203,""(all)""),""X"",if(REGEXMATCH(AR203,""nature""),""X"",""""))"),"X")</f>
        <v>X</v>
      </c>
      <c r="W203" s="800" t="str">
        <f>IFERROR(__xludf.DUMMYFUNCTION("if(REGEXMATCH(AR203,""(all)""),""X"",if(REGEXMATCH(AR203,""nobility""),""X"",""""))"),"")</f>
        <v/>
      </c>
      <c r="X203" s="800" t="str">
        <f>IFERROR(__xludf.DUMMYFUNCTION("if(REGEXMATCH(AR203,""(all)""),""X"",if(REGEXMATCH(AR203,""planes""),""X"",""""))"),"")</f>
        <v/>
      </c>
      <c r="Y203" s="800" t="str">
        <f>IFERROR(__xludf.DUMMYFUNCTION("if(REGEXMATCH(AR203,""(all)""),""X"",if(REGEXMATCH(AR203,""religion""),""X"",""""))"),"")</f>
        <v/>
      </c>
      <c r="Z203" s="800" t="str">
        <f>IFERROR(__xludf.DUMMYFUNCTION("if(REGEXMATCH(AR203,$Z$168),""X"","""")"),"")</f>
        <v/>
      </c>
      <c r="AA203" s="800" t="str">
        <f>IFERROR(__xludf.DUMMYFUNCTION("if(REGEXMATCH(AR203,$AA$168),""X"","""")"),"X")</f>
        <v>X</v>
      </c>
      <c r="AB203" s="734" t="str">
        <f>IFERROR(__xludf.DUMMYFUNCTION("if(REGEXMATCH(AR203,""Perform""),""X"","""")"),"")</f>
        <v/>
      </c>
      <c r="AC203" s="734" t="str">
        <f t="shared" si="10"/>
        <v/>
      </c>
      <c r="AD203" s="734" t="str">
        <f>IFERROR(__xludf.DUMMYFUNCTION("if(REGEXMATCH(AR203,""Profession""),""X"","""")"),"X")</f>
        <v>X</v>
      </c>
      <c r="AE203" s="734" t="str">
        <f t="shared" si="11"/>
        <v>X</v>
      </c>
      <c r="AF203" s="800" t="str">
        <f>IFERROR(__xludf.DUMMYFUNCTION("if(REGEXMATCH(AR203,$AF$168),""X"","""")"),"X")</f>
        <v>X</v>
      </c>
      <c r="AG203" s="800" t="str">
        <f>IFERROR(__xludf.DUMMYFUNCTION("if(REGEXMATCH(AR203,$AG$168),""X"","""")"),"X")</f>
        <v>X</v>
      </c>
      <c r="AH203" s="800" t="str">
        <f>IFERROR(__xludf.DUMMYFUNCTION("if(REGEXMATCH(AR203,$AH$168),""X"","""")"),"")</f>
        <v/>
      </c>
      <c r="AI203" s="800" t="str">
        <f>IFERROR(__xludf.DUMMYFUNCTION("if(REGEXMATCH(AR203,$AI$168),""X"","""")"),"X")</f>
        <v>X</v>
      </c>
      <c r="AJ203" s="739" t="str">
        <f>IFERROR(__xludf.DUMMYFUNCTION("if(REGEXMATCH(AR203,$AJ$168),""X"","""")"),"")</f>
        <v/>
      </c>
      <c r="AK203" s="800" t="str">
        <f>IFERROR(__xludf.DUMMYFUNCTION("if(REGEXMATCH(AR203,$AK$168),""X"","""")"),"X")</f>
        <v>X</v>
      </c>
      <c r="AL203" s="800" t="str">
        <f>IFERROR(__xludf.DUMMYFUNCTION("if(REGEXMATCH(AR203,$AL$168),""X"","""")"),"X")</f>
        <v>X</v>
      </c>
      <c r="AM203" s="800" t="str">
        <f>IFERROR(__xludf.DUMMYFUNCTION("if(REGEXMATCH(AR203,$AM$168),""X"","""")"),"")</f>
        <v/>
      </c>
      <c r="AN203" s="800"/>
      <c r="AO203" s="800"/>
      <c r="AP203" s="800" t="str">
        <f>IFERROR(__xludf.DUMMYFUNCTION("if(REGEXMATCH(AR203,""Craft""),""X"","""")"),"X")</f>
        <v>X</v>
      </c>
      <c r="AQ203" s="800" t="str">
        <f>IFERROR(__xludf.DUMMYFUNCTION("if(REGEXMATCH(AR203,""Knowledge""),""X"","""")"),"X")</f>
        <v>X</v>
      </c>
      <c r="AR203" s="807" t="s">
        <v>943</v>
      </c>
      <c r="AS203" s="233"/>
      <c r="AT203" s="233"/>
      <c r="AU203" s="233"/>
      <c r="AV203" s="233"/>
      <c r="AW203" s="233"/>
      <c r="AX203" s="233"/>
      <c r="AY203" s="233"/>
      <c r="AZ203" s="233"/>
      <c r="BA203" s="233"/>
      <c r="BB203" s="233"/>
      <c r="BC203" s="233"/>
      <c r="BD203" s="233"/>
      <c r="BE203" s="233"/>
      <c r="BF203" s="241"/>
      <c r="BG203" s="241"/>
      <c r="BH203" s="241"/>
      <c r="BI203" s="241"/>
      <c r="BJ203" s="241"/>
      <c r="BK203" s="241"/>
      <c r="BL203" s="241"/>
    </row>
    <row r="204">
      <c r="A204" s="385" t="s">
        <v>507</v>
      </c>
      <c r="B204" s="734" t="str">
        <f>IFERROR(__xludf.DUMMYFUNCTION("if(REGEXMATCH(AR204,$B$168),""X"","""")"),"")</f>
        <v/>
      </c>
      <c r="C204" s="734" t="str">
        <f>IFERROR(__xludf.DUMMYFUNCTION("if(REGEXMATCH(AR204,$C$168),""X"","""")"),"X")</f>
        <v>X</v>
      </c>
      <c r="D204" s="800" t="str">
        <f>IFERROR(__xludf.DUMMYFUNCTION("if(REGEXMATCH(AR204,$D$168),""X"","""")"),"X")</f>
        <v>X</v>
      </c>
      <c r="E204" s="734" t="str">
        <f>IFERROR(__xludf.DUMMYFUNCTION("if(REGEXMATCH(AR204,$E$168),""X"","""")"),"")</f>
        <v/>
      </c>
      <c r="F204" s="734" t="str">
        <f>IFERROR(__xludf.DUMMYFUNCTION("if(REGEXMATCH(AR204,$F$168),""X"","""")"),"X")</f>
        <v>X</v>
      </c>
      <c r="G204" s="734" t="str">
        <f t="shared" si="9"/>
        <v>X</v>
      </c>
      <c r="H204" s="734" t="str">
        <f>IFERROR(__xludf.DUMMYFUNCTION("if(REGEXMATCH(AR204,$H$168),""X"","""")"),"X")</f>
        <v>X</v>
      </c>
      <c r="I204" s="800" t="str">
        <f>IFERROR(__xludf.DUMMYFUNCTION("if(REGEXMATCH(AR204,$I$168),""X"","""")"),"")</f>
        <v/>
      </c>
      <c r="J204" s="800" t="str">
        <f>IFERROR(__xludf.DUMMYFUNCTION("if(REGEXMATCH(AR204,$J$168),""X"","""")"),"X")</f>
        <v>X</v>
      </c>
      <c r="K204" s="800" t="str">
        <f>IFERROR(__xludf.DUMMYFUNCTION("if(REGEXMATCH(AR204,$K$168),""X"","""")"),"")</f>
        <v/>
      </c>
      <c r="L204" s="800" t="str">
        <f>IFERROR(__xludf.DUMMYFUNCTION("if(REGEXMATCH(AR204,$L$168),""X"","""")"),"")</f>
        <v/>
      </c>
      <c r="M204" s="800" t="str">
        <f>IFERROR(__xludf.DUMMYFUNCTION("if(REGEXMATCH(AR204,$M$168),""X"","""")"),"")</f>
        <v/>
      </c>
      <c r="N204" s="800" t="str">
        <f>IFERROR(__xludf.DUMMYFUNCTION("if(REGEXMATCH(AR204,$N$168),""X"","""")"),"")</f>
        <v/>
      </c>
      <c r="O204" s="800" t="str">
        <f>IFERROR(__xludf.DUMMYFUNCTION("if(REGEXMATCH(AR204,$O$168),""X"","""")"),"")</f>
        <v/>
      </c>
      <c r="P204" s="800" t="str">
        <f>IFERROR(__xludf.DUMMYFUNCTION("if(REGEXMATCH(AR204,""(all)""),""X"",if(REGEXMATCH(AR204,""arcana""),""X"",""""))"),"X")</f>
        <v>X</v>
      </c>
      <c r="Q204" s="800" t="str">
        <f>IFERROR(__xludf.DUMMYFUNCTION("if(REGEXMATCH(AR204,""(all)""),""X"",if(REGEXMATCH(AR204,""dungeoneering""),""X"",""""))"),"X")</f>
        <v>X</v>
      </c>
      <c r="R204" s="800" t="str">
        <f>IFERROR(__xludf.DUMMYFUNCTION("if(REGEXMATCH(AR204,""(all)""),""X"",if(REGEXMATCH(AR204,""engineering""),""X"",""""))"),"X")</f>
        <v>X</v>
      </c>
      <c r="S204" s="800" t="str">
        <f>IFERROR(__xludf.DUMMYFUNCTION("if(REGEXMATCH(AR204,""(all)""),""X"",if(REGEXMATCH(AR204,""geography""),""X"",""""))"),"X")</f>
        <v>X</v>
      </c>
      <c r="T204" s="800" t="str">
        <f>IFERROR(__xludf.DUMMYFUNCTION("if(REGEXMATCH(AR204,""(all)""),""X"",if(REGEXMATCH(AR204,""history""),""X"",""""))"),"X")</f>
        <v>X</v>
      </c>
      <c r="U204" s="800" t="str">
        <f>IFERROR(__xludf.DUMMYFUNCTION("if(REGEXMATCH(AR204,""(all)""),""X"",if(REGEXMATCH(AR204,""local""),""X"",""""))"),"X")</f>
        <v>X</v>
      </c>
      <c r="V204" s="800" t="str">
        <f>IFERROR(__xludf.DUMMYFUNCTION("if(REGEXMATCH(AR204,""(all)""),""X"",if(REGEXMATCH(AR204,""nature""),""X"",""""))"),"X")</f>
        <v>X</v>
      </c>
      <c r="W204" s="800" t="str">
        <f>IFERROR(__xludf.DUMMYFUNCTION("if(REGEXMATCH(AR204,""(all)""),""X"",if(REGEXMATCH(AR204,""nobility""),""X"",""""))"),"X")</f>
        <v>X</v>
      </c>
      <c r="X204" s="800" t="str">
        <f>IFERROR(__xludf.DUMMYFUNCTION("if(REGEXMATCH(AR204,""(all)""),""X"",if(REGEXMATCH(AR204,""planes""),""X"",""""))"),"X")</f>
        <v>X</v>
      </c>
      <c r="Y204" s="800" t="str">
        <f>IFERROR(__xludf.DUMMYFUNCTION("if(REGEXMATCH(AR204,""(all)""),""X"",if(REGEXMATCH(AR204,""religion""),""X"",""""))"),"X")</f>
        <v>X</v>
      </c>
      <c r="Z204" s="800" t="str">
        <f>IFERROR(__xludf.DUMMYFUNCTION("if(REGEXMATCH(AR204,$Z$168),""X"","""")"),"X")</f>
        <v>X</v>
      </c>
      <c r="AA204" s="800" t="str">
        <f>IFERROR(__xludf.DUMMYFUNCTION("if(REGEXMATCH(AR204,$AA$168),""X"","""")"),"X")</f>
        <v>X</v>
      </c>
      <c r="AB204" s="734" t="str">
        <f>IFERROR(__xludf.DUMMYFUNCTION("if(REGEXMATCH(AR204,""Perform""),""X"","""")"),"")</f>
        <v/>
      </c>
      <c r="AC204" s="734" t="str">
        <f t="shared" si="10"/>
        <v/>
      </c>
      <c r="AD204" s="734" t="str">
        <f>IFERROR(__xludf.DUMMYFUNCTION("if(REGEXMATCH(AR204,""Profession""),""X"","""")"),"X")</f>
        <v>X</v>
      </c>
      <c r="AE204" s="734" t="str">
        <f t="shared" si="11"/>
        <v>X</v>
      </c>
      <c r="AF204" s="800" t="str">
        <f>IFERROR(__xludf.DUMMYFUNCTION("if(REGEXMATCH(AR204,$AF$168),""X"","""")"),"X")</f>
        <v>X</v>
      </c>
      <c r="AG204" s="800" t="str">
        <f>IFERROR(__xludf.DUMMYFUNCTION("if(REGEXMATCH(AR204,$AG$168),""X"","""")"),"X")</f>
        <v>X</v>
      </c>
      <c r="AH204" s="800" t="str">
        <f>IFERROR(__xludf.DUMMYFUNCTION("if(REGEXMATCH(AR204,$AH$168),""X"","""")"),"")</f>
        <v/>
      </c>
      <c r="AI204" s="800" t="str">
        <f>IFERROR(__xludf.DUMMYFUNCTION("if(REGEXMATCH(AR204,$AI$168),""X"","""")"),"X")</f>
        <v>X</v>
      </c>
      <c r="AJ204" s="739" t="str">
        <f>IFERROR(__xludf.DUMMYFUNCTION("if(REGEXMATCH(AR204,$AJ$168),""X"","""")"),"")</f>
        <v/>
      </c>
      <c r="AK204" s="800" t="str">
        <f>IFERROR(__xludf.DUMMYFUNCTION("if(REGEXMATCH(AR204,$AK$168),""X"","""")"),"")</f>
        <v/>
      </c>
      <c r="AL204" s="800" t="str">
        <f>IFERROR(__xludf.DUMMYFUNCTION("if(REGEXMATCH(AR204,$AL$168),""X"","""")"),"")</f>
        <v/>
      </c>
      <c r="AM204" s="800" t="str">
        <f>IFERROR(__xludf.DUMMYFUNCTION("if(REGEXMATCH(AR204,$AM$168),""X"","""")"),"")</f>
        <v/>
      </c>
      <c r="AN204" s="800"/>
      <c r="AO204" s="800"/>
      <c r="AP204" s="800" t="str">
        <f>IFERROR(__xludf.DUMMYFUNCTION("if(REGEXMATCH(AR204,""Craft""),""X"","""")"),"X")</f>
        <v>X</v>
      </c>
      <c r="AQ204" s="800" t="str">
        <f>IFERROR(__xludf.DUMMYFUNCTION("if(REGEXMATCH(AR204,""Knowledge""),""X"","""")"),"X")</f>
        <v>X</v>
      </c>
      <c r="AR204" s="807" t="s">
        <v>947</v>
      </c>
      <c r="AS204" s="233"/>
      <c r="AT204" s="233"/>
      <c r="AU204" s="233"/>
      <c r="AV204" s="233"/>
      <c r="AW204" s="233"/>
      <c r="AX204" s="233"/>
      <c r="AY204" s="233"/>
      <c r="AZ204" s="233"/>
      <c r="BA204" s="233"/>
      <c r="BB204" s="233"/>
      <c r="BC204" s="233"/>
      <c r="BD204" s="233"/>
      <c r="BE204" s="233"/>
      <c r="BF204" s="241"/>
      <c r="BG204" s="241"/>
      <c r="BH204" s="241"/>
      <c r="BI204" s="241"/>
      <c r="BJ204" s="241"/>
      <c r="BK204" s="241"/>
      <c r="BL204" s="241"/>
    </row>
    <row r="205">
      <c r="A205" s="385" t="s">
        <v>508</v>
      </c>
      <c r="B205" s="734" t="str">
        <f>IFERROR(__xludf.DUMMYFUNCTION("if(REGEXMATCH(AR205,$B$168),""X"","""")"),"")</f>
        <v/>
      </c>
      <c r="C205" s="734" t="str">
        <f>IFERROR(__xludf.DUMMYFUNCTION("if(REGEXMATCH(AR205,$C$168),""X"","""")"),"")</f>
        <v/>
      </c>
      <c r="D205" s="800" t="str">
        <f>IFERROR(__xludf.DUMMYFUNCTION("if(REGEXMATCH(AR205,$D$168),""X"","""")"),"X")</f>
        <v>X</v>
      </c>
      <c r="E205" s="734" t="str">
        <f>IFERROR(__xludf.DUMMYFUNCTION("if(REGEXMATCH(AR205,$E$168),""X"","""")"),"X")</f>
        <v>X</v>
      </c>
      <c r="F205" s="734" t="str">
        <f>IFERROR(__xludf.DUMMYFUNCTION("if(REGEXMATCH(AR205,$F$168),""X"","""")"),"X")</f>
        <v>X</v>
      </c>
      <c r="G205" s="734" t="str">
        <f t="shared" si="9"/>
        <v>X</v>
      </c>
      <c r="H205" s="734" t="str">
        <f>IFERROR(__xludf.DUMMYFUNCTION("if(REGEXMATCH(AR205,$H$168),""X"","""")"),"")</f>
        <v/>
      </c>
      <c r="I205" s="800" t="str">
        <f>IFERROR(__xludf.DUMMYFUNCTION("if(REGEXMATCH(AR205,$I$168),""X"","""")"),"")</f>
        <v/>
      </c>
      <c r="J205" s="800" t="str">
        <f>IFERROR(__xludf.DUMMYFUNCTION("if(REGEXMATCH(AR205,$J$168),""X"","""")"),"")</f>
        <v/>
      </c>
      <c r="K205" s="800" t="str">
        <f>IFERROR(__xludf.DUMMYFUNCTION("if(REGEXMATCH(AR205,$K$168),""X"","""")"),"")</f>
        <v/>
      </c>
      <c r="L205" s="800" t="str">
        <f>IFERROR(__xludf.DUMMYFUNCTION("if(REGEXMATCH(AR205,$L$168),""X"","""")"),"")</f>
        <v/>
      </c>
      <c r="M205" s="800" t="str">
        <f>IFERROR(__xludf.DUMMYFUNCTION("if(REGEXMATCH(AR205,$M$168),""X"","""")"),"")</f>
        <v/>
      </c>
      <c r="N205" s="800" t="str">
        <f>IFERROR(__xludf.DUMMYFUNCTION("if(REGEXMATCH(AR205,$N$168),""X"","""")"),"")</f>
        <v/>
      </c>
      <c r="O205" s="800" t="str">
        <f>IFERROR(__xludf.DUMMYFUNCTION("if(REGEXMATCH(AR205,$O$168),""X"","""")"),"X")</f>
        <v>X</v>
      </c>
      <c r="P205" s="800" t="str">
        <f>IFERROR(__xludf.DUMMYFUNCTION("if(REGEXMATCH(AR205,""(all)""),""X"",if(REGEXMATCH(AR205,""arcana""),""X"",""""))"),"X")</f>
        <v>X</v>
      </c>
      <c r="Q205" s="800" t="str">
        <f>IFERROR(__xludf.DUMMYFUNCTION("if(REGEXMATCH(AR205,""(all)""),""X"",if(REGEXMATCH(AR205,""dungeoneering""),""X"",""""))"),"")</f>
        <v/>
      </c>
      <c r="R205" s="800" t="str">
        <f>IFERROR(__xludf.DUMMYFUNCTION("if(REGEXMATCH(AR205,""(all)""),""X"",if(REGEXMATCH(AR205,""engineering""),""X"",""""))"),"")</f>
        <v/>
      </c>
      <c r="S205" s="800" t="str">
        <f>IFERROR(__xludf.DUMMYFUNCTION("if(REGEXMATCH(AR205,""(all)""),""X"",if(REGEXMATCH(AR205,""geography""),""X"",""""))"),"X")</f>
        <v>X</v>
      </c>
      <c r="T205" s="800" t="str">
        <f>IFERROR(__xludf.DUMMYFUNCTION("if(REGEXMATCH(AR205,""(all)""),""X"",if(REGEXMATCH(AR205,""history""),""X"",""""))"),"X")</f>
        <v>X</v>
      </c>
      <c r="U205" s="800" t="str">
        <f>IFERROR(__xludf.DUMMYFUNCTION("if(REGEXMATCH(AR205,""(all)""),""X"",if(REGEXMATCH(AR205,""local""),""X"",""""))"),"")</f>
        <v/>
      </c>
      <c r="V205" s="800" t="str">
        <f>IFERROR(__xludf.DUMMYFUNCTION("if(REGEXMATCH(AR205,""(all)""),""X"",if(REGEXMATCH(AR205,""nature""),""X"",""""))"),"")</f>
        <v/>
      </c>
      <c r="W205" s="800" t="str">
        <f>IFERROR(__xludf.DUMMYFUNCTION("if(REGEXMATCH(AR205,""(all)""),""X"",if(REGEXMATCH(AR205,""nobility""),""X"",""""))"),"")</f>
        <v/>
      </c>
      <c r="X205" s="800" t="str">
        <f>IFERROR(__xludf.DUMMYFUNCTION("if(REGEXMATCH(AR205,""(all)""),""X"",if(REGEXMATCH(AR205,""planes""),""X"",""""))"),"X")</f>
        <v>X</v>
      </c>
      <c r="Y205" s="800" t="str">
        <f>IFERROR(__xludf.DUMMYFUNCTION("if(REGEXMATCH(AR205,""(all)""),""X"",if(REGEXMATCH(AR205,""religion""),""X"",""""))"),"X")</f>
        <v>X</v>
      </c>
      <c r="Z205" s="800" t="str">
        <f>IFERROR(__xludf.DUMMYFUNCTION("if(REGEXMATCH(AR205,$Z$168),""X"","""")"),"")</f>
        <v/>
      </c>
      <c r="AA205" s="800" t="str">
        <f>IFERROR(__xludf.DUMMYFUNCTION("if(REGEXMATCH(AR205,$AA$168),""X"","""")"),"X")</f>
        <v>X</v>
      </c>
      <c r="AB205" s="734" t="str">
        <f>IFERROR(__xludf.DUMMYFUNCTION("if(REGEXMATCH(AR205,""Perform""),""X"","""")"),"")</f>
        <v/>
      </c>
      <c r="AC205" s="734" t="str">
        <f t="shared" si="10"/>
        <v/>
      </c>
      <c r="AD205" s="734" t="str">
        <f>IFERROR(__xludf.DUMMYFUNCTION("if(REGEXMATCH(AR205,""Profession""),""X"","""")"),"")</f>
        <v/>
      </c>
      <c r="AE205" s="734" t="str">
        <f t="shared" si="11"/>
        <v/>
      </c>
      <c r="AF205" s="800" t="str">
        <f>IFERROR(__xludf.DUMMYFUNCTION("if(REGEXMATCH(AR205,$AF$168),""X"","""")"),"")</f>
        <v/>
      </c>
      <c r="AG205" s="800" t="str">
        <f>IFERROR(__xludf.DUMMYFUNCTION("if(REGEXMATCH(AR205,$AG$168),""X"","""")"),"X")</f>
        <v>X</v>
      </c>
      <c r="AH205" s="800" t="str">
        <f>IFERROR(__xludf.DUMMYFUNCTION("if(REGEXMATCH(AR205,$AH$168),""X"","""")"),"")</f>
        <v/>
      </c>
      <c r="AI205" s="800" t="str">
        <f>IFERROR(__xludf.DUMMYFUNCTION("if(REGEXMATCH(AR205,$AI$168),""X"","""")"),"X")</f>
        <v>X</v>
      </c>
      <c r="AJ205" s="739" t="str">
        <f>IFERROR(__xludf.DUMMYFUNCTION("if(REGEXMATCH(AR205,$AJ$168),""X"","""")"),"")</f>
        <v/>
      </c>
      <c r="AK205" s="800" t="str">
        <f>IFERROR(__xludf.DUMMYFUNCTION("if(REGEXMATCH(AR205,$AK$168),""X"","""")"),"")</f>
        <v/>
      </c>
      <c r="AL205" s="800" t="str">
        <f>IFERROR(__xludf.DUMMYFUNCTION("if(REGEXMATCH(AR205,$AL$168),""X"","""")"),"X")</f>
        <v>X</v>
      </c>
      <c r="AM205" s="800" t="str">
        <f>IFERROR(__xludf.DUMMYFUNCTION("if(REGEXMATCH(AR205,$AM$168),""X"","""")"),"X")</f>
        <v>X</v>
      </c>
      <c r="AN205" s="800"/>
      <c r="AO205" s="800"/>
      <c r="AP205" s="800" t="str">
        <f>IFERROR(__xludf.DUMMYFUNCTION("if(REGEXMATCH(AR205,""Craft""),""X"","""")"),"X")</f>
        <v>X</v>
      </c>
      <c r="AQ205" s="800" t="str">
        <f>IFERROR(__xludf.DUMMYFUNCTION("if(REGEXMATCH(AR205,""Knowledge""),""X"","""")"),"X")</f>
        <v>X</v>
      </c>
      <c r="AR205" s="807" t="s">
        <v>966</v>
      </c>
      <c r="AS205" s="233"/>
      <c r="AT205" s="233"/>
      <c r="AU205" s="233"/>
      <c r="AV205" s="233"/>
      <c r="AW205" s="233"/>
      <c r="AX205" s="233"/>
      <c r="AY205" s="233"/>
      <c r="AZ205" s="233"/>
      <c r="BA205" s="233"/>
      <c r="BB205" s="233"/>
      <c r="BC205" s="233"/>
      <c r="BD205" s="233"/>
      <c r="BE205" s="233"/>
      <c r="BF205" s="241"/>
      <c r="BG205" s="241"/>
      <c r="BH205" s="241"/>
      <c r="BI205" s="241"/>
      <c r="BJ205" s="241"/>
      <c r="BK205" s="241"/>
      <c r="BL205" s="241"/>
    </row>
    <row r="206">
      <c r="A206" s="385" t="s">
        <v>509</v>
      </c>
      <c r="B206" s="734" t="str">
        <f>IFERROR(__xludf.DUMMYFUNCTION("if(REGEXMATCH(AR206,$B$168),""X"","""")"),"X")</f>
        <v>X</v>
      </c>
      <c r="C206" s="734" t="str">
        <f>IFERROR(__xludf.DUMMYFUNCTION("if(REGEXMATCH(AR206,$C$168),""X"","""")"),"")</f>
        <v/>
      </c>
      <c r="D206" s="800" t="str">
        <f>IFERROR(__xludf.DUMMYFUNCTION("if(REGEXMATCH(AR206,$D$168),""X"","""")"),"X")</f>
        <v>X</v>
      </c>
      <c r="E206" s="734" t="str">
        <f>IFERROR(__xludf.DUMMYFUNCTION("if(REGEXMATCH(AR206,$E$168),""X"","""")"),"X")</f>
        <v>X</v>
      </c>
      <c r="F206" s="734" t="str">
        <f>IFERROR(__xludf.DUMMYFUNCTION("if(REGEXMATCH(AR206,$F$168),""X"","""")"),"X")</f>
        <v>X</v>
      </c>
      <c r="G206" s="734" t="str">
        <f t="shared" si="9"/>
        <v>X</v>
      </c>
      <c r="H206" s="734" t="str">
        <f>IFERROR(__xludf.DUMMYFUNCTION("if(REGEXMATCH(AR206,$H$168),""X"","""")"),"X")</f>
        <v>X</v>
      </c>
      <c r="I206" s="800" t="str">
        <f>IFERROR(__xludf.DUMMYFUNCTION("if(REGEXMATCH(AR206,$I$168),""X"","""")"),"")</f>
        <v/>
      </c>
      <c r="J206" s="800" t="str">
        <f>IFERROR(__xludf.DUMMYFUNCTION("if(REGEXMATCH(AR206,$J$168),""X"","""")"),"")</f>
        <v/>
      </c>
      <c r="K206" s="800" t="str">
        <f>IFERROR(__xludf.DUMMYFUNCTION("if(REGEXMATCH(AR206,$K$168),""X"","""")"),"")</f>
        <v/>
      </c>
      <c r="L206" s="800" t="str">
        <f>IFERROR(__xludf.DUMMYFUNCTION("if(REGEXMATCH(AR206,$L$168),""X"","""")"),"X")</f>
        <v>X</v>
      </c>
      <c r="M206" s="800" t="str">
        <f>IFERROR(__xludf.DUMMYFUNCTION("if(REGEXMATCH(AR206,$M$168),""X"","""")"),"")</f>
        <v/>
      </c>
      <c r="N206" s="800" t="str">
        <f>IFERROR(__xludf.DUMMYFUNCTION("if(REGEXMATCH(AR206,$N$168),""X"","""")"),"X")</f>
        <v>X</v>
      </c>
      <c r="O206" s="800" t="str">
        <f>IFERROR(__xludf.DUMMYFUNCTION("if(REGEXMATCH(AR206,$O$168),""X"","""")"),"X")</f>
        <v>X</v>
      </c>
      <c r="P206" s="800" t="str">
        <f>IFERROR(__xludf.DUMMYFUNCTION("if(REGEXMATCH(AR206,""(all)""),""X"",if(REGEXMATCH(AR206,""arcana""),""X"",""""))"),"X")</f>
        <v>X</v>
      </c>
      <c r="Q206" s="800" t="str">
        <f>IFERROR(__xludf.DUMMYFUNCTION("if(REGEXMATCH(AR206,""(all)""),""X"",if(REGEXMATCH(AR206,""dungeoneering""),""X"",""""))"),"")</f>
        <v/>
      </c>
      <c r="R206" s="800" t="str">
        <f>IFERROR(__xludf.DUMMYFUNCTION("if(REGEXMATCH(AR206,""(all)""),""X"",if(REGEXMATCH(AR206,""engineering""),""X"",""""))"),"")</f>
        <v/>
      </c>
      <c r="S206" s="800" t="str">
        <f>IFERROR(__xludf.DUMMYFUNCTION("if(REGEXMATCH(AR206,""(all)""),""X"",if(REGEXMATCH(AR206,""geography""),""X"",""""))"),"")</f>
        <v/>
      </c>
      <c r="T206" s="800" t="str">
        <f>IFERROR(__xludf.DUMMYFUNCTION("if(REGEXMATCH(AR206,""(all)""),""X"",if(REGEXMATCH(AR206,""history""),""X"",""""))"),"")</f>
        <v/>
      </c>
      <c r="U206" s="800" t="str">
        <f>IFERROR(__xludf.DUMMYFUNCTION("if(REGEXMATCH(AR206,""(all)""),""X"",if(REGEXMATCH(AR206,""local""),""X"",""""))"),"X")</f>
        <v>X</v>
      </c>
      <c r="V206" s="800" t="str">
        <f>IFERROR(__xludf.DUMMYFUNCTION("if(REGEXMATCH(AR206,""(all)""),""X"",if(REGEXMATCH(AR206,""nature""),""X"",""""))"),"")</f>
        <v/>
      </c>
      <c r="W206" s="800" t="str">
        <f>IFERROR(__xludf.DUMMYFUNCTION("if(REGEXMATCH(AR206,""(all)""),""X"",if(REGEXMATCH(AR206,""nobility""),""X"",""""))"),"X")</f>
        <v>X</v>
      </c>
      <c r="X206" s="800" t="str">
        <f>IFERROR(__xludf.DUMMYFUNCTION("if(REGEXMATCH(AR206,""(all)""),""X"",if(REGEXMATCH(AR206,""planes""),""X"",""""))"),"")</f>
        <v/>
      </c>
      <c r="Y206" s="800" t="str">
        <f>IFERROR(__xludf.DUMMYFUNCTION("if(REGEXMATCH(AR206,""(all)""),""X"",if(REGEXMATCH(AR206,""religion""),""X"",""""))"),"X")</f>
        <v>X</v>
      </c>
      <c r="Z206" s="800" t="str">
        <f>IFERROR(__xludf.DUMMYFUNCTION("if(REGEXMATCH(AR206,$Z$168),""X"","""")"),"X")</f>
        <v>X</v>
      </c>
      <c r="AA206" s="800" t="str">
        <f>IFERROR(__xludf.DUMMYFUNCTION("if(REGEXMATCH(AR206,$AA$168),""X"","""")"),"")</f>
        <v/>
      </c>
      <c r="AB206" s="734" t="str">
        <f>IFERROR(__xludf.DUMMYFUNCTION("if(REGEXMATCH(AR206,""Perform""),""X"","""")"),"")</f>
        <v/>
      </c>
      <c r="AC206" s="734" t="str">
        <f t="shared" si="10"/>
        <v/>
      </c>
      <c r="AD206" s="734" t="str">
        <f>IFERROR(__xludf.DUMMYFUNCTION("if(REGEXMATCH(AR206,""Profession""),""X"","""")"),"X")</f>
        <v>X</v>
      </c>
      <c r="AE206" s="734" t="str">
        <f t="shared" si="11"/>
        <v>X</v>
      </c>
      <c r="AF206" s="800" t="str">
        <f>IFERROR(__xludf.DUMMYFUNCTION("if(REGEXMATCH(AR206,$AF$168),""X"","""")"),"")</f>
        <v/>
      </c>
      <c r="AG206" s="800" t="str">
        <f>IFERROR(__xludf.DUMMYFUNCTION("if(REGEXMATCH(AR206,$AG$168),""X"","""")"),"X")</f>
        <v>X</v>
      </c>
      <c r="AH206" s="800" t="str">
        <f>IFERROR(__xludf.DUMMYFUNCTION("if(REGEXMATCH(AR206,$AH$168),""X"","""")"),"")</f>
        <v/>
      </c>
      <c r="AI206" s="800" t="str">
        <f>IFERROR(__xludf.DUMMYFUNCTION("if(REGEXMATCH(AR206,$AI$168),""X"","""")"),"X")</f>
        <v>X</v>
      </c>
      <c r="AJ206" s="739" t="str">
        <f>IFERROR(__xludf.DUMMYFUNCTION("if(REGEXMATCH(AR206,$AJ$168),""X"","""")"),"X")</f>
        <v>X</v>
      </c>
      <c r="AK206" s="800" t="str">
        <f>IFERROR(__xludf.DUMMYFUNCTION("if(REGEXMATCH(AR206,$AK$168),""X"","""")"),"X")</f>
        <v>X</v>
      </c>
      <c r="AL206" s="800" t="str">
        <f>IFERROR(__xludf.DUMMYFUNCTION("if(REGEXMATCH(AR206,$AL$168),""X"","""")"),"")</f>
        <v/>
      </c>
      <c r="AM206" s="800" t="str">
        <f>IFERROR(__xludf.DUMMYFUNCTION("if(REGEXMATCH(AR206,$AM$168),""X"","""")"),"")</f>
        <v/>
      </c>
      <c r="AN206" s="800"/>
      <c r="AO206" s="800"/>
      <c r="AP206" s="800" t="str">
        <f>IFERROR(__xludf.DUMMYFUNCTION("if(REGEXMATCH(AR206,""Craft""),""X"","""")"),"X")</f>
        <v>X</v>
      </c>
      <c r="AQ206" s="800" t="str">
        <f>IFERROR(__xludf.DUMMYFUNCTION("if(REGEXMATCH(AR206,""Knowledge""),""X"","""")"),"X")</f>
        <v>X</v>
      </c>
      <c r="AR206" s="807" t="s">
        <v>972</v>
      </c>
      <c r="AS206" s="233"/>
      <c r="AT206" s="233"/>
      <c r="AU206" s="233"/>
      <c r="AV206" s="233"/>
      <c r="AW206" s="233"/>
      <c r="AX206" s="233"/>
      <c r="AY206" s="233"/>
      <c r="AZ206" s="233"/>
      <c r="BA206" s="233"/>
      <c r="BB206" s="233"/>
      <c r="BC206" s="233"/>
      <c r="BD206" s="233"/>
      <c r="BE206" s="233"/>
      <c r="BF206" s="241"/>
      <c r="BG206" s="315"/>
      <c r="BH206" s="241"/>
      <c r="BI206" s="241"/>
      <c r="BJ206" s="241"/>
      <c r="BK206" s="241"/>
      <c r="BL206" s="241"/>
    </row>
    <row r="207">
      <c r="A207" s="385" t="s">
        <v>510</v>
      </c>
      <c r="B207" s="734" t="str">
        <f>IFERROR(__xludf.DUMMYFUNCTION("if(REGEXMATCH(AR207,$B$168),""X"","""")"),"X")</f>
        <v>X</v>
      </c>
      <c r="C207" s="734" t="str">
        <f>IFERROR(__xludf.DUMMYFUNCTION("if(REGEXMATCH(AR207,$C$168),""X"","""")"),"")</f>
        <v/>
      </c>
      <c r="D207" s="800" t="str">
        <f>IFERROR(__xludf.DUMMYFUNCTION("if(REGEXMATCH(AR207,$D$168),""X"","""")"),"")</f>
        <v/>
      </c>
      <c r="E207" s="734" t="str">
        <f>IFERROR(__xludf.DUMMYFUNCTION("if(REGEXMATCH(AR207,$E$168),""X"","""")"),"")</f>
        <v/>
      </c>
      <c r="F207" s="734" t="str">
        <f>IFERROR(__xludf.DUMMYFUNCTION("if(REGEXMATCH(AR207,$F$168),""X"","""")"),"X")</f>
        <v>X</v>
      </c>
      <c r="G207" s="734" t="str">
        <f t="shared" si="9"/>
        <v>X</v>
      </c>
      <c r="H207" s="734" t="str">
        <f>IFERROR(__xludf.DUMMYFUNCTION("if(REGEXMATCH(AR207,$H$168),""X"","""")"),"")</f>
        <v/>
      </c>
      <c r="I207" s="800" t="str">
        <f>IFERROR(__xludf.DUMMYFUNCTION("if(REGEXMATCH(AR207,$I$168),""X"","""")"),"")</f>
        <v/>
      </c>
      <c r="J207" s="800" t="str">
        <f>IFERROR(__xludf.DUMMYFUNCTION("if(REGEXMATCH(AR207,$J$168),""X"","""")"),"")</f>
        <v/>
      </c>
      <c r="K207" s="800" t="str">
        <f>IFERROR(__xludf.DUMMYFUNCTION("if(REGEXMATCH(AR207,$K$168),""X"","""")"),"")</f>
        <v/>
      </c>
      <c r="L207" s="800" t="str">
        <f>IFERROR(__xludf.DUMMYFUNCTION("if(REGEXMATCH(AR207,$L$168),""X"","""")"),"")</f>
        <v/>
      </c>
      <c r="M207" s="800" t="str">
        <f>IFERROR(__xludf.DUMMYFUNCTION("if(REGEXMATCH(AR207,$M$168),""X"","""")"),"")</f>
        <v/>
      </c>
      <c r="N207" s="800" t="str">
        <f>IFERROR(__xludf.DUMMYFUNCTION("if(REGEXMATCH(AR207,$N$168),""X"","""")"),"")</f>
        <v/>
      </c>
      <c r="O207" s="800" t="str">
        <f>IFERROR(__xludf.DUMMYFUNCTION("if(REGEXMATCH(AR207,$O$168),""X"","""")"),"X")</f>
        <v>X</v>
      </c>
      <c r="P207" s="800" t="str">
        <f>IFERROR(__xludf.DUMMYFUNCTION("if(REGEXMATCH(AR207,""(all)""),""X"",if(REGEXMATCH(AR207,""arcana""),""X"",""""))"),"X")</f>
        <v>X</v>
      </c>
      <c r="Q207" s="800" t="str">
        <f>IFERROR(__xludf.DUMMYFUNCTION("if(REGEXMATCH(AR207,""(all)""),""X"",if(REGEXMATCH(AR207,""dungeoneering""),""X"",""""))"),"X")</f>
        <v>X</v>
      </c>
      <c r="R207" s="800" t="str">
        <f>IFERROR(__xludf.DUMMYFUNCTION("if(REGEXMATCH(AR207,""(all)""),""X"",if(REGEXMATCH(AR207,""engineering""),""X"",""""))"),"X")</f>
        <v>X</v>
      </c>
      <c r="S207" s="800" t="str">
        <f>IFERROR(__xludf.DUMMYFUNCTION("if(REGEXMATCH(AR207,""(all)""),""X"",if(REGEXMATCH(AR207,""geography""),""X"",""""))"),"X")</f>
        <v>X</v>
      </c>
      <c r="T207" s="800" t="str">
        <f>IFERROR(__xludf.DUMMYFUNCTION("if(REGEXMATCH(AR207,""(all)""),""X"",if(REGEXMATCH(AR207,""history""),""X"",""""))"),"X")</f>
        <v>X</v>
      </c>
      <c r="U207" s="800" t="str">
        <f>IFERROR(__xludf.DUMMYFUNCTION("if(REGEXMATCH(AR207,""(all)""),""X"",if(REGEXMATCH(AR207,""local""),""X"",""""))"),"X")</f>
        <v>X</v>
      </c>
      <c r="V207" s="800" t="str">
        <f>IFERROR(__xludf.DUMMYFUNCTION("if(REGEXMATCH(AR207,""(all)""),""X"",if(REGEXMATCH(AR207,""nature""),""X"",""""))"),"X")</f>
        <v>X</v>
      </c>
      <c r="W207" s="800" t="str">
        <f>IFERROR(__xludf.DUMMYFUNCTION("if(REGEXMATCH(AR207,""(all)""),""X"",if(REGEXMATCH(AR207,""nobility""),""X"",""""))"),"X")</f>
        <v>X</v>
      </c>
      <c r="X207" s="800" t="str">
        <f>IFERROR(__xludf.DUMMYFUNCTION("if(REGEXMATCH(AR207,""(all)""),""X"",if(REGEXMATCH(AR207,""planes""),""X"",""""))"),"X")</f>
        <v>X</v>
      </c>
      <c r="Y207" s="800" t="str">
        <f>IFERROR(__xludf.DUMMYFUNCTION("if(REGEXMATCH(AR207,""(all)""),""X"",if(REGEXMATCH(AR207,""religion""),""X"",""""))"),"X")</f>
        <v>X</v>
      </c>
      <c r="Z207" s="800" t="str">
        <f>IFERROR(__xludf.DUMMYFUNCTION("if(REGEXMATCH(AR207,$Z$168),""X"","""")"),"")</f>
        <v/>
      </c>
      <c r="AA207" s="800" t="str">
        <f>IFERROR(__xludf.DUMMYFUNCTION("if(REGEXMATCH(AR207,$AA$168),""X"","""")"),"X")</f>
        <v>X</v>
      </c>
      <c r="AB207" s="734" t="str">
        <f>IFERROR(__xludf.DUMMYFUNCTION("if(REGEXMATCH(AR207,""Perform""),""X"","""")"),"X")</f>
        <v>X</v>
      </c>
      <c r="AC207" s="734" t="str">
        <f t="shared" si="10"/>
        <v>X</v>
      </c>
      <c r="AD207" s="734" t="str">
        <f>IFERROR(__xludf.DUMMYFUNCTION("if(REGEXMATCH(AR207,""Profession""),""X"","""")"),"X")</f>
        <v>X</v>
      </c>
      <c r="AE207" s="734" t="str">
        <f t="shared" si="11"/>
        <v>X</v>
      </c>
      <c r="AF207" s="800" t="str">
        <f>IFERROR(__xludf.DUMMYFUNCTION("if(REGEXMATCH(AR207,$AF$168),""X"","""")"),"")</f>
        <v/>
      </c>
      <c r="AG207" s="800" t="str">
        <f>IFERROR(__xludf.DUMMYFUNCTION("if(REGEXMATCH(AR207,$AG$168),""X"","""")"),"X")</f>
        <v>X</v>
      </c>
      <c r="AH207" s="800" t="str">
        <f>IFERROR(__xludf.DUMMYFUNCTION("if(REGEXMATCH(AR207,$AH$168),""X"","""")"),"")</f>
        <v/>
      </c>
      <c r="AI207" s="800" t="str">
        <f>IFERROR(__xludf.DUMMYFUNCTION("if(REGEXMATCH(AR207,$AI$168),""X"","""")"),"X")</f>
        <v>X</v>
      </c>
      <c r="AJ207" s="739" t="str">
        <f>IFERROR(__xludf.DUMMYFUNCTION("if(REGEXMATCH(AR207,$AJ$168),""X"","""")"),"X")</f>
        <v>X</v>
      </c>
      <c r="AK207" s="800" t="str">
        <f>IFERROR(__xludf.DUMMYFUNCTION("if(REGEXMATCH(AR207,$AK$168),""X"","""")"),"")</f>
        <v/>
      </c>
      <c r="AL207" s="800" t="str">
        <f>IFERROR(__xludf.DUMMYFUNCTION("if(REGEXMATCH(AR207,$AL$168),""X"","""")"),"")</f>
        <v/>
      </c>
      <c r="AM207" s="800" t="str">
        <f>IFERROR(__xludf.DUMMYFUNCTION("if(REGEXMATCH(AR207,$AM$168),""X"","""")"),"X")</f>
        <v>X</v>
      </c>
      <c r="AN207" s="800"/>
      <c r="AO207" s="800"/>
      <c r="AP207" s="800" t="str">
        <f>IFERROR(__xludf.DUMMYFUNCTION("if(REGEXMATCH(AR207,""Craft""),""X"","""")"),"X")</f>
        <v>X</v>
      </c>
      <c r="AQ207" s="800" t="str">
        <f>IFERROR(__xludf.DUMMYFUNCTION("if(REGEXMATCH(AR207,""Knowledge""),""X"","""")"),"X")</f>
        <v>X</v>
      </c>
      <c r="AR207" s="807" t="s">
        <v>974</v>
      </c>
      <c r="AS207" s="233"/>
      <c r="AT207" s="233"/>
      <c r="AU207" s="233"/>
      <c r="AV207" s="233"/>
      <c r="AW207" s="233"/>
      <c r="AX207" s="233"/>
      <c r="AY207" s="233"/>
      <c r="AZ207" s="233"/>
      <c r="BA207" s="233"/>
      <c r="BB207" s="233"/>
      <c r="BC207" s="233"/>
      <c r="BD207" s="233"/>
      <c r="BE207" s="233"/>
      <c r="BF207" s="241"/>
      <c r="BG207" s="315"/>
      <c r="BH207" s="241"/>
      <c r="BI207" s="241"/>
      <c r="BJ207" s="241"/>
      <c r="BK207" s="241"/>
      <c r="BL207" s="241"/>
    </row>
    <row r="208">
      <c r="A208" s="385" t="s">
        <v>511</v>
      </c>
      <c r="B208" s="734" t="str">
        <f>IFERROR(__xludf.DUMMYFUNCTION("if(REGEXMATCH(AR208,$B$168),""X"","""")"),"")</f>
        <v/>
      </c>
      <c r="C208" s="734" t="str">
        <f>IFERROR(__xludf.DUMMYFUNCTION("if(REGEXMATCH(AR208,$C$168),""X"","""")"),"")</f>
        <v/>
      </c>
      <c r="D208" s="800" t="str">
        <f>IFERROR(__xludf.DUMMYFUNCTION("if(REGEXMATCH(AR208,$D$168),""X"","""")"),"X")</f>
        <v>X</v>
      </c>
      <c r="E208" s="734" t="str">
        <f>IFERROR(__xludf.DUMMYFUNCTION("if(REGEXMATCH(AR208,$E$168),""X"","""")"),"")</f>
        <v/>
      </c>
      <c r="F208" s="734" t="str">
        <f>IFERROR(__xludf.DUMMYFUNCTION("if(REGEXMATCH(AR208,$F$168),""X"","""")"),"X")</f>
        <v>X</v>
      </c>
      <c r="G208" s="734" t="str">
        <f t="shared" si="9"/>
        <v>X</v>
      </c>
      <c r="H208" s="734" t="str">
        <f>IFERROR(__xludf.DUMMYFUNCTION("if(REGEXMATCH(AR208,$H$168),""X"","""")"),"X")</f>
        <v>X</v>
      </c>
      <c r="I208" s="800" t="str">
        <f>IFERROR(__xludf.DUMMYFUNCTION("if(REGEXMATCH(AR208,$I$168),""X"","""")"),"")</f>
        <v/>
      </c>
      <c r="J208" s="800" t="str">
        <f>IFERROR(__xludf.DUMMYFUNCTION("if(REGEXMATCH(AR208,$J$168),""X"","""")"),"")</f>
        <v/>
      </c>
      <c r="K208" s="800" t="str">
        <f>IFERROR(__xludf.DUMMYFUNCTION("if(REGEXMATCH(AR208,$K$168),""X"","""")"),"")</f>
        <v/>
      </c>
      <c r="L208" s="800" t="str">
        <f>IFERROR(__xludf.DUMMYFUNCTION("if(REGEXMATCH(AR208,$L$168),""X"","""")"),"")</f>
        <v/>
      </c>
      <c r="M208" s="800" t="str">
        <f>IFERROR(__xludf.DUMMYFUNCTION("if(REGEXMATCH(AR208,$M$168),""X"","""")"),"")</f>
        <v/>
      </c>
      <c r="N208" s="800" t="str">
        <f>IFERROR(__xludf.DUMMYFUNCTION("if(REGEXMATCH(AR208,$N$168),""X"","""")"),"X")</f>
        <v>X</v>
      </c>
      <c r="O208" s="800" t="str">
        <f>IFERROR(__xludf.DUMMYFUNCTION("if(REGEXMATCH(AR208,$O$168),""X"","""")"),"X")</f>
        <v>X</v>
      </c>
      <c r="P208" s="800" t="str">
        <f>IFERROR(__xludf.DUMMYFUNCTION("if(REGEXMATCH(AR208,""(all)""),""X"",if(REGEXMATCH(AR208,""arcana""),""X"",""""))"),"")</f>
        <v/>
      </c>
      <c r="Q208" s="800" t="str">
        <f>IFERROR(__xludf.DUMMYFUNCTION("if(REGEXMATCH(AR208,""(all)""),""X"",if(REGEXMATCH(AR208,""dungeoneering""),""X"",""""))"),"")</f>
        <v/>
      </c>
      <c r="R208" s="800" t="str">
        <f>IFERROR(__xludf.DUMMYFUNCTION("if(REGEXMATCH(AR208,""(all)""),""X"",if(REGEXMATCH(AR208,""engineering""),""X"",""""))"),"")</f>
        <v/>
      </c>
      <c r="S208" s="800" t="str">
        <f>IFERROR(__xludf.DUMMYFUNCTION("if(REGEXMATCH(AR208,""(all)""),""X"",if(REGEXMATCH(AR208,""geography""),""X"",""""))"),"")</f>
        <v/>
      </c>
      <c r="T208" s="800" t="str">
        <f>IFERROR(__xludf.DUMMYFUNCTION("if(REGEXMATCH(AR208,""(all)""),""X"",if(REGEXMATCH(AR208,""history""),""X"",""""))"),"X")</f>
        <v>X</v>
      </c>
      <c r="U208" s="800" t="str">
        <f>IFERROR(__xludf.DUMMYFUNCTION("if(REGEXMATCH(AR208,""(all)""),""X"",if(REGEXMATCH(AR208,""local""),""X"",""""))"),"")</f>
        <v/>
      </c>
      <c r="V208" s="800" t="str">
        <f>IFERROR(__xludf.DUMMYFUNCTION("if(REGEXMATCH(AR208,""(all)""),""X"",if(REGEXMATCH(AR208,""nature""),""X"",""""))"),"")</f>
        <v/>
      </c>
      <c r="W208" s="800" t="str">
        <f>IFERROR(__xludf.DUMMYFUNCTION("if(REGEXMATCH(AR208,""(all)""),""X"",if(REGEXMATCH(AR208,""nobility""),""X"",""""))"),"X")</f>
        <v>X</v>
      </c>
      <c r="X208" s="800" t="str">
        <f>IFERROR(__xludf.DUMMYFUNCTION("if(REGEXMATCH(AR208,""(all)""),""X"",if(REGEXMATCH(AR208,""planes""),""X"",""""))"),"")</f>
        <v/>
      </c>
      <c r="Y208" s="800" t="str">
        <f>IFERROR(__xludf.DUMMYFUNCTION("if(REGEXMATCH(AR208,""(all)""),""X"",if(REGEXMATCH(AR208,""religion""),""X"",""""))"),"X")</f>
        <v>X</v>
      </c>
      <c r="Z208" s="800" t="str">
        <f>IFERROR(__xludf.DUMMYFUNCTION("if(REGEXMATCH(AR208,$Z$168),""X"","""")"),"")</f>
        <v/>
      </c>
      <c r="AA208" s="800" t="str">
        <f>IFERROR(__xludf.DUMMYFUNCTION("if(REGEXMATCH(AR208,$AA$168),""X"","""")"),"X")</f>
        <v>X</v>
      </c>
      <c r="AB208" s="734" t="str">
        <f>IFERROR(__xludf.DUMMYFUNCTION("if(REGEXMATCH(AR208,""Perform""),""X"","""")"),"")</f>
        <v/>
      </c>
      <c r="AC208" s="734" t="str">
        <f t="shared" si="10"/>
        <v/>
      </c>
      <c r="AD208" s="734" t="str">
        <f>IFERROR(__xludf.DUMMYFUNCTION("if(REGEXMATCH(AR208,""Profession""),""X"","""")"),"X")</f>
        <v>X</v>
      </c>
      <c r="AE208" s="734" t="str">
        <f t="shared" si="11"/>
        <v>X</v>
      </c>
      <c r="AF208" s="800" t="str">
        <f>IFERROR(__xludf.DUMMYFUNCTION("if(REGEXMATCH(AR208,$AF$168),""X"","""")"),"")</f>
        <v/>
      </c>
      <c r="AG208" s="800" t="str">
        <f>IFERROR(__xludf.DUMMYFUNCTION("if(REGEXMATCH(AR208,$AG$168),""X"","""")"),"X")</f>
        <v>X</v>
      </c>
      <c r="AH208" s="800" t="str">
        <f>IFERROR(__xludf.DUMMYFUNCTION("if(REGEXMATCH(AR208,$AH$168),""X"","""")"),"")</f>
        <v/>
      </c>
      <c r="AI208" s="800" t="str">
        <f>IFERROR(__xludf.DUMMYFUNCTION("if(REGEXMATCH(AR208,$AI$168),""X"","""")"),"")</f>
        <v/>
      </c>
      <c r="AJ208" s="739" t="str">
        <f>IFERROR(__xludf.DUMMYFUNCTION("if(REGEXMATCH(AR208,$AJ$168),""X"","""")"),"")</f>
        <v/>
      </c>
      <c r="AK208" s="800" t="str">
        <f>IFERROR(__xludf.DUMMYFUNCTION("if(REGEXMATCH(AR208,$AK$168),""X"","""")"),"")</f>
        <v/>
      </c>
      <c r="AL208" s="800" t="str">
        <f>IFERROR(__xludf.DUMMYFUNCTION("if(REGEXMATCH(AR208,$AL$168),""X"","""")"),"")</f>
        <v/>
      </c>
      <c r="AM208" s="800" t="str">
        <f>IFERROR(__xludf.DUMMYFUNCTION("if(REGEXMATCH(AR208,$AM$168),""X"","""")"),"")</f>
        <v/>
      </c>
      <c r="AN208" s="800"/>
      <c r="AO208" s="800"/>
      <c r="AP208" s="800" t="str">
        <f>IFERROR(__xludf.DUMMYFUNCTION("if(REGEXMATCH(AR208,""Craft""),""X"","""")"),"X")</f>
        <v>X</v>
      </c>
      <c r="AQ208" s="800" t="str">
        <f>IFERROR(__xludf.DUMMYFUNCTION("if(REGEXMATCH(AR208,""Knowledge""),""X"","""")"),"X")</f>
        <v>X</v>
      </c>
      <c r="AR208" s="807" t="s">
        <v>980</v>
      </c>
      <c r="AS208" s="233"/>
      <c r="AT208" s="233"/>
      <c r="AU208" s="233"/>
      <c r="AV208" s="233"/>
      <c r="AW208" s="233"/>
      <c r="AX208" s="233"/>
      <c r="AY208" s="233"/>
      <c r="AZ208" s="233"/>
      <c r="BA208" s="233"/>
      <c r="BB208" s="233"/>
      <c r="BC208" s="233"/>
      <c r="BD208" s="233"/>
      <c r="BE208" s="233"/>
      <c r="BF208" s="241"/>
      <c r="BG208" s="315"/>
      <c r="BH208" s="315"/>
      <c r="BI208" s="241"/>
      <c r="BJ208" s="241"/>
      <c r="BK208" s="241"/>
      <c r="BL208" s="241"/>
    </row>
    <row r="209">
      <c r="A209" s="385" t="str">
        <f>'Class Charts'!B212</f>
        <v>Epilektoi</v>
      </c>
      <c r="B209" s="734" t="str">
        <f>IFERROR(__xludf.DUMMYFUNCTION("if(REGEXMATCH(AR209,$B$168),""X"","""")"),"X")</f>
        <v>X</v>
      </c>
      <c r="C209" s="734" t="str">
        <f>IFERROR(__xludf.DUMMYFUNCTION("if(REGEXMATCH(AR209,$C$168),""X"","""")"),"")</f>
        <v/>
      </c>
      <c r="D209" s="800" t="str">
        <f>IFERROR(__xludf.DUMMYFUNCTION("if(REGEXMATCH(AR209,$D$168),""X"","""")"),"")</f>
        <v/>
      </c>
      <c r="E209" s="734" t="str">
        <f>IFERROR(__xludf.DUMMYFUNCTION("if(REGEXMATCH(AR209,$E$168),""X"","""")"),"")</f>
        <v/>
      </c>
      <c r="F209" s="734" t="str">
        <f>IFERROR(__xludf.DUMMYFUNCTION("if(REGEXMATCH(AR209,$F$168),""X"","""")"),"X")</f>
        <v>X</v>
      </c>
      <c r="G209" s="734" t="str">
        <f t="shared" si="9"/>
        <v>X</v>
      </c>
      <c r="H209" s="734" t="str">
        <f>IFERROR(__xludf.DUMMYFUNCTION("if(REGEXMATCH(AR209,$H$168),""X"","""")"),"X")</f>
        <v>X</v>
      </c>
      <c r="I209" s="800" t="str">
        <f>IFERROR(__xludf.DUMMYFUNCTION("if(REGEXMATCH(AR209,$I$168),""X"","""")"),"")</f>
        <v/>
      </c>
      <c r="J209" s="800" t="str">
        <f>IFERROR(__xludf.DUMMYFUNCTION("if(REGEXMATCH(AR209,$J$168),""X"","""")"),"")</f>
        <v/>
      </c>
      <c r="K209" s="800" t="str">
        <f>IFERROR(__xludf.DUMMYFUNCTION("if(REGEXMATCH(AR209,$K$168),""X"","""")"),"")</f>
        <v/>
      </c>
      <c r="L209" s="800" t="str">
        <f>IFERROR(__xludf.DUMMYFUNCTION("if(REGEXMATCH(AR209,$L$168),""X"","""")"),"")</f>
        <v/>
      </c>
      <c r="M209" s="800" t="str">
        <f>IFERROR(__xludf.DUMMYFUNCTION("if(REGEXMATCH(AR209,$M$168),""X"","""")"),"")</f>
        <v/>
      </c>
      <c r="N209" s="800" t="str">
        <f>IFERROR(__xludf.DUMMYFUNCTION("if(REGEXMATCH(AR209,$N$168),""X"","""")"),"X")</f>
        <v>X</v>
      </c>
      <c r="O209" s="800" t="str">
        <f>IFERROR(__xludf.DUMMYFUNCTION("if(REGEXMATCH(AR209,$O$168),""X"","""")"),"X")</f>
        <v>X</v>
      </c>
      <c r="P209" s="800" t="str">
        <f>IFERROR(__xludf.DUMMYFUNCTION("if(REGEXMATCH(AR209,""(all)""),""X"",if(REGEXMATCH(AR209,""arcana""),""X"",""""))"),"")</f>
        <v/>
      </c>
      <c r="Q209" s="800" t="str">
        <f>IFERROR(__xludf.DUMMYFUNCTION("if(REGEXMATCH(AR209,""(all)""),""X"",if(REGEXMATCH(AR209,""dungeoneering""),""X"",""""))"),"")</f>
        <v/>
      </c>
      <c r="R209" s="800" t="str">
        <f>IFERROR(__xludf.DUMMYFUNCTION("if(REGEXMATCH(AR209,""(all)""),""X"",if(REGEXMATCH(AR209,""engineering""),""X"",""""))"),"")</f>
        <v/>
      </c>
      <c r="S209" s="800" t="str">
        <f>IFERROR(__xludf.DUMMYFUNCTION("if(REGEXMATCH(AR209,""(all)""),""X"",if(REGEXMATCH(AR209,""geography""),""X"",""""))"),"")</f>
        <v/>
      </c>
      <c r="T209" s="800" t="str">
        <f>IFERROR(__xludf.DUMMYFUNCTION("if(REGEXMATCH(AR209,""(all)""),""X"",if(REGEXMATCH(AR209,""history""),""X"",""""))"),"")</f>
        <v/>
      </c>
      <c r="U209" s="800" t="str">
        <f>IFERROR(__xludf.DUMMYFUNCTION("if(REGEXMATCH(AR209,""(all)""),""X"",if(REGEXMATCH(AR209,""local""),""X"",""""))"),"X")</f>
        <v>X</v>
      </c>
      <c r="V209" s="800" t="str">
        <f>IFERROR(__xludf.DUMMYFUNCTION("if(REGEXMATCH(AR209,""(all)""),""X"",if(REGEXMATCH(AR209,""nature""),""X"",""""))"),"")</f>
        <v/>
      </c>
      <c r="W209" s="800" t="str">
        <f>IFERROR(__xludf.DUMMYFUNCTION("if(REGEXMATCH(AR209,""(all)""),""X"",if(REGEXMATCH(AR209,""nobility""),""X"",""""))"),"X")</f>
        <v>X</v>
      </c>
      <c r="X209" s="800" t="str">
        <f>IFERROR(__xludf.DUMMYFUNCTION("if(REGEXMATCH(AR209,""(all)""),""X"",if(REGEXMATCH(AR209,""planes""),""X"",""""))"),"")</f>
        <v/>
      </c>
      <c r="Y209" s="800" t="str">
        <f>IFERROR(__xludf.DUMMYFUNCTION("if(REGEXMATCH(AR209,""(all)""),""X"",if(REGEXMATCH(AR209,""religion""),""X"",""""))"),"X")</f>
        <v>X</v>
      </c>
      <c r="Z209" s="800" t="str">
        <f>IFERROR(__xludf.DUMMYFUNCTION("if(REGEXMATCH(AR209,$Z$168),""X"","""")"),"")</f>
        <v/>
      </c>
      <c r="AA209" s="800" t="str">
        <f>IFERROR(__xludf.DUMMYFUNCTION("if(REGEXMATCH(AR209,$AA$168),""X"","""")"),"X")</f>
        <v>X</v>
      </c>
      <c r="AB209" s="734" t="str">
        <f>IFERROR(__xludf.DUMMYFUNCTION("if(REGEXMATCH(AR209,""Perform""),""X"","""")"),"X")</f>
        <v>X</v>
      </c>
      <c r="AC209" s="734" t="str">
        <f t="shared" si="10"/>
        <v>X</v>
      </c>
      <c r="AD209" s="734" t="str">
        <f>IFERROR(__xludf.DUMMYFUNCTION("if(REGEXMATCH(AR209,""Profession""),""X"","""")"),"X")</f>
        <v>X</v>
      </c>
      <c r="AE209" s="734" t="str">
        <f t="shared" si="11"/>
        <v>X</v>
      </c>
      <c r="AF209" s="800" t="str">
        <f>IFERROR(__xludf.DUMMYFUNCTION("if(REGEXMATCH(AR209,$AF$168),""X"","""")"),"X")</f>
        <v>X</v>
      </c>
      <c r="AG209" s="800" t="str">
        <f>IFERROR(__xludf.DUMMYFUNCTION("if(REGEXMATCH(AR209,$AG$168),""X"","""")"),"X")</f>
        <v>X</v>
      </c>
      <c r="AH209" s="800" t="str">
        <f>IFERROR(__xludf.DUMMYFUNCTION("if(REGEXMATCH(AR209,$AH$168),""X"","""")"),"")</f>
        <v/>
      </c>
      <c r="AI209" s="800" t="str">
        <f>IFERROR(__xludf.DUMMYFUNCTION("if(REGEXMATCH(AR209,$AI$168),""X"","""")"),"X")</f>
        <v>X</v>
      </c>
      <c r="AJ209" s="739" t="str">
        <f>IFERROR(__xludf.DUMMYFUNCTION("if(REGEXMATCH(AR209,$AJ$168),""X"","""")"),"")</f>
        <v/>
      </c>
      <c r="AK209" s="800" t="str">
        <f>IFERROR(__xludf.DUMMYFUNCTION("if(REGEXMATCH(AR209,$AK$168),""X"","""")"),"X")</f>
        <v>X</v>
      </c>
      <c r="AL209" s="800" t="str">
        <f>IFERROR(__xludf.DUMMYFUNCTION("if(REGEXMATCH(AR209,$AL$168),""X"","""")"),"X")</f>
        <v>X</v>
      </c>
      <c r="AM209" s="800" t="str">
        <f>IFERROR(__xludf.DUMMYFUNCTION("if(REGEXMATCH(AR209,$AM$168),""X"","""")"),"")</f>
        <v/>
      </c>
      <c r="AN209" s="800"/>
      <c r="AO209" s="800"/>
      <c r="AP209" s="800" t="str">
        <f>IFERROR(__xludf.DUMMYFUNCTION("if(REGEXMATCH(AR209,""Craft""),""X"","""")"),"X")</f>
        <v>X</v>
      </c>
      <c r="AQ209" s="800" t="str">
        <f>IFERROR(__xludf.DUMMYFUNCTION("if(REGEXMATCH(AR209,""Knowledge""),""X"","""")"),"X")</f>
        <v>X</v>
      </c>
      <c r="AR209" s="740" t="s">
        <v>987</v>
      </c>
      <c r="AS209" s="233"/>
      <c r="AT209" s="233"/>
      <c r="AU209" s="233"/>
      <c r="AV209" s="233"/>
      <c r="AW209" s="233"/>
      <c r="AX209" s="233"/>
      <c r="AY209" s="233"/>
      <c r="AZ209" s="233"/>
      <c r="BA209" s="233"/>
      <c r="BB209" s="233"/>
      <c r="BC209" s="233"/>
      <c r="BD209" s="233"/>
      <c r="BE209" s="233"/>
      <c r="BF209" s="241"/>
      <c r="BG209" s="241"/>
      <c r="BH209" s="241"/>
      <c r="BI209" s="241"/>
      <c r="BJ209" s="241"/>
      <c r="BK209" s="241"/>
      <c r="BL209" s="241"/>
    </row>
    <row r="210">
      <c r="A210" s="385" t="str">
        <f>'Class Charts'!B213</f>
        <v>Medic</v>
      </c>
      <c r="B210" s="734" t="str">
        <f>IFERROR(__xludf.DUMMYFUNCTION("if(REGEXMATCH(AR210,$B$168),""X"","""")"),"X")</f>
        <v>X</v>
      </c>
      <c r="C210" s="734" t="str">
        <f>IFERROR(__xludf.DUMMYFUNCTION("if(REGEXMATCH(AR210,$C$168),""X"","""")"),"X")</f>
        <v>X</v>
      </c>
      <c r="D210" s="800" t="str">
        <f>IFERROR(__xludf.DUMMYFUNCTION("if(REGEXMATCH(AR210,$D$168),""X"","""")"),"X")</f>
        <v>X</v>
      </c>
      <c r="E210" s="734" t="str">
        <f>IFERROR(__xludf.DUMMYFUNCTION("if(REGEXMATCH(AR210,$E$168),""X"","""")"),"")</f>
        <v/>
      </c>
      <c r="F210" s="734" t="str">
        <f>IFERROR(__xludf.DUMMYFUNCTION("if(REGEXMATCH(AR210,$F$168),""X"","""")"),"X")</f>
        <v>X</v>
      </c>
      <c r="G210" s="734" t="str">
        <f t="shared" si="9"/>
        <v>X</v>
      </c>
      <c r="H210" s="734" t="str">
        <f>IFERROR(__xludf.DUMMYFUNCTION("if(REGEXMATCH(AR210,$H$168),""X"","""")"),"X")</f>
        <v>X</v>
      </c>
      <c r="I210" s="800" t="str">
        <f>IFERROR(__xludf.DUMMYFUNCTION("if(REGEXMATCH(AR210,$I$168),""X"","""")"),"")</f>
        <v/>
      </c>
      <c r="J210" s="800" t="str">
        <f>IFERROR(__xludf.DUMMYFUNCTION("if(REGEXMATCH(AR210,$J$168),""X"","""")"),"")</f>
        <v/>
      </c>
      <c r="K210" s="800" t="str">
        <f>IFERROR(__xludf.DUMMYFUNCTION("if(REGEXMATCH(AR210,$K$168),""X"","""")"),"")</f>
        <v/>
      </c>
      <c r="L210" s="800" t="str">
        <f>IFERROR(__xludf.DUMMYFUNCTION("if(REGEXMATCH(AR210,$L$168),""X"","""")"),"")</f>
        <v/>
      </c>
      <c r="M210" s="800" t="str">
        <f>IFERROR(__xludf.DUMMYFUNCTION("if(REGEXMATCH(AR210,$M$168),""X"","""")"),"")</f>
        <v/>
      </c>
      <c r="N210" s="800" t="str">
        <f>IFERROR(__xludf.DUMMYFUNCTION("if(REGEXMATCH(AR210,$N$168),""X"","""")"),"X")</f>
        <v>X</v>
      </c>
      <c r="O210" s="800" t="str">
        <f>IFERROR(__xludf.DUMMYFUNCTION("if(REGEXMATCH(AR210,$O$168),""X"","""")"),"")</f>
        <v/>
      </c>
      <c r="P210" s="800" t="str">
        <f>IFERROR(__xludf.DUMMYFUNCTION("if(REGEXMATCH(AR210,""(all)""),""X"",if(REGEXMATCH(AR210,""arcana""),""X"",""""))"),"")</f>
        <v/>
      </c>
      <c r="Q210" s="800" t="str">
        <f>IFERROR(__xludf.DUMMYFUNCTION("if(REGEXMATCH(AR210,""(all)""),""X"",if(REGEXMATCH(AR210,""dungeoneering""),""X"",""""))"),"")</f>
        <v/>
      </c>
      <c r="R210" s="800" t="str">
        <f>IFERROR(__xludf.DUMMYFUNCTION("if(REGEXMATCH(AR210,""(all)""),""X"",if(REGEXMATCH(AR210,""engineering""),""X"",""""))"),"")</f>
        <v/>
      </c>
      <c r="S210" s="800" t="str">
        <f>IFERROR(__xludf.DUMMYFUNCTION("if(REGEXMATCH(AR210,""(all)""),""X"",if(REGEXMATCH(AR210,""geography""),""X"",""""))"),"")</f>
        <v/>
      </c>
      <c r="T210" s="800" t="str">
        <f>IFERROR(__xludf.DUMMYFUNCTION("if(REGEXMATCH(AR210,""(all)""),""X"",if(REGEXMATCH(AR210,""history""),""X"",""""))"),"")</f>
        <v/>
      </c>
      <c r="U210" s="800" t="str">
        <f>IFERROR(__xludf.DUMMYFUNCTION("if(REGEXMATCH(AR210,""(all)""),""X"",if(REGEXMATCH(AR210,""local""),""X"",""""))"),"")</f>
        <v/>
      </c>
      <c r="V210" s="800" t="str">
        <f>IFERROR(__xludf.DUMMYFUNCTION("if(REGEXMATCH(AR210,""(all)""),""X"",if(REGEXMATCH(AR210,""nature""),""X"",""""))"),"")</f>
        <v/>
      </c>
      <c r="W210" s="800" t="str">
        <f>IFERROR(__xludf.DUMMYFUNCTION("if(REGEXMATCH(AR210,""(all)""),""X"",if(REGEXMATCH(AR210,""nobility""),""X"",""""))"),"")</f>
        <v/>
      </c>
      <c r="X210" s="800" t="str">
        <f>IFERROR(__xludf.DUMMYFUNCTION("if(REGEXMATCH(AR210,""(all)""),""X"",if(REGEXMATCH(AR210,""planes""),""X"",""""))"),"")</f>
        <v/>
      </c>
      <c r="Y210" s="800" t="str">
        <f>IFERROR(__xludf.DUMMYFUNCTION("if(REGEXMATCH(AR210,""(all)""),""X"",if(REGEXMATCH(AR210,""religion""),""X"",""""))"),"")</f>
        <v/>
      </c>
      <c r="Z210" s="800" t="str">
        <f>IFERROR(__xludf.DUMMYFUNCTION("if(REGEXMATCH(AR210,$Z$168),""X"","""")"),"")</f>
        <v/>
      </c>
      <c r="AA210" s="800" t="str">
        <f>IFERROR(__xludf.DUMMYFUNCTION("if(REGEXMATCH(AR210,$AA$168),""X"","""")"),"X")</f>
        <v>X</v>
      </c>
      <c r="AB210" s="734" t="str">
        <f>IFERROR(__xludf.DUMMYFUNCTION("if(REGEXMATCH(AR210,""Perform""),""X"","""")"),"")</f>
        <v/>
      </c>
      <c r="AC210" s="734" t="str">
        <f t="shared" si="10"/>
        <v/>
      </c>
      <c r="AD210" s="734" t="str">
        <f>IFERROR(__xludf.DUMMYFUNCTION("if(REGEXMATCH(AR210,""Profession""),""X"","""")"),"X")</f>
        <v>X</v>
      </c>
      <c r="AE210" s="734" t="str">
        <f t="shared" si="11"/>
        <v>X</v>
      </c>
      <c r="AF210" s="800" t="str">
        <f>IFERROR(__xludf.DUMMYFUNCTION("if(REGEXMATCH(AR210,$AF$168),""X"","""")"),"")</f>
        <v/>
      </c>
      <c r="AG210" s="800" t="str">
        <f>IFERROR(__xludf.DUMMYFUNCTION("if(REGEXMATCH(AR210,$AG$168),""X"","""")"),"X")</f>
        <v>X</v>
      </c>
      <c r="AH210" s="800" t="str">
        <f>IFERROR(__xludf.DUMMYFUNCTION("if(REGEXMATCH(AR210,$AH$168),""X"","""")"),"X")</f>
        <v>X</v>
      </c>
      <c r="AI210" s="800" t="str">
        <f>IFERROR(__xludf.DUMMYFUNCTION("if(REGEXMATCH(AR210,$AI$168),""X"","""")"),"")</f>
        <v/>
      </c>
      <c r="AJ210" s="739" t="str">
        <f>IFERROR(__xludf.DUMMYFUNCTION("if(REGEXMATCH(AR210,$AJ$168),""X"","""")"),"")</f>
        <v/>
      </c>
      <c r="AK210" s="800" t="str">
        <f>IFERROR(__xludf.DUMMYFUNCTION("if(REGEXMATCH(AR210,$AK$168),""X"","""")"),"")</f>
        <v/>
      </c>
      <c r="AL210" s="800" t="str">
        <f>IFERROR(__xludf.DUMMYFUNCTION("if(REGEXMATCH(AR210,$AL$168),""X"","""")"),"")</f>
        <v/>
      </c>
      <c r="AM210" s="800" t="str">
        <f>IFERROR(__xludf.DUMMYFUNCTION("if(REGEXMATCH(AR210,$AM$168),""X"","""")"),"")</f>
        <v/>
      </c>
      <c r="AN210" s="800"/>
      <c r="AO210" s="800"/>
      <c r="AP210" s="800" t="str">
        <f>IFERROR(__xludf.DUMMYFUNCTION("if(REGEXMATCH(AR210,""Craft""),""X"","""")"),"X")</f>
        <v>X</v>
      </c>
      <c r="AQ210" s="800" t="str">
        <f>IFERROR(__xludf.DUMMYFUNCTION("if(REGEXMATCH(AR210,""Knowledge""),""X"","""")"),"X")</f>
        <v>X</v>
      </c>
      <c r="AR210" s="740" t="s">
        <v>1006</v>
      </c>
      <c r="AS210" s="233"/>
      <c r="AT210" s="233"/>
      <c r="AU210" s="233"/>
      <c r="AV210" s="233"/>
      <c r="AW210" s="233"/>
      <c r="AX210" s="233"/>
      <c r="AY210" s="233"/>
      <c r="AZ210" s="233"/>
      <c r="BA210" s="233"/>
      <c r="BB210" s="233"/>
      <c r="BC210" s="233"/>
      <c r="BD210" s="233"/>
      <c r="BE210" s="233"/>
      <c r="BF210" s="241"/>
      <c r="BG210" s="241"/>
      <c r="BH210" s="241"/>
      <c r="BI210" s="241"/>
      <c r="BJ210" s="241"/>
      <c r="BK210" s="241"/>
      <c r="BL210" s="241"/>
    </row>
    <row r="211">
      <c r="A211" s="385" t="str">
        <f>'Class Charts'!B214</f>
        <v>Parasite</v>
      </c>
      <c r="B211" s="734" t="str">
        <f>IFERROR(__xludf.DUMMYFUNCTION("if(REGEXMATCH(AR211,$B$168),""X"","""")"),"X")</f>
        <v>X</v>
      </c>
      <c r="C211" s="734" t="str">
        <f>IFERROR(__xludf.DUMMYFUNCTION("if(REGEXMATCH(AR211,$C$168),""X"","""")"),"")</f>
        <v/>
      </c>
      <c r="D211" s="800" t="str">
        <f>IFERROR(__xludf.DUMMYFUNCTION("if(REGEXMATCH(AR211,$D$168),""X"","""")"),"X")</f>
        <v>X</v>
      </c>
      <c r="E211" s="734" t="str">
        <f>IFERROR(__xludf.DUMMYFUNCTION("if(REGEXMATCH(AR211,$E$168),""X"","""")"),"")</f>
        <v/>
      </c>
      <c r="F211" s="734" t="str">
        <f>IFERROR(__xludf.DUMMYFUNCTION("if(REGEXMATCH(AR211,$F$168),""X"","""")"),"X")</f>
        <v>X</v>
      </c>
      <c r="G211" s="734" t="str">
        <f t="shared" si="9"/>
        <v>X</v>
      </c>
      <c r="H211" s="734" t="str">
        <f>IFERROR(__xludf.DUMMYFUNCTION("if(REGEXMATCH(AR211,$H$168),""X"","""")"),"")</f>
        <v/>
      </c>
      <c r="I211" s="800" t="str">
        <f>IFERROR(__xludf.DUMMYFUNCTION("if(REGEXMATCH(AR211,$I$168),""X"","""")"),"")</f>
        <v/>
      </c>
      <c r="J211" s="800" t="str">
        <f>IFERROR(__xludf.DUMMYFUNCTION("if(REGEXMATCH(AR211,$J$168),""X"","""")"),"X")</f>
        <v>X</v>
      </c>
      <c r="K211" s="800" t="str">
        <f>IFERROR(__xludf.DUMMYFUNCTION("if(REGEXMATCH(AR211,$K$168),""X"","""")"),"")</f>
        <v/>
      </c>
      <c r="L211" s="800" t="str">
        <f>IFERROR(__xludf.DUMMYFUNCTION("if(REGEXMATCH(AR211,$L$168),""X"","""")"),"X")</f>
        <v>X</v>
      </c>
      <c r="M211" s="800" t="str">
        <f>IFERROR(__xludf.DUMMYFUNCTION("if(REGEXMATCH(AR211,$M$168),""X"","""")"),"")</f>
        <v/>
      </c>
      <c r="N211" s="800" t="str">
        <f>IFERROR(__xludf.DUMMYFUNCTION("if(REGEXMATCH(AR211,$N$168),""X"","""")"),"X")</f>
        <v>X</v>
      </c>
      <c r="O211" s="800" t="str">
        <f>IFERROR(__xludf.DUMMYFUNCTION("if(REGEXMATCH(AR211,$O$168),""X"","""")"),"X")</f>
        <v>X</v>
      </c>
      <c r="P211" s="800" t="str">
        <f>IFERROR(__xludf.DUMMYFUNCTION("if(REGEXMATCH(AR211,""(all)""),""X"",if(REGEXMATCH(AR211,""arcana""),""X"",""""))"),"X")</f>
        <v>X</v>
      </c>
      <c r="Q211" s="800" t="str">
        <f>IFERROR(__xludf.DUMMYFUNCTION("if(REGEXMATCH(AR211,""(all)""),""X"",if(REGEXMATCH(AR211,""dungeoneering""),""X"",""""))"),"X")</f>
        <v>X</v>
      </c>
      <c r="R211" s="800" t="str">
        <f>IFERROR(__xludf.DUMMYFUNCTION("if(REGEXMATCH(AR211,""(all)""),""X"",if(REGEXMATCH(AR211,""engineering""),""X"",""""))"),"X")</f>
        <v>X</v>
      </c>
      <c r="S211" s="800" t="str">
        <f>IFERROR(__xludf.DUMMYFUNCTION("if(REGEXMATCH(AR211,""(all)""),""X"",if(REGEXMATCH(AR211,""geography""),""X"",""""))"),"X")</f>
        <v>X</v>
      </c>
      <c r="T211" s="800" t="str">
        <f>IFERROR(__xludf.DUMMYFUNCTION("if(REGEXMATCH(AR211,""(all)""),""X"",if(REGEXMATCH(AR211,""history""),""X"",""""))"),"X")</f>
        <v>X</v>
      </c>
      <c r="U211" s="800" t="str">
        <f>IFERROR(__xludf.DUMMYFUNCTION("if(REGEXMATCH(AR211,""(all)""),""X"",if(REGEXMATCH(AR211,""local""),""X"",""""))"),"X")</f>
        <v>X</v>
      </c>
      <c r="V211" s="800" t="str">
        <f>IFERROR(__xludf.DUMMYFUNCTION("if(REGEXMATCH(AR211,""(all)""),""X"",if(REGEXMATCH(AR211,""nature""),""X"",""""))"),"X")</f>
        <v>X</v>
      </c>
      <c r="W211" s="800" t="str">
        <f>IFERROR(__xludf.DUMMYFUNCTION("if(REGEXMATCH(AR211,""(all)""),""X"",if(REGEXMATCH(AR211,""nobility""),""X"",""""))"),"X")</f>
        <v>X</v>
      </c>
      <c r="X211" s="800" t="str">
        <f>IFERROR(__xludf.DUMMYFUNCTION("if(REGEXMATCH(AR211,""(all)""),""X"",if(REGEXMATCH(AR211,""planes""),""X"",""""))"),"X")</f>
        <v>X</v>
      </c>
      <c r="Y211" s="800" t="str">
        <f>IFERROR(__xludf.DUMMYFUNCTION("if(REGEXMATCH(AR211,""(all)""),""X"",if(REGEXMATCH(AR211,""religion""),""X"",""""))"),"X")</f>
        <v>X</v>
      </c>
      <c r="Z211" s="800" t="str">
        <f>IFERROR(__xludf.DUMMYFUNCTION("if(REGEXMATCH(AR211,$Z$168),""X"","""")"),"")</f>
        <v/>
      </c>
      <c r="AA211" s="800" t="str">
        <f>IFERROR(__xludf.DUMMYFUNCTION("if(REGEXMATCH(AR211,$AA$168),""X"","""")"),"X")</f>
        <v>X</v>
      </c>
      <c r="AB211" s="734" t="str">
        <f>IFERROR(__xludf.DUMMYFUNCTION("if(REGEXMATCH(AR211,""Perform""),""X"","""")"),"")</f>
        <v/>
      </c>
      <c r="AC211" s="734" t="str">
        <f t="shared" si="10"/>
        <v/>
      </c>
      <c r="AD211" s="734" t="str">
        <f>IFERROR(__xludf.DUMMYFUNCTION("if(REGEXMATCH(AR211,""Profession""),""X"","""")"),"X")</f>
        <v>X</v>
      </c>
      <c r="AE211" s="734" t="str">
        <f t="shared" si="11"/>
        <v>X</v>
      </c>
      <c r="AF211" s="800" t="str">
        <f>IFERROR(__xludf.DUMMYFUNCTION("if(REGEXMATCH(AR211,$AF$168),""X"","""")"),"")</f>
        <v/>
      </c>
      <c r="AG211" s="800" t="str">
        <f>IFERROR(__xludf.DUMMYFUNCTION("if(REGEXMATCH(AR211,$AG$168),""X"","""")"),"X")</f>
        <v>X</v>
      </c>
      <c r="AH211" s="800" t="str">
        <f>IFERROR(__xludf.DUMMYFUNCTION("if(REGEXMATCH(AR211,$AH$168),""X"","""")"),"")</f>
        <v/>
      </c>
      <c r="AI211" s="800" t="str">
        <f>IFERROR(__xludf.DUMMYFUNCTION("if(REGEXMATCH(AR211,$AI$168),""X"","""")"),"X")</f>
        <v>X</v>
      </c>
      <c r="AJ211" s="739" t="str">
        <f>IFERROR(__xludf.DUMMYFUNCTION("if(REGEXMATCH(AR211,$AJ$168),""X"","""")"),"X")</f>
        <v>X</v>
      </c>
      <c r="AK211" s="800" t="str">
        <f>IFERROR(__xludf.DUMMYFUNCTION("if(REGEXMATCH(AR211,$AK$168),""X"","""")"),"X")</f>
        <v>X</v>
      </c>
      <c r="AL211" s="800" t="str">
        <f>IFERROR(__xludf.DUMMYFUNCTION("if(REGEXMATCH(AR211,$AL$168),""X"","""")"),"")</f>
        <v/>
      </c>
      <c r="AM211" s="800" t="str">
        <f>IFERROR(__xludf.DUMMYFUNCTION("if(REGEXMATCH(AR211,$AM$168),""X"","""")"),"")</f>
        <v/>
      </c>
      <c r="AN211" s="800"/>
      <c r="AO211" s="800"/>
      <c r="AP211" s="800" t="str">
        <f>IFERROR(__xludf.DUMMYFUNCTION("if(REGEXMATCH(AR211,""Craft""),""X"","""")"),"X")</f>
        <v>X</v>
      </c>
      <c r="AQ211" s="800" t="str">
        <f>IFERROR(__xludf.DUMMYFUNCTION("if(REGEXMATCH(AR211,""Knowledge""),""X"","""")"),"X")</f>
        <v>X</v>
      </c>
      <c r="AR211" s="740" t="s">
        <v>1012</v>
      </c>
      <c r="AS211" s="233"/>
      <c r="AT211" s="233"/>
      <c r="AU211" s="233"/>
      <c r="AV211" s="233"/>
      <c r="AW211" s="233"/>
      <c r="AX211" s="233"/>
      <c r="AY211" s="233"/>
      <c r="AZ211" s="233"/>
      <c r="BA211" s="233"/>
      <c r="BB211" s="233"/>
      <c r="BC211" s="233"/>
      <c r="BD211" s="233"/>
      <c r="BE211" s="233"/>
      <c r="BF211" s="241"/>
      <c r="BG211" s="241"/>
      <c r="BH211" s="241"/>
      <c r="BI211" s="241"/>
      <c r="BJ211" s="241"/>
      <c r="BK211" s="241"/>
      <c r="BL211" s="241"/>
    </row>
    <row r="212">
      <c r="A212" s="385" t="s">
        <v>515</v>
      </c>
      <c r="B212" s="734" t="str">
        <f>IFERROR(__xludf.DUMMYFUNCTION("if(REGEXMATCH(AR212,$B$168),""X"","""")"),"X")</f>
        <v>X</v>
      </c>
      <c r="C212" s="734" t="str">
        <f>IFERROR(__xludf.DUMMYFUNCTION("if(REGEXMATCH(AR212,$C$168),""X"","""")"),"")</f>
        <v/>
      </c>
      <c r="D212" s="800" t="str">
        <f>IFERROR(__xludf.DUMMYFUNCTION("if(REGEXMATCH(AR212,$D$168),""X"","""")"),"X")</f>
        <v>X</v>
      </c>
      <c r="E212" s="734" t="str">
        <f>IFERROR(__xludf.DUMMYFUNCTION("if(REGEXMATCH(AR212,$E$168),""X"","""")"),"X")</f>
        <v>X</v>
      </c>
      <c r="F212" s="734" t="str">
        <f>IFERROR(__xludf.DUMMYFUNCTION("if(REGEXMATCH(AR212,$F$168),""X"","""")"),"X")</f>
        <v>X</v>
      </c>
      <c r="G212" s="734" t="str">
        <f t="shared" si="9"/>
        <v>X</v>
      </c>
      <c r="H212" s="734" t="str">
        <f>IFERROR(__xludf.DUMMYFUNCTION("if(REGEXMATCH(AR212,$H$168),""X"","""")"),"X")</f>
        <v>X</v>
      </c>
      <c r="I212" s="800" t="str">
        <f>IFERROR(__xludf.DUMMYFUNCTION("if(REGEXMATCH(AR212,$I$168),""X"","""")"),"")</f>
        <v/>
      </c>
      <c r="J212" s="800" t="str">
        <f>IFERROR(__xludf.DUMMYFUNCTION("if(REGEXMATCH(AR212,$J$168),""X"","""")"),"")</f>
        <v/>
      </c>
      <c r="K212" s="800" t="str">
        <f>IFERROR(__xludf.DUMMYFUNCTION("if(REGEXMATCH(AR212,$K$168),""X"","""")"),"")</f>
        <v/>
      </c>
      <c r="L212" s="800" t="str">
        <f>IFERROR(__xludf.DUMMYFUNCTION("if(REGEXMATCH(AR212,$L$168),""X"","""")"),"")</f>
        <v/>
      </c>
      <c r="M212" s="800" t="str">
        <f>IFERROR(__xludf.DUMMYFUNCTION("if(REGEXMATCH(AR212,$M$168),""X"","""")"),"")</f>
        <v/>
      </c>
      <c r="N212" s="800" t="str">
        <f>IFERROR(__xludf.DUMMYFUNCTION("if(REGEXMATCH(AR212,$N$168),""X"","""")"),"")</f>
        <v/>
      </c>
      <c r="O212" s="800" t="str">
        <f>IFERROR(__xludf.DUMMYFUNCTION("if(REGEXMATCH(AR212,$O$168),""X"","""")"),"X")</f>
        <v>X</v>
      </c>
      <c r="P212" s="800" t="str">
        <f>IFERROR(__xludf.DUMMYFUNCTION("if(REGEXMATCH(AR212,""(all)""),""X"",if(REGEXMATCH(AR212,""arcana""),""X"",""""))"),"X")</f>
        <v>X</v>
      </c>
      <c r="Q212" s="800" t="str">
        <f>IFERROR(__xludf.DUMMYFUNCTION("if(REGEXMATCH(AR212,""(all)""),""X"",if(REGEXMATCH(AR212,""dungeoneering""),""X"",""""))"),"")</f>
        <v/>
      </c>
      <c r="R212" s="800" t="str">
        <f>IFERROR(__xludf.DUMMYFUNCTION("if(REGEXMATCH(AR212,""(all)""),""X"",if(REGEXMATCH(AR212,""engineering""),""X"",""""))"),"")</f>
        <v/>
      </c>
      <c r="S212" s="800" t="str">
        <f>IFERROR(__xludf.DUMMYFUNCTION("if(REGEXMATCH(AR212,""(all)""),""X"",if(REGEXMATCH(AR212,""geography""),""X"",""""))"),"")</f>
        <v/>
      </c>
      <c r="T212" s="800" t="str">
        <f>IFERROR(__xludf.DUMMYFUNCTION("if(REGEXMATCH(AR212,""(all)""),""X"",if(REGEXMATCH(AR212,""history""),""X"",""""))"),"")</f>
        <v/>
      </c>
      <c r="U212" s="800" t="str">
        <f>IFERROR(__xludf.DUMMYFUNCTION("if(REGEXMATCH(AR212,""(all)""),""X"",if(REGEXMATCH(AR212,""local""),""X"",""""))"),"")</f>
        <v/>
      </c>
      <c r="V212" s="800" t="str">
        <f>IFERROR(__xludf.DUMMYFUNCTION("if(REGEXMATCH(AR212,""(all)""),""X"",if(REGEXMATCH(AR212,""nature""),""X"",""""))"),"X")</f>
        <v>X</v>
      </c>
      <c r="W212" s="800" t="str">
        <f>IFERROR(__xludf.DUMMYFUNCTION("if(REGEXMATCH(AR212,""(all)""),""X"",if(REGEXMATCH(AR212,""nobility""),""X"",""""))"),"")</f>
        <v/>
      </c>
      <c r="X212" s="800" t="str">
        <f>IFERROR(__xludf.DUMMYFUNCTION("if(REGEXMATCH(AR212,""(all)""),""X"",if(REGEXMATCH(AR212,""planes""),""X"",""""))"),"X")</f>
        <v>X</v>
      </c>
      <c r="Y212" s="800" t="str">
        <f>IFERROR(__xludf.DUMMYFUNCTION("if(REGEXMATCH(AR212,""(all)""),""X"",if(REGEXMATCH(AR212,""religion""),""X"",""""))"),"")</f>
        <v/>
      </c>
      <c r="Z212" s="800" t="str">
        <f>IFERROR(__xludf.DUMMYFUNCTION("if(REGEXMATCH(AR212,$Z$168),""X"","""")"),"")</f>
        <v/>
      </c>
      <c r="AA212" s="800" t="str">
        <f>IFERROR(__xludf.DUMMYFUNCTION("if(REGEXMATCH(AR212,$AA$168),""X"","""")"),"X")</f>
        <v>X</v>
      </c>
      <c r="AB212" s="734" t="str">
        <f>IFERROR(__xludf.DUMMYFUNCTION("if(REGEXMATCH(AR212,""Perform""),""X"","""")"),"X")</f>
        <v>X</v>
      </c>
      <c r="AC212" s="734" t="str">
        <f t="shared" si="10"/>
        <v>X</v>
      </c>
      <c r="AD212" s="734" t="str">
        <f>IFERROR(__xludf.DUMMYFUNCTION("if(REGEXMATCH(AR212,""Profession""),""X"","""")"),"X")</f>
        <v>X</v>
      </c>
      <c r="AE212" s="734" t="str">
        <f t="shared" si="11"/>
        <v>X</v>
      </c>
      <c r="AF212" s="800" t="str">
        <f>IFERROR(__xludf.DUMMYFUNCTION("if(REGEXMATCH(AR212,$AF$168),""X"","""")"),"")</f>
        <v/>
      </c>
      <c r="AG212" s="800" t="str">
        <f>IFERROR(__xludf.DUMMYFUNCTION("if(REGEXMATCH(AR212,$AG$168),""X"","""")"),"X")</f>
        <v>X</v>
      </c>
      <c r="AH212" s="800" t="str">
        <f>IFERROR(__xludf.DUMMYFUNCTION("if(REGEXMATCH(AR212,$AH$168),""X"","""")"),"")</f>
        <v/>
      </c>
      <c r="AI212" s="800" t="str">
        <f>IFERROR(__xludf.DUMMYFUNCTION("if(REGEXMATCH(AR212,$AI$168),""X"","""")"),"X")</f>
        <v>X</v>
      </c>
      <c r="AJ212" s="739" t="str">
        <f>IFERROR(__xludf.DUMMYFUNCTION("if(REGEXMATCH(AR212,$AJ$168),""X"","""")"),"")</f>
        <v/>
      </c>
      <c r="AK212" s="800" t="str">
        <f>IFERROR(__xludf.DUMMYFUNCTION("if(REGEXMATCH(AR212,$AK$168),""X"","""")"),"")</f>
        <v/>
      </c>
      <c r="AL212" s="800" t="str">
        <f>IFERROR(__xludf.DUMMYFUNCTION("if(REGEXMATCH(AR212,$AL$168),""X"","""")"),"")</f>
        <v/>
      </c>
      <c r="AM212" s="800" t="str">
        <f>IFERROR(__xludf.DUMMYFUNCTION("if(REGEXMATCH(AR212,$AM$168),""X"","""")"),"X")</f>
        <v>X</v>
      </c>
      <c r="AN212" s="800"/>
      <c r="AO212" s="800"/>
      <c r="AP212" s="800" t="str">
        <f>IFERROR(__xludf.DUMMYFUNCTION("if(REGEXMATCH(AR212,""Craft""),""X"","""")"),"X")</f>
        <v>X</v>
      </c>
      <c r="AQ212" s="800" t="str">
        <f>IFERROR(__xludf.DUMMYFUNCTION("if(REGEXMATCH(AR212,""Knowledge""),""X"","""")"),"X")</f>
        <v>X</v>
      </c>
      <c r="AR212" s="807" t="s">
        <v>1016</v>
      </c>
      <c r="AS212" s="250"/>
      <c r="AT212" s="250"/>
      <c r="AU212" s="250"/>
      <c r="AV212" s="250"/>
      <c r="AW212" s="250"/>
      <c r="AX212" s="250"/>
      <c r="AY212" s="250"/>
      <c r="AZ212" s="250"/>
      <c r="BA212" s="250"/>
      <c r="BB212" s="250"/>
      <c r="BC212" s="250"/>
      <c r="BD212" s="250"/>
      <c r="BE212" s="250"/>
      <c r="BF212" s="243"/>
      <c r="BG212" s="243"/>
      <c r="BH212" s="243"/>
      <c r="BI212" s="243"/>
      <c r="BJ212" s="243"/>
      <c r="BK212" s="243"/>
      <c r="BL212" s="243"/>
    </row>
    <row r="213">
      <c r="A213" s="385" t="s">
        <v>516</v>
      </c>
      <c r="B213" s="734" t="str">
        <f>IFERROR(__xludf.DUMMYFUNCTION("if(REGEXMATCH(AR213,$B$168),""X"","""")"),"")</f>
        <v/>
      </c>
      <c r="C213" s="734" t="str">
        <f>IFERROR(__xludf.DUMMYFUNCTION("if(REGEXMATCH(AR213,$C$168),""X"","""")"),"")</f>
        <v/>
      </c>
      <c r="D213" s="800" t="str">
        <f>IFERROR(__xludf.DUMMYFUNCTION("if(REGEXMATCH(AR213,$D$168),""X"","""")"),"X")</f>
        <v>X</v>
      </c>
      <c r="E213" s="734" t="str">
        <f>IFERROR(__xludf.DUMMYFUNCTION("if(REGEXMATCH(AR213,$E$168),""X"","""")"),"")</f>
        <v/>
      </c>
      <c r="F213" s="734" t="str">
        <f>IFERROR(__xludf.DUMMYFUNCTION("if(REGEXMATCH(AR213,$F$168),""X"","""")"),"X")</f>
        <v>X</v>
      </c>
      <c r="G213" s="734" t="str">
        <f t="shared" si="9"/>
        <v>X</v>
      </c>
      <c r="H213" s="734" t="str">
        <f>IFERROR(__xludf.DUMMYFUNCTION("if(REGEXMATCH(AR213,$H$168),""X"","""")"),"X")</f>
        <v>X</v>
      </c>
      <c r="I213" s="800" t="str">
        <f>IFERROR(__xludf.DUMMYFUNCTION("if(REGEXMATCH(AR213,$I$168),""X"","""")"),"")</f>
        <v/>
      </c>
      <c r="J213" s="800" t="str">
        <f>IFERROR(__xludf.DUMMYFUNCTION("if(REGEXMATCH(AR213,$J$168),""X"","""")"),"")</f>
        <v/>
      </c>
      <c r="K213" s="800" t="str">
        <f>IFERROR(__xludf.DUMMYFUNCTION("if(REGEXMATCH(AR213,$K$168),""X"","""")"),"")</f>
        <v/>
      </c>
      <c r="L213" s="800" t="str">
        <f>IFERROR(__xludf.DUMMYFUNCTION("if(REGEXMATCH(AR213,$L$168),""X"","""")"),"X")</f>
        <v>X</v>
      </c>
      <c r="M213" s="800" t="str">
        <f>IFERROR(__xludf.DUMMYFUNCTION("if(REGEXMATCH(AR213,$M$168),""X"","""")"),"")</f>
        <v/>
      </c>
      <c r="N213" s="800" t="str">
        <f>IFERROR(__xludf.DUMMYFUNCTION("if(REGEXMATCH(AR213,$N$168),""X"","""")"),"X")</f>
        <v>X</v>
      </c>
      <c r="O213" s="800" t="str">
        <f>IFERROR(__xludf.DUMMYFUNCTION("if(REGEXMATCH(AR213,$O$168),""X"","""")"),"X")</f>
        <v>X</v>
      </c>
      <c r="P213" s="800" t="str">
        <f>IFERROR(__xludf.DUMMYFUNCTION("if(REGEXMATCH(AR213,""(all)""),""X"",if(REGEXMATCH(AR213,""arcana""),""X"",""""))"),"")</f>
        <v/>
      </c>
      <c r="Q213" s="800" t="str">
        <f>IFERROR(__xludf.DUMMYFUNCTION("if(REGEXMATCH(AR213,""(all)""),""X"",if(REGEXMATCH(AR213,""dungeoneering""),""X"",""""))"),"")</f>
        <v/>
      </c>
      <c r="R213" s="800" t="str">
        <f>IFERROR(__xludf.DUMMYFUNCTION("if(REGEXMATCH(AR213,""(all)""),""X"",if(REGEXMATCH(AR213,""engineering""),""X"",""""))"),"")</f>
        <v/>
      </c>
      <c r="S213" s="800" t="str">
        <f>IFERROR(__xludf.DUMMYFUNCTION("if(REGEXMATCH(AR213,""(all)""),""X"",if(REGEXMATCH(AR213,""geography""),""X"",""""))"),"")</f>
        <v/>
      </c>
      <c r="T213" s="800" t="str">
        <f>IFERROR(__xludf.DUMMYFUNCTION("if(REGEXMATCH(AR213,""(all)""),""X"",if(REGEXMATCH(AR213,""history""),""X"",""""))"),"X")</f>
        <v>X</v>
      </c>
      <c r="U213" s="800" t="str">
        <f>IFERROR(__xludf.DUMMYFUNCTION("if(REGEXMATCH(AR213,""(all)""),""X"",if(REGEXMATCH(AR213,""local""),""X"",""""))"),"")</f>
        <v/>
      </c>
      <c r="V213" s="800" t="str">
        <f>IFERROR(__xludf.DUMMYFUNCTION("if(REGEXMATCH(AR213,""(all)""),""X"",if(REGEXMATCH(AR213,""nature""),""X"",""""))"),"")</f>
        <v/>
      </c>
      <c r="W213" s="800" t="str">
        <f>IFERROR(__xludf.DUMMYFUNCTION("if(REGEXMATCH(AR213,""(all)""),""X"",if(REGEXMATCH(AR213,""nobility""),""X"",""""))"),"X")</f>
        <v>X</v>
      </c>
      <c r="X213" s="800" t="str">
        <f>IFERROR(__xludf.DUMMYFUNCTION("if(REGEXMATCH(AR213,""(all)""),""X"",if(REGEXMATCH(AR213,""planes""),""X"",""""))"),"")</f>
        <v/>
      </c>
      <c r="Y213" s="800" t="str">
        <f>IFERROR(__xludf.DUMMYFUNCTION("if(REGEXMATCH(AR213,""(all)""),""X"",if(REGEXMATCH(AR213,""religion""),""X"",""""))"),"")</f>
        <v/>
      </c>
      <c r="Z213" s="800" t="str">
        <f>IFERROR(__xludf.DUMMYFUNCTION("if(REGEXMATCH(AR213,$Z$168),""X"","""")"),"")</f>
        <v/>
      </c>
      <c r="AA213" s="800" t="str">
        <f>IFERROR(__xludf.DUMMYFUNCTION("if(REGEXMATCH(AR213,$AA$168),""X"","""")"),"X")</f>
        <v>X</v>
      </c>
      <c r="AB213" s="734" t="str">
        <f>IFERROR(__xludf.DUMMYFUNCTION("if(REGEXMATCH(AR213,""Perform""),""X"","""")"),"X")</f>
        <v>X</v>
      </c>
      <c r="AC213" s="734" t="str">
        <f t="shared" si="10"/>
        <v>X</v>
      </c>
      <c r="AD213" s="734" t="str">
        <f>IFERROR(__xludf.DUMMYFUNCTION("if(REGEXMATCH(AR213,""Profession""),""X"","""")"),"X")</f>
        <v>X</v>
      </c>
      <c r="AE213" s="734" t="str">
        <f t="shared" si="11"/>
        <v>X</v>
      </c>
      <c r="AF213" s="800" t="str">
        <f>IFERROR(__xludf.DUMMYFUNCTION("if(REGEXMATCH(AR213,$AF$168),""X"","""")"),"X")</f>
        <v>X</v>
      </c>
      <c r="AG213" s="800" t="str">
        <f>IFERROR(__xludf.DUMMYFUNCTION("if(REGEXMATCH(AR213,$AG$168),""X"","""")"),"X")</f>
        <v>X</v>
      </c>
      <c r="AH213" s="800" t="str">
        <f>IFERROR(__xludf.DUMMYFUNCTION("if(REGEXMATCH(AR213,$AH$168),""X"","""")"),"")</f>
        <v/>
      </c>
      <c r="AI213" s="800" t="str">
        <f>IFERROR(__xludf.DUMMYFUNCTION("if(REGEXMATCH(AR213,$AI$168),""X"","""")"),"X")</f>
        <v>X</v>
      </c>
      <c r="AJ213" s="739" t="str">
        <f>IFERROR(__xludf.DUMMYFUNCTION("if(REGEXMATCH(AR213,$AJ$168),""X"","""")"),"")</f>
        <v/>
      </c>
      <c r="AK213" s="800" t="str">
        <f>IFERROR(__xludf.DUMMYFUNCTION("if(REGEXMATCH(AR213,$AK$168),""X"","""")"),"")</f>
        <v/>
      </c>
      <c r="AL213" s="800" t="str">
        <f>IFERROR(__xludf.DUMMYFUNCTION("if(REGEXMATCH(AR213,$AL$168),""X"","""")"),"")</f>
        <v/>
      </c>
      <c r="AM213" s="800" t="str">
        <f>IFERROR(__xludf.DUMMYFUNCTION("if(REGEXMATCH(AR213,$AM$168),""X"","""")"),"X")</f>
        <v>X</v>
      </c>
      <c r="AN213" s="800"/>
      <c r="AO213" s="800"/>
      <c r="AP213" s="800" t="str">
        <f>IFERROR(__xludf.DUMMYFUNCTION("if(REGEXMATCH(AR213,""Craft""),""X"","""")"),"X")</f>
        <v>X</v>
      </c>
      <c r="AQ213" s="800" t="str">
        <f>IFERROR(__xludf.DUMMYFUNCTION("if(REGEXMATCH(AR213,""Knowledge""),""X"","""")"),"X")</f>
        <v>X</v>
      </c>
      <c r="AR213" s="807" t="s">
        <v>1020</v>
      </c>
      <c r="AS213" s="250"/>
      <c r="AT213" s="250"/>
      <c r="AU213" s="250"/>
      <c r="AV213" s="250"/>
      <c r="AW213" s="250"/>
      <c r="AX213" s="250"/>
      <c r="AY213" s="250"/>
      <c r="AZ213" s="250"/>
      <c r="BA213" s="250"/>
      <c r="BB213" s="250"/>
      <c r="BC213" s="250"/>
      <c r="BD213" s="250"/>
      <c r="BE213" s="250"/>
      <c r="BF213" s="243"/>
      <c r="BG213" s="243"/>
      <c r="BH213" s="243"/>
      <c r="BI213" s="243"/>
      <c r="BJ213" s="243"/>
      <c r="BK213" s="243"/>
      <c r="BL213" s="243"/>
    </row>
    <row r="214">
      <c r="A214" s="385" t="s">
        <v>517</v>
      </c>
      <c r="B214" s="734" t="str">
        <f>IFERROR(__xludf.DUMMYFUNCTION("if(REGEXMATCH(AR214,$B$168),""X"","""")"),"X")</f>
        <v>X</v>
      </c>
      <c r="C214" s="734" t="str">
        <f>IFERROR(__xludf.DUMMYFUNCTION("if(REGEXMATCH(AR214,$C$168),""X"","""")"),"")</f>
        <v/>
      </c>
      <c r="D214" s="800" t="str">
        <f>IFERROR(__xludf.DUMMYFUNCTION("if(REGEXMATCH(AR214,$D$168),""X"","""")"),"X")</f>
        <v>X</v>
      </c>
      <c r="E214" s="734" t="str">
        <f>IFERROR(__xludf.DUMMYFUNCTION("if(REGEXMATCH(AR214,$E$168),""X"","""")"),"")</f>
        <v/>
      </c>
      <c r="F214" s="734" t="str">
        <f>IFERROR(__xludf.DUMMYFUNCTION("if(REGEXMATCH(AR214,$F$168),""X"","""")"),"X")</f>
        <v>X</v>
      </c>
      <c r="G214" s="734" t="str">
        <f t="shared" si="9"/>
        <v>X</v>
      </c>
      <c r="H214" s="734" t="str">
        <f>IFERROR(__xludf.DUMMYFUNCTION("if(REGEXMATCH(AR214,$H$168),""X"","""")"),"X")</f>
        <v>X</v>
      </c>
      <c r="I214" s="800" t="str">
        <f>IFERROR(__xludf.DUMMYFUNCTION("if(REGEXMATCH(AR214,$I$168),""X"","""")"),"")</f>
        <v/>
      </c>
      <c r="J214" s="800" t="str">
        <f>IFERROR(__xludf.DUMMYFUNCTION("if(REGEXMATCH(AR214,$J$168),""X"","""")"),"")</f>
        <v/>
      </c>
      <c r="K214" s="800" t="str">
        <f>IFERROR(__xludf.DUMMYFUNCTION("if(REGEXMATCH(AR214,$K$168),""X"","""")"),"")</f>
        <v/>
      </c>
      <c r="L214" s="800" t="str">
        <f>IFERROR(__xludf.DUMMYFUNCTION("if(REGEXMATCH(AR214,$L$168),""X"","""")"),"")</f>
        <v/>
      </c>
      <c r="M214" s="800" t="str">
        <f>IFERROR(__xludf.DUMMYFUNCTION("if(REGEXMATCH(AR214,$M$168),""X"","""")"),"X")</f>
        <v>X</v>
      </c>
      <c r="N214" s="800" t="str">
        <f>IFERROR(__xludf.DUMMYFUNCTION("if(REGEXMATCH(AR214,$N$168),""X"","""")"),"X")</f>
        <v>X</v>
      </c>
      <c r="O214" s="800" t="str">
        <f>IFERROR(__xludf.DUMMYFUNCTION("if(REGEXMATCH(AR214,$O$168),""X"","""")"),"X")</f>
        <v>X</v>
      </c>
      <c r="P214" s="800" t="str">
        <f>IFERROR(__xludf.DUMMYFUNCTION("if(REGEXMATCH(AR214,""(all)""),""X"",if(REGEXMATCH(AR214,""arcana""),""X"",""""))"),"X")</f>
        <v>X</v>
      </c>
      <c r="Q214" s="800" t="str">
        <f>IFERROR(__xludf.DUMMYFUNCTION("if(REGEXMATCH(AR214,""(all)""),""X"",if(REGEXMATCH(AR214,""dungeoneering""),""X"",""""))"),"")</f>
        <v/>
      </c>
      <c r="R214" s="800" t="str">
        <f>IFERROR(__xludf.DUMMYFUNCTION("if(REGEXMATCH(AR214,""(all)""),""X"",if(REGEXMATCH(AR214,""engineering""),""X"",""""))"),"")</f>
        <v/>
      </c>
      <c r="S214" s="800" t="str">
        <f>IFERROR(__xludf.DUMMYFUNCTION("if(REGEXMATCH(AR214,""(all)""),""X"",if(REGEXMATCH(AR214,""geography""),""X"",""""))"),"")</f>
        <v/>
      </c>
      <c r="T214" s="800" t="str">
        <f>IFERROR(__xludf.DUMMYFUNCTION("if(REGEXMATCH(AR214,""(all)""),""X"",if(REGEXMATCH(AR214,""history""),""X"",""""))"),"")</f>
        <v/>
      </c>
      <c r="U214" s="800" t="str">
        <f>IFERROR(__xludf.DUMMYFUNCTION("if(REGEXMATCH(AR214,""(all)""),""X"",if(REGEXMATCH(AR214,""local""),""X"",""""))"),"X")</f>
        <v>X</v>
      </c>
      <c r="V214" s="800" t="str">
        <f>IFERROR(__xludf.DUMMYFUNCTION("if(REGEXMATCH(AR214,""(all)""),""X"",if(REGEXMATCH(AR214,""nature""),""X"",""""))"),"")</f>
        <v/>
      </c>
      <c r="W214" s="800" t="str">
        <f>IFERROR(__xludf.DUMMYFUNCTION("if(REGEXMATCH(AR214,""(all)""),""X"",if(REGEXMATCH(AR214,""nobility""),""X"",""""))"),"X")</f>
        <v>X</v>
      </c>
      <c r="X214" s="800" t="str">
        <f>IFERROR(__xludf.DUMMYFUNCTION("if(REGEXMATCH(AR214,""(all)""),""X"",if(REGEXMATCH(AR214,""planes""),""X"",""""))"),"")</f>
        <v/>
      </c>
      <c r="Y214" s="800" t="str">
        <f>IFERROR(__xludf.DUMMYFUNCTION("if(REGEXMATCH(AR214,""(all)""),""X"",if(REGEXMATCH(AR214,""religion""),""X"",""""))"),"")</f>
        <v/>
      </c>
      <c r="Z214" s="800" t="str">
        <f>IFERROR(__xludf.DUMMYFUNCTION("if(REGEXMATCH(AR214,$Z$168),""X"","""")"),"")</f>
        <v/>
      </c>
      <c r="AA214" s="800" t="str">
        <f>IFERROR(__xludf.DUMMYFUNCTION("if(REGEXMATCH(AR214,$AA$168),""X"","""")"),"X")</f>
        <v>X</v>
      </c>
      <c r="AB214" s="734" t="str">
        <f>IFERROR(__xludf.DUMMYFUNCTION("if(REGEXMATCH(AR214,""Perform""),""X"","""")"),"")</f>
        <v/>
      </c>
      <c r="AC214" s="734" t="str">
        <f t="shared" si="10"/>
        <v/>
      </c>
      <c r="AD214" s="734" t="str">
        <f>IFERROR(__xludf.DUMMYFUNCTION("if(REGEXMATCH(AR214,""Profession""),""X"","""")"),"")</f>
        <v/>
      </c>
      <c r="AE214" s="734" t="str">
        <f t="shared" si="11"/>
        <v/>
      </c>
      <c r="AF214" s="800" t="str">
        <f>IFERROR(__xludf.DUMMYFUNCTION("if(REGEXMATCH(AR214,$AF$168),""X"","""")"),"X")</f>
        <v>X</v>
      </c>
      <c r="AG214" s="800" t="str">
        <f>IFERROR(__xludf.DUMMYFUNCTION("if(REGEXMATCH(AR214,$AG$168),""X"","""")"),"X")</f>
        <v>X</v>
      </c>
      <c r="AH214" s="800" t="str">
        <f>IFERROR(__xludf.DUMMYFUNCTION("if(REGEXMATCH(AR214,$AH$168),""X"","""")"),"")</f>
        <v/>
      </c>
      <c r="AI214" s="800" t="str">
        <f>IFERROR(__xludf.DUMMYFUNCTION("if(REGEXMATCH(AR214,$AI$168),""X"","""")"),"X")</f>
        <v>X</v>
      </c>
      <c r="AJ214" s="739" t="str">
        <f>IFERROR(__xludf.DUMMYFUNCTION("if(REGEXMATCH(AR214,$AJ$168),""X"","""")"),"")</f>
        <v/>
      </c>
      <c r="AK214" s="800" t="str">
        <f>IFERROR(__xludf.DUMMYFUNCTION("if(REGEXMATCH(AR214,$AK$168),""X"","""")"),"X")</f>
        <v>X</v>
      </c>
      <c r="AL214" s="800" t="str">
        <f>IFERROR(__xludf.DUMMYFUNCTION("if(REGEXMATCH(AR214,$AL$168),""X"","""")"),"")</f>
        <v/>
      </c>
      <c r="AM214" s="800" t="str">
        <f>IFERROR(__xludf.DUMMYFUNCTION("if(REGEXMATCH(AR214,$AM$168),""X"","""")"),"")</f>
        <v/>
      </c>
      <c r="AN214" s="800"/>
      <c r="AO214" s="800"/>
      <c r="AP214" s="800" t="str">
        <f>IFERROR(__xludf.DUMMYFUNCTION("if(REGEXMATCH(AR214,""Craft""),""X"","""")"),"X")</f>
        <v>X</v>
      </c>
      <c r="AQ214" s="800" t="str">
        <f>IFERROR(__xludf.DUMMYFUNCTION("if(REGEXMATCH(AR214,""Knowledge""),""X"","""")"),"X")</f>
        <v>X</v>
      </c>
      <c r="AR214" s="646" t="s">
        <v>1024</v>
      </c>
      <c r="AS214" s="243"/>
      <c r="AT214" s="243"/>
      <c r="AU214" s="243"/>
      <c r="AV214" s="243"/>
      <c r="AW214" s="243"/>
      <c r="AX214" s="243"/>
      <c r="AY214" s="243"/>
      <c r="AZ214" s="243"/>
      <c r="BA214" s="243"/>
      <c r="BB214" s="243"/>
      <c r="BC214" s="243"/>
      <c r="BD214" s="243"/>
      <c r="BE214" s="243"/>
      <c r="BF214" s="243"/>
      <c r="BG214" s="243"/>
      <c r="BH214" s="243"/>
      <c r="BI214" s="243"/>
      <c r="BJ214" s="243"/>
      <c r="BK214" s="243"/>
      <c r="BL214" s="243"/>
    </row>
    <row r="215">
      <c r="A215" s="385" t="s">
        <v>518</v>
      </c>
      <c r="B215" s="734" t="str">
        <f>IFERROR(__xludf.DUMMYFUNCTION("if(REGEXMATCH(AR215,$B$168),""X"","""")"),"X")</f>
        <v>X</v>
      </c>
      <c r="C215" s="734" t="str">
        <f>IFERROR(__xludf.DUMMYFUNCTION("if(REGEXMATCH(AR215,$C$168),""X"","""")"),"")</f>
        <v/>
      </c>
      <c r="D215" s="800" t="str">
        <f>IFERROR(__xludf.DUMMYFUNCTION("if(REGEXMATCH(AR215,$D$168),""X"","""")"),"")</f>
        <v/>
      </c>
      <c r="E215" s="734" t="str">
        <f>IFERROR(__xludf.DUMMYFUNCTION("if(REGEXMATCH(AR215,$E$168),""X"","""")"),"X")</f>
        <v>X</v>
      </c>
      <c r="F215" s="734" t="str">
        <f>IFERROR(__xludf.DUMMYFUNCTION("if(REGEXMATCH(AR215,$F$168),""X"","""")"),"X")</f>
        <v>X</v>
      </c>
      <c r="G215" s="734" t="str">
        <f t="shared" si="9"/>
        <v>X</v>
      </c>
      <c r="H215" s="734" t="str">
        <f>IFERROR(__xludf.DUMMYFUNCTION("if(REGEXMATCH(AR215,$H$168),""X"","""")"),"")</f>
        <v/>
      </c>
      <c r="I215" s="800" t="str">
        <f>IFERROR(__xludf.DUMMYFUNCTION("if(REGEXMATCH(AR215,$I$168),""X"","""")"),"")</f>
        <v/>
      </c>
      <c r="J215" s="800" t="str">
        <f>IFERROR(__xludf.DUMMYFUNCTION("if(REGEXMATCH(AR215,$J$168),""X"","""")"),"")</f>
        <v/>
      </c>
      <c r="K215" s="800" t="str">
        <f>IFERROR(__xludf.DUMMYFUNCTION("if(REGEXMATCH(AR215,$K$168),""X"","""")"),"")</f>
        <v/>
      </c>
      <c r="L215" s="800" t="str">
        <f>IFERROR(__xludf.DUMMYFUNCTION("if(REGEXMATCH(AR215,$L$168),""X"","""")"),"X")</f>
        <v>X</v>
      </c>
      <c r="M215" s="800" t="str">
        <f>IFERROR(__xludf.DUMMYFUNCTION("if(REGEXMATCH(AR215,$M$168),""X"","""")"),"X")</f>
        <v>X</v>
      </c>
      <c r="N215" s="800" t="str">
        <f>IFERROR(__xludf.DUMMYFUNCTION("if(REGEXMATCH(AR215,$N$168),""X"","""")"),"X")</f>
        <v>X</v>
      </c>
      <c r="O215" s="800" t="str">
        <f>IFERROR(__xludf.DUMMYFUNCTION("if(REGEXMATCH(AR215,$O$168),""X"","""")"),"X")</f>
        <v>X</v>
      </c>
      <c r="P215" s="800" t="str">
        <f>IFERROR(__xludf.DUMMYFUNCTION("if(REGEXMATCH(AR215,""(all)""),""X"",if(REGEXMATCH(AR215,""arcana""),""X"",""""))"),"X")</f>
        <v>X</v>
      </c>
      <c r="Q215" s="800" t="str">
        <f>IFERROR(__xludf.DUMMYFUNCTION("if(REGEXMATCH(AR215,""(all)""),""X"",if(REGEXMATCH(AR215,""dungeoneering""),""X"",""""))"),"")</f>
        <v/>
      </c>
      <c r="R215" s="800" t="str">
        <f>IFERROR(__xludf.DUMMYFUNCTION("if(REGEXMATCH(AR215,""(all)""),""X"",if(REGEXMATCH(AR215,""engineering""),""X"",""""))"),"")</f>
        <v/>
      </c>
      <c r="S215" s="800" t="str">
        <f>IFERROR(__xludf.DUMMYFUNCTION("if(REGEXMATCH(AR215,""(all)""),""X"",if(REGEXMATCH(AR215,""geography""),""X"",""""))"),"X")</f>
        <v>X</v>
      </c>
      <c r="T215" s="800" t="str">
        <f>IFERROR(__xludf.DUMMYFUNCTION("if(REGEXMATCH(AR215,""(all)""),""X"",if(REGEXMATCH(AR215,""history""),""X"",""""))"),"")</f>
        <v/>
      </c>
      <c r="U215" s="800" t="str">
        <f>IFERROR(__xludf.DUMMYFUNCTION("if(REGEXMATCH(AR215,""(all)""),""X"",if(REGEXMATCH(AR215,""local""),""X"",""""))"),"")</f>
        <v/>
      </c>
      <c r="V215" s="800" t="str">
        <f>IFERROR(__xludf.DUMMYFUNCTION("if(REGEXMATCH(AR215,""(all)""),""X"",if(REGEXMATCH(AR215,""nature""),""X"",""""))"),"X")</f>
        <v>X</v>
      </c>
      <c r="W215" s="800" t="str">
        <f>IFERROR(__xludf.DUMMYFUNCTION("if(REGEXMATCH(AR215,""(all)""),""X"",if(REGEXMATCH(AR215,""nobility""),""X"",""""))"),"")</f>
        <v/>
      </c>
      <c r="X215" s="800" t="str">
        <f>IFERROR(__xludf.DUMMYFUNCTION("if(REGEXMATCH(AR215,""(all)""),""X"",if(REGEXMATCH(AR215,""planes""),""X"",""""))"),"")</f>
        <v/>
      </c>
      <c r="Y215" s="800" t="str">
        <f>IFERROR(__xludf.DUMMYFUNCTION("if(REGEXMATCH(AR215,""(all)""),""X"",if(REGEXMATCH(AR215,""religion""),""X"",""""))"),"")</f>
        <v/>
      </c>
      <c r="Z215" s="800" t="str">
        <f>IFERROR(__xludf.DUMMYFUNCTION("if(REGEXMATCH(AR215,$Z$168),""X"","""")"),"")</f>
        <v/>
      </c>
      <c r="AA215" s="800" t="str">
        <f>IFERROR(__xludf.DUMMYFUNCTION("if(REGEXMATCH(AR215,$AA$168),""X"","""")"),"X")</f>
        <v>X</v>
      </c>
      <c r="AB215" s="734" t="str">
        <f>IFERROR(__xludf.DUMMYFUNCTION("if(REGEXMATCH(AR215,""Perform""),""X"","""")"),"")</f>
        <v/>
      </c>
      <c r="AC215" s="734" t="str">
        <f t="shared" si="10"/>
        <v/>
      </c>
      <c r="AD215" s="734" t="str">
        <f>IFERROR(__xludf.DUMMYFUNCTION("if(REGEXMATCH(AR215,""Profession""),""X"","""")"),"X")</f>
        <v>X</v>
      </c>
      <c r="AE215" s="734" t="str">
        <f t="shared" si="11"/>
        <v>X</v>
      </c>
      <c r="AF215" s="800" t="str">
        <f>IFERROR(__xludf.DUMMYFUNCTION("if(REGEXMATCH(AR215,$AF$168),""X"","""")"),"X")</f>
        <v>X</v>
      </c>
      <c r="AG215" s="800" t="str">
        <f>IFERROR(__xludf.DUMMYFUNCTION("if(REGEXMATCH(AR215,$AG$168),""X"","""")"),"")</f>
        <v/>
      </c>
      <c r="AH215" s="800" t="str">
        <f>IFERROR(__xludf.DUMMYFUNCTION("if(REGEXMATCH(AR215,$AH$168),""X"","""")"),"")</f>
        <v/>
      </c>
      <c r="AI215" s="800" t="str">
        <f>IFERROR(__xludf.DUMMYFUNCTION("if(REGEXMATCH(AR215,$AI$168),""X"","""")"),"X")</f>
        <v>X</v>
      </c>
      <c r="AJ215" s="739" t="str">
        <f>IFERROR(__xludf.DUMMYFUNCTION("if(REGEXMATCH(AR215,$AJ$168),""X"","""")"),"X")</f>
        <v>X</v>
      </c>
      <c r="AK215" s="800" t="str">
        <f>IFERROR(__xludf.DUMMYFUNCTION("if(REGEXMATCH(AR215,$AK$168),""X"","""")"),"X")</f>
        <v>X</v>
      </c>
      <c r="AL215" s="800" t="str">
        <f>IFERROR(__xludf.DUMMYFUNCTION("if(REGEXMATCH(AR215,$AL$168),""X"","""")"),"X")</f>
        <v>X</v>
      </c>
      <c r="AM215" s="800" t="str">
        <f>IFERROR(__xludf.DUMMYFUNCTION("if(REGEXMATCH(AR215,$AM$168),""X"","""")"),"")</f>
        <v/>
      </c>
      <c r="AN215" s="800"/>
      <c r="AO215" s="800"/>
      <c r="AP215" s="800" t="str">
        <f>IFERROR(__xludf.DUMMYFUNCTION("if(REGEXMATCH(AR215,""Craft""),""X"","""")"),"X")</f>
        <v>X</v>
      </c>
      <c r="AQ215" s="800" t="str">
        <f>IFERROR(__xludf.DUMMYFUNCTION("if(REGEXMATCH(AR215,""Knowledge""),""X"","""")"),"X")</f>
        <v>X</v>
      </c>
      <c r="AR215" s="646" t="s">
        <v>1029</v>
      </c>
      <c r="AS215" s="243"/>
      <c r="AT215" s="243"/>
      <c r="AU215" s="243"/>
      <c r="AV215" s="243"/>
      <c r="AW215" s="243"/>
      <c r="AX215" s="243"/>
      <c r="AY215" s="243"/>
      <c r="AZ215" s="243"/>
      <c r="BA215" s="243"/>
      <c r="BB215" s="243"/>
      <c r="BC215" s="243"/>
      <c r="BD215" s="243"/>
      <c r="BE215" s="243"/>
      <c r="BF215" s="243"/>
      <c r="BG215" s="243"/>
      <c r="BH215" s="243"/>
      <c r="BI215" s="243"/>
      <c r="BJ215" s="243"/>
      <c r="BK215" s="243"/>
      <c r="BL215" s="243"/>
    </row>
    <row r="216">
      <c r="A216" s="385" t="s">
        <v>519</v>
      </c>
      <c r="B216" s="734" t="str">
        <f>IFERROR(__xludf.DUMMYFUNCTION("if(REGEXMATCH(AR216,$B$168),""X"","""")"),"X")</f>
        <v>X</v>
      </c>
      <c r="C216" s="734" t="str">
        <f>IFERROR(__xludf.DUMMYFUNCTION("if(REGEXMATCH(AR216,$C$168),""X"","""")"),"X")</f>
        <v>X</v>
      </c>
      <c r="D216" s="800" t="str">
        <f>IFERROR(__xludf.DUMMYFUNCTION("if(REGEXMATCH(AR216,$D$168),""X"","""")"),"")</f>
        <v/>
      </c>
      <c r="E216" s="734" t="str">
        <f>IFERROR(__xludf.DUMMYFUNCTION("if(REGEXMATCH(AR216,$E$168),""X"","""")"),"")</f>
        <v/>
      </c>
      <c r="F216" s="734" t="str">
        <f>IFERROR(__xludf.DUMMYFUNCTION("if(REGEXMATCH(AR216,$F$168),""X"","""")"),"X")</f>
        <v>X</v>
      </c>
      <c r="G216" s="734" t="str">
        <f t="shared" si="9"/>
        <v>X</v>
      </c>
      <c r="H216" s="734" t="str">
        <f>IFERROR(__xludf.DUMMYFUNCTION("if(REGEXMATCH(AR216,$H$168),""X"","""")"),"X")</f>
        <v>X</v>
      </c>
      <c r="I216" s="800" t="str">
        <f>IFERROR(__xludf.DUMMYFUNCTION("if(REGEXMATCH(AR216,$I$168),""X"","""")"),"X")</f>
        <v>X</v>
      </c>
      <c r="J216" s="800" t="str">
        <f>IFERROR(__xludf.DUMMYFUNCTION("if(REGEXMATCH(AR216,$J$168),""X"","""")"),"")</f>
        <v/>
      </c>
      <c r="K216" s="800" t="str">
        <f>IFERROR(__xludf.DUMMYFUNCTION("if(REGEXMATCH(AR216,$K$168),""X"","""")"),"X")</f>
        <v>X</v>
      </c>
      <c r="L216" s="800" t="str">
        <f>IFERROR(__xludf.DUMMYFUNCTION("if(REGEXMATCH(AR216,$L$168),""X"","""")"),"X")</f>
        <v>X</v>
      </c>
      <c r="M216" s="800" t="str">
        <f>IFERROR(__xludf.DUMMYFUNCTION("if(REGEXMATCH(AR216,$M$168),""X"","""")"),"")</f>
        <v/>
      </c>
      <c r="N216" s="800" t="str">
        <f>IFERROR(__xludf.DUMMYFUNCTION("if(REGEXMATCH(AR216,$N$168),""X"","""")"),"")</f>
        <v/>
      </c>
      <c r="O216" s="800" t="str">
        <f>IFERROR(__xludf.DUMMYFUNCTION("if(REGEXMATCH(AR216,$O$168),""X"","""")"),"X")</f>
        <v>X</v>
      </c>
      <c r="P216" s="800" t="str">
        <f>IFERROR(__xludf.DUMMYFUNCTION("if(REGEXMATCH(AR216,""(all)""),""X"",if(REGEXMATCH(AR216,""arcana""),""X"",""""))"),"")</f>
        <v/>
      </c>
      <c r="Q216" s="800" t="str">
        <f>IFERROR(__xludf.DUMMYFUNCTION("if(REGEXMATCH(AR216,""(all)""),""X"",if(REGEXMATCH(AR216,""dungeoneering""),""X"",""""))"),"")</f>
        <v/>
      </c>
      <c r="R216" s="800" t="str">
        <f>IFERROR(__xludf.DUMMYFUNCTION("if(REGEXMATCH(AR216,""(all)""),""X"",if(REGEXMATCH(AR216,""engineering""),""X"",""""))"),"")</f>
        <v/>
      </c>
      <c r="S216" s="800" t="str">
        <f>IFERROR(__xludf.DUMMYFUNCTION("if(REGEXMATCH(AR216,""(all)""),""X"",if(REGEXMATCH(AR216,""geography""),""X"",""""))"),"")</f>
        <v/>
      </c>
      <c r="T216" s="800" t="str">
        <f>IFERROR(__xludf.DUMMYFUNCTION("if(REGEXMATCH(AR216,""(all)""),""X"",if(REGEXMATCH(AR216,""history""),""X"",""""))"),"")</f>
        <v/>
      </c>
      <c r="U216" s="800" t="str">
        <f>IFERROR(__xludf.DUMMYFUNCTION("if(REGEXMATCH(AR216,""(all)""),""X"",if(REGEXMATCH(AR216,""local""),""X"",""""))"),"")</f>
        <v/>
      </c>
      <c r="V216" s="800" t="str">
        <f>IFERROR(__xludf.DUMMYFUNCTION("if(REGEXMATCH(AR216,""(all)""),""X"",if(REGEXMATCH(AR216,""nature""),""X"",""""))"),"")</f>
        <v/>
      </c>
      <c r="W216" s="800" t="str">
        <f>IFERROR(__xludf.DUMMYFUNCTION("if(REGEXMATCH(AR216,""(all)""),""X"",if(REGEXMATCH(AR216,""nobility""),""X"",""""))"),"")</f>
        <v/>
      </c>
      <c r="X216" s="800" t="str">
        <f>IFERROR(__xludf.DUMMYFUNCTION("if(REGEXMATCH(AR216,""(all)""),""X"",if(REGEXMATCH(AR216,""planes""),""X"",""""))"),"")</f>
        <v/>
      </c>
      <c r="Y216" s="800" t="str">
        <f>IFERROR(__xludf.DUMMYFUNCTION("if(REGEXMATCH(AR216,""(all)""),""X"",if(REGEXMATCH(AR216,""religion""),""X"",""""))"),"")</f>
        <v/>
      </c>
      <c r="Z216" s="800" t="str">
        <f>IFERROR(__xludf.DUMMYFUNCTION("if(REGEXMATCH(AR216,$Z$168),""X"","""")"),"")</f>
        <v/>
      </c>
      <c r="AA216" s="800" t="str">
        <f>IFERROR(__xludf.DUMMYFUNCTION("if(REGEXMATCH(AR216,$AA$168),""X"","""")"),"X")</f>
        <v>X</v>
      </c>
      <c r="AB216" s="734" t="str">
        <f>IFERROR(__xludf.DUMMYFUNCTION("if(REGEXMATCH(AR216,""Perform""),""X"","""")"),"")</f>
        <v/>
      </c>
      <c r="AC216" s="734" t="str">
        <f t="shared" si="10"/>
        <v/>
      </c>
      <c r="AD216" s="734" t="str">
        <f>IFERROR(__xludf.DUMMYFUNCTION("if(REGEXMATCH(AR216,""Profession""),""X"","""")"),"")</f>
        <v/>
      </c>
      <c r="AE216" s="734" t="str">
        <f t="shared" si="11"/>
        <v/>
      </c>
      <c r="AF216" s="800" t="str">
        <f>IFERROR(__xludf.DUMMYFUNCTION("if(REGEXMATCH(AR216,$AF$168),""X"","""")"),"X")</f>
        <v>X</v>
      </c>
      <c r="AG216" s="800" t="str">
        <f>IFERROR(__xludf.DUMMYFUNCTION("if(REGEXMATCH(AR216,$AG$168),""X"","""")"),"X")</f>
        <v>X</v>
      </c>
      <c r="AH216" s="800" t="str">
        <f>IFERROR(__xludf.DUMMYFUNCTION("if(REGEXMATCH(AR216,$AH$168),""X"","""")"),"")</f>
        <v/>
      </c>
      <c r="AI216" s="800" t="str">
        <f>IFERROR(__xludf.DUMMYFUNCTION("if(REGEXMATCH(AR216,$AI$168),""X"","""")"),"X")</f>
        <v>X</v>
      </c>
      <c r="AJ216" s="739" t="str">
        <f>IFERROR(__xludf.DUMMYFUNCTION("if(REGEXMATCH(AR216,$AJ$168),""X"","""")"),"")</f>
        <v/>
      </c>
      <c r="AK216" s="800" t="str">
        <f>IFERROR(__xludf.DUMMYFUNCTION("if(REGEXMATCH(AR216,$AK$168),""X"","""")"),"")</f>
        <v/>
      </c>
      <c r="AL216" s="800" t="str">
        <f>IFERROR(__xludf.DUMMYFUNCTION("if(REGEXMATCH(AR216,$AL$168),""X"","""")"),"X")</f>
        <v>X</v>
      </c>
      <c r="AM216" s="800" t="str">
        <f>IFERROR(__xludf.DUMMYFUNCTION("if(REGEXMATCH(AR216,$AM$168),""X"","""")"),"")</f>
        <v/>
      </c>
      <c r="AN216" s="800"/>
      <c r="AO216" s="800"/>
      <c r="AP216" s="800" t="str">
        <f>IFERROR(__xludf.DUMMYFUNCTION("if(REGEXMATCH(AR216,""Craft""),""X"","""")"),"X")</f>
        <v>X</v>
      </c>
      <c r="AQ216" s="800" t="str">
        <f>IFERROR(__xludf.DUMMYFUNCTION("if(REGEXMATCH(AR216,""Knowledge""),""X"","""")"),"X")</f>
        <v>X</v>
      </c>
      <c r="AR216" s="646" t="s">
        <v>1035</v>
      </c>
      <c r="AS216" s="243"/>
      <c r="AT216" s="243"/>
      <c r="AU216" s="243"/>
      <c r="AV216" s="243"/>
      <c r="AW216" s="243"/>
      <c r="AX216" s="243"/>
      <c r="AY216" s="243"/>
      <c r="AZ216" s="243"/>
      <c r="BA216" s="243"/>
      <c r="BB216" s="243"/>
      <c r="BC216" s="243"/>
      <c r="BD216" s="243"/>
      <c r="BE216" s="243"/>
      <c r="BF216" s="243"/>
      <c r="BG216" s="243"/>
      <c r="BH216" s="243"/>
      <c r="BI216" s="243"/>
      <c r="BJ216" s="243"/>
      <c r="BK216" s="243"/>
      <c r="BL216" s="243"/>
    </row>
    <row r="217">
      <c r="A217" s="385" t="s">
        <v>521</v>
      </c>
      <c r="B217" s="734" t="str">
        <f>IFERROR(__xludf.DUMMYFUNCTION("if(REGEXMATCH(AR217,$B$168),""X"","""")"),"")</f>
        <v/>
      </c>
      <c r="C217" s="734" t="str">
        <f>IFERROR(__xludf.DUMMYFUNCTION("if(REGEXMATCH(AR217,$C$168),""X"","""")"),"")</f>
        <v/>
      </c>
      <c r="D217" s="800" t="str">
        <f>IFERROR(__xludf.DUMMYFUNCTION("if(REGEXMATCH(AR217,$D$168),""X"","""")"),"X")</f>
        <v>X</v>
      </c>
      <c r="E217" s="734" t="str">
        <f>IFERROR(__xludf.DUMMYFUNCTION("if(REGEXMATCH(AR217,$E$168),""X"","""")"),"X")</f>
        <v>X</v>
      </c>
      <c r="F217" s="734" t="str">
        <f>IFERROR(__xludf.DUMMYFUNCTION("if(REGEXMATCH(AR217,$F$168),""X"","""")"),"X")</f>
        <v>X</v>
      </c>
      <c r="G217" s="734" t="str">
        <f t="shared" si="9"/>
        <v>X</v>
      </c>
      <c r="H217" s="734" t="str">
        <f>IFERROR(__xludf.DUMMYFUNCTION("if(REGEXMATCH(AR217,$H$168),""X"","""")"),"X")</f>
        <v>X</v>
      </c>
      <c r="I217" s="800" t="str">
        <f>IFERROR(__xludf.DUMMYFUNCTION("if(REGEXMATCH(AR217,$I$168),""X"","""")"),"")</f>
        <v/>
      </c>
      <c r="J217" s="800" t="str">
        <f>IFERROR(__xludf.DUMMYFUNCTION("if(REGEXMATCH(AR217,$J$168),""X"","""")"),"X")</f>
        <v>X</v>
      </c>
      <c r="K217" s="800" t="str">
        <f>IFERROR(__xludf.DUMMYFUNCTION("if(REGEXMATCH(AR217,$K$168),""X"","""")"),"")</f>
        <v/>
      </c>
      <c r="L217" s="800" t="str">
        <f>IFERROR(__xludf.DUMMYFUNCTION("if(REGEXMATCH(AR217,$L$168),""X"","""")"),"X")</f>
        <v>X</v>
      </c>
      <c r="M217" s="800" t="str">
        <f>IFERROR(__xludf.DUMMYFUNCTION("if(REGEXMATCH(AR217,$M$168),""X"","""")"),"X")</f>
        <v>X</v>
      </c>
      <c r="N217" s="800" t="str">
        <f>IFERROR(__xludf.DUMMYFUNCTION("if(REGEXMATCH(AR217,$N$168),""X"","""")"),"X")</f>
        <v>X</v>
      </c>
      <c r="O217" s="800" t="str">
        <f>IFERROR(__xludf.DUMMYFUNCTION("if(REGEXMATCH(AR217,$O$168),""X"","""")"),"X")</f>
        <v>X</v>
      </c>
      <c r="P217" s="800" t="str">
        <f>IFERROR(__xludf.DUMMYFUNCTION("if(REGEXMATCH(AR217,""(all)""),""X"",if(REGEXMATCH(AR217,""arcana""),""X"",""""))"),"X")</f>
        <v>X</v>
      </c>
      <c r="Q217" s="800" t="str">
        <f>IFERROR(__xludf.DUMMYFUNCTION("if(REGEXMATCH(AR217,""(all)""),""X"",if(REGEXMATCH(AR217,""dungeoneering""),""X"",""""))"),"")</f>
        <v/>
      </c>
      <c r="R217" s="800" t="str">
        <f>IFERROR(__xludf.DUMMYFUNCTION("if(REGEXMATCH(AR217,""(all)""),""X"",if(REGEXMATCH(AR217,""engineering""),""X"",""""))"),"")</f>
        <v/>
      </c>
      <c r="S217" s="800" t="str">
        <f>IFERROR(__xludf.DUMMYFUNCTION("if(REGEXMATCH(AR217,""(all)""),""X"",if(REGEXMATCH(AR217,""geography""),""X"",""""))"),"X")</f>
        <v>X</v>
      </c>
      <c r="T217" s="800" t="str">
        <f>IFERROR(__xludf.DUMMYFUNCTION("if(REGEXMATCH(AR217,""(all)""),""X"",if(REGEXMATCH(AR217,""history""),""X"",""""))"),"X")</f>
        <v>X</v>
      </c>
      <c r="U217" s="800" t="str">
        <f>IFERROR(__xludf.DUMMYFUNCTION("if(REGEXMATCH(AR217,""(all)""),""X"",if(REGEXMATCH(AR217,""local""),""X"",""""))"),"")</f>
        <v/>
      </c>
      <c r="V217" s="800" t="str">
        <f>IFERROR(__xludf.DUMMYFUNCTION("if(REGEXMATCH(AR217,""(all)""),""X"",if(REGEXMATCH(AR217,""nature""),""X"",""""))"),"X")</f>
        <v>X</v>
      </c>
      <c r="W217" s="800" t="str">
        <f>IFERROR(__xludf.DUMMYFUNCTION("if(REGEXMATCH(AR217,""(all)""),""X"",if(REGEXMATCH(AR217,""nobility""),""X"",""""))"),"")</f>
        <v/>
      </c>
      <c r="X217" s="800" t="str">
        <f>IFERROR(__xludf.DUMMYFUNCTION("if(REGEXMATCH(AR217,""(all)""),""X"",if(REGEXMATCH(AR217,""planes""),""X"",""""))"),"X")</f>
        <v>X</v>
      </c>
      <c r="Y217" s="800" t="str">
        <f>IFERROR(__xludf.DUMMYFUNCTION("if(REGEXMATCH(AR217,""(all)""),""X"",if(REGEXMATCH(AR217,""religion""),""X"",""""))"),"")</f>
        <v/>
      </c>
      <c r="Z217" s="800" t="str">
        <f>IFERROR(__xludf.DUMMYFUNCTION("if(REGEXMATCH(AR217,$Z$168),""X"","""")"),"")</f>
        <v/>
      </c>
      <c r="AA217" s="800" t="str">
        <f>IFERROR(__xludf.DUMMYFUNCTION("if(REGEXMATCH(AR217,$AA$168),""X"","""")"),"X")</f>
        <v>X</v>
      </c>
      <c r="AB217" s="734" t="str">
        <f>IFERROR(__xludf.DUMMYFUNCTION("if(REGEXMATCH(AR217,""Perform""),""X"","""")"),"")</f>
        <v/>
      </c>
      <c r="AC217" s="734" t="str">
        <f t="shared" si="10"/>
        <v/>
      </c>
      <c r="AD217" s="734" t="str">
        <f>IFERROR(__xludf.DUMMYFUNCTION("if(REGEXMATCH(AR217,""Profession""),""X"","""")"),"X")</f>
        <v>X</v>
      </c>
      <c r="AE217" s="734" t="str">
        <f t="shared" si="11"/>
        <v>X</v>
      </c>
      <c r="AF217" s="800" t="str">
        <f>IFERROR(__xludf.DUMMYFUNCTION("if(REGEXMATCH(AR217,$AF$168),""X"","""")"),"")</f>
        <v/>
      </c>
      <c r="AG217" s="800" t="str">
        <f>IFERROR(__xludf.DUMMYFUNCTION("if(REGEXMATCH(AR217,$AG$168),""X"","""")"),"X")</f>
        <v>X</v>
      </c>
      <c r="AH217" s="800" t="str">
        <f>IFERROR(__xludf.DUMMYFUNCTION("if(REGEXMATCH(AR217,$AH$168),""X"","""")"),"")</f>
        <v/>
      </c>
      <c r="AI217" s="800" t="str">
        <f>IFERROR(__xludf.DUMMYFUNCTION("if(REGEXMATCH(AR217,$AI$168),""X"","""")"),"X")</f>
        <v>X</v>
      </c>
      <c r="AJ217" s="739" t="str">
        <f>IFERROR(__xludf.DUMMYFUNCTION("if(REGEXMATCH(AR217,$AJ$168),""X"","""")"),"")</f>
        <v/>
      </c>
      <c r="AK217" s="800" t="str">
        <f>IFERROR(__xludf.DUMMYFUNCTION("if(REGEXMATCH(AR217,$AK$168),""X"","""")"),"X")</f>
        <v>X</v>
      </c>
      <c r="AL217" s="800" t="str">
        <f>IFERROR(__xludf.DUMMYFUNCTION("if(REGEXMATCH(AR217,$AL$168),""X"","""")"),"X")</f>
        <v>X</v>
      </c>
      <c r="AM217" s="800" t="str">
        <f>IFERROR(__xludf.DUMMYFUNCTION("if(REGEXMATCH(AR217,$AM$168),""X"","""")"),"X")</f>
        <v>X</v>
      </c>
      <c r="AN217" s="800"/>
      <c r="AO217" s="800"/>
      <c r="AP217" s="800" t="str">
        <f>IFERROR(__xludf.DUMMYFUNCTION("if(REGEXMATCH(AR217,""Craft""),""X"","""")"),"X")</f>
        <v>X</v>
      </c>
      <c r="AQ217" s="800" t="str">
        <f>IFERROR(__xludf.DUMMYFUNCTION("if(REGEXMATCH(AR217,""Knowledge""),""X"","""")"),"X")</f>
        <v>X</v>
      </c>
      <c r="AR217" s="646" t="s">
        <v>1039</v>
      </c>
      <c r="AS217" s="243"/>
      <c r="AT217" s="243"/>
      <c r="AU217" s="243"/>
      <c r="AV217" s="243"/>
      <c r="AW217" s="243"/>
      <c r="AX217" s="243"/>
      <c r="AY217" s="243"/>
      <c r="AZ217" s="243"/>
      <c r="BA217" s="243"/>
      <c r="BB217" s="243"/>
      <c r="BC217" s="243"/>
      <c r="BD217" s="243"/>
      <c r="BE217" s="243"/>
      <c r="BF217" s="243"/>
      <c r="BG217" s="243"/>
      <c r="BH217" s="243"/>
      <c r="BI217" s="243"/>
      <c r="BJ217" s="243"/>
      <c r="BK217" s="243"/>
      <c r="BL217" s="243"/>
    </row>
    <row r="218">
      <c r="A218" s="385" t="s">
        <v>522</v>
      </c>
      <c r="B218" s="734" t="str">
        <f>IFERROR(__xludf.DUMMYFUNCTION("if(REGEXMATCH(AR218,$B$168),""X"","""")"),"X")</f>
        <v>X</v>
      </c>
      <c r="C218" s="734" t="str">
        <f>IFERROR(__xludf.DUMMYFUNCTION("if(REGEXMATCH(AR218,$C$168),""X"","""")"),"X")</f>
        <v>X</v>
      </c>
      <c r="D218" s="800" t="str">
        <f>IFERROR(__xludf.DUMMYFUNCTION("if(REGEXMATCH(AR218,$D$168),""X"","""")"),"X")</f>
        <v>X</v>
      </c>
      <c r="E218" s="734" t="str">
        <f>IFERROR(__xludf.DUMMYFUNCTION("if(REGEXMATCH(AR218,$E$168),""X"","""")"),"X")</f>
        <v>X</v>
      </c>
      <c r="F218" s="734" t="str">
        <f>IFERROR(__xludf.DUMMYFUNCTION("if(REGEXMATCH(AR218,$F$168),""X"","""")"),"X")</f>
        <v>X</v>
      </c>
      <c r="G218" s="734" t="str">
        <f t="shared" si="9"/>
        <v>X</v>
      </c>
      <c r="H218" s="734" t="str">
        <f>IFERROR(__xludf.DUMMYFUNCTION("if(REGEXMATCH(AR218,$H$168),""X"","""")"),"X")</f>
        <v>X</v>
      </c>
      <c r="I218" s="800" t="str">
        <f>IFERROR(__xludf.DUMMYFUNCTION("if(REGEXMATCH(AR218,$I$168),""X"","""")"),"X")</f>
        <v>X</v>
      </c>
      <c r="J218" s="800" t="str">
        <f>IFERROR(__xludf.DUMMYFUNCTION("if(REGEXMATCH(AR218,$J$168),""X"","""")"),"X")</f>
        <v>X</v>
      </c>
      <c r="K218" s="800" t="str">
        <f>IFERROR(__xludf.DUMMYFUNCTION("if(REGEXMATCH(AR218,$K$168),""X"","""")"),"X")</f>
        <v>X</v>
      </c>
      <c r="L218" s="800" t="str">
        <f>IFERROR(__xludf.DUMMYFUNCTION("if(REGEXMATCH(AR218,$L$168),""X"","""")"),"")</f>
        <v/>
      </c>
      <c r="M218" s="800" t="str">
        <f>IFERROR(__xludf.DUMMYFUNCTION("if(REGEXMATCH(AR218,$M$168),""X"","""")"),"")</f>
        <v/>
      </c>
      <c r="N218" s="800" t="str">
        <f>IFERROR(__xludf.DUMMYFUNCTION("if(REGEXMATCH(AR218,$N$168),""X"","""")"),"")</f>
        <v/>
      </c>
      <c r="O218" s="800" t="str">
        <f>IFERROR(__xludf.DUMMYFUNCTION("if(REGEXMATCH(AR218,$O$168),""X"","""")"),"X")</f>
        <v>X</v>
      </c>
      <c r="P218" s="800" t="str">
        <f>IFERROR(__xludf.DUMMYFUNCTION("if(REGEXMATCH(AR218,""(all)""),""X"",if(REGEXMATCH(AR218,""arcana""),""X"",""""))"),"")</f>
        <v/>
      </c>
      <c r="Q218" s="800" t="str">
        <f>IFERROR(__xludf.DUMMYFUNCTION("if(REGEXMATCH(AR218,""(all)""),""X"",if(REGEXMATCH(AR218,""dungeoneering""),""X"",""""))"),"")</f>
        <v/>
      </c>
      <c r="R218" s="800" t="str">
        <f>IFERROR(__xludf.DUMMYFUNCTION("if(REGEXMATCH(AR218,""(all)""),""X"",if(REGEXMATCH(AR218,""engineering""),""X"",""""))"),"")</f>
        <v/>
      </c>
      <c r="S218" s="800" t="str">
        <f>IFERROR(__xludf.DUMMYFUNCTION("if(REGEXMATCH(AR218,""(all)""),""X"",if(REGEXMATCH(AR218,""geography""),""X"",""""))"),"")</f>
        <v/>
      </c>
      <c r="T218" s="800" t="str">
        <f>IFERROR(__xludf.DUMMYFUNCTION("if(REGEXMATCH(AR218,""(all)""),""X"",if(REGEXMATCH(AR218,""history""),""X"",""""))"),"X")</f>
        <v>X</v>
      </c>
      <c r="U218" s="800" t="str">
        <f>IFERROR(__xludf.DUMMYFUNCTION("if(REGEXMATCH(AR218,""(all)""),""X"",if(REGEXMATCH(AR218,""local""),""X"",""""))"),"X")</f>
        <v>X</v>
      </c>
      <c r="V218" s="800" t="str">
        <f>IFERROR(__xludf.DUMMYFUNCTION("if(REGEXMATCH(AR218,""(all)""),""X"",if(REGEXMATCH(AR218,""nature""),""X"",""""))"),"")</f>
        <v/>
      </c>
      <c r="W218" s="800" t="str">
        <f>IFERROR(__xludf.DUMMYFUNCTION("if(REGEXMATCH(AR218,""(all)""),""X"",if(REGEXMATCH(AR218,""nobility""),""X"",""""))"),"")</f>
        <v/>
      </c>
      <c r="X218" s="800" t="str">
        <f>IFERROR(__xludf.DUMMYFUNCTION("if(REGEXMATCH(AR218,""(all)""),""X"",if(REGEXMATCH(AR218,""planes""),""X"",""""))"),"")</f>
        <v/>
      </c>
      <c r="Y218" s="800" t="str">
        <f>IFERROR(__xludf.DUMMYFUNCTION("if(REGEXMATCH(AR218,""(all)""),""X"",if(REGEXMATCH(AR218,""religion""),""X"",""""))"),"X")</f>
        <v>X</v>
      </c>
      <c r="Z218" s="800" t="str">
        <f>IFERROR(__xludf.DUMMYFUNCTION("if(REGEXMATCH(AR218,$Z$168),""X"","""")"),"")</f>
        <v/>
      </c>
      <c r="AA218" s="800" t="str">
        <f>IFERROR(__xludf.DUMMYFUNCTION("if(REGEXMATCH(AR218,$AA$168),""X"","""")"),"X")</f>
        <v>X</v>
      </c>
      <c r="AB218" s="734" t="str">
        <f>IFERROR(__xludf.DUMMYFUNCTION("if(REGEXMATCH(AR218,""Perform""),""X"","""")"),"")</f>
        <v/>
      </c>
      <c r="AC218" s="734" t="str">
        <f t="shared" si="10"/>
        <v/>
      </c>
      <c r="AD218" s="734" t="str">
        <f>IFERROR(__xludf.DUMMYFUNCTION("if(REGEXMATCH(AR218,""Profession""),""X"","""")"),"X")</f>
        <v>X</v>
      </c>
      <c r="AE218" s="734" t="str">
        <f t="shared" si="11"/>
        <v>X</v>
      </c>
      <c r="AF218" s="800" t="str">
        <f>IFERROR(__xludf.DUMMYFUNCTION("if(REGEXMATCH(AR218,$AF$168),""X"","""")"),"")</f>
        <v/>
      </c>
      <c r="AG218" s="800" t="str">
        <f>IFERROR(__xludf.DUMMYFUNCTION("if(REGEXMATCH(AR218,$AG$168),""X"","""")"),"X")</f>
        <v>X</v>
      </c>
      <c r="AH218" s="800" t="str">
        <f>IFERROR(__xludf.DUMMYFUNCTION("if(REGEXMATCH(AR218,$AH$168),""X"","""")"),"X")</f>
        <v>X</v>
      </c>
      <c r="AI218" s="800" t="str">
        <f>IFERROR(__xludf.DUMMYFUNCTION("if(REGEXMATCH(AR218,$AI$168),""X"","""")"),"")</f>
        <v/>
      </c>
      <c r="AJ218" s="739" t="str">
        <f>IFERROR(__xludf.DUMMYFUNCTION("if(REGEXMATCH(AR218,$AJ$168),""X"","""")"),"X")</f>
        <v>X</v>
      </c>
      <c r="AK218" s="800" t="str">
        <f>IFERROR(__xludf.DUMMYFUNCTION("if(REGEXMATCH(AR218,$AK$168),""X"","""")"),"")</f>
        <v/>
      </c>
      <c r="AL218" s="800" t="str">
        <f>IFERROR(__xludf.DUMMYFUNCTION("if(REGEXMATCH(AR218,$AL$168),""X"","""")"),"X")</f>
        <v>X</v>
      </c>
      <c r="AM218" s="800" t="str">
        <f>IFERROR(__xludf.DUMMYFUNCTION("if(REGEXMATCH(AR218,$AM$168),""X"","""")"),"X")</f>
        <v>X</v>
      </c>
      <c r="AN218" s="800"/>
      <c r="AO218" s="800"/>
      <c r="AP218" s="800" t="str">
        <f>IFERROR(__xludf.DUMMYFUNCTION("if(REGEXMATCH(AR218,""Craft""),""X"","""")"),"X")</f>
        <v>X</v>
      </c>
      <c r="AQ218" s="800" t="str">
        <f>IFERROR(__xludf.DUMMYFUNCTION("if(REGEXMATCH(AR218,""Knowledge""),""X"","""")"),"X")</f>
        <v>X</v>
      </c>
      <c r="AR218" s="646" t="s">
        <v>1044</v>
      </c>
      <c r="AS218" s="243"/>
      <c r="AT218" s="243"/>
      <c r="AU218" s="243"/>
      <c r="AV218" s="243"/>
      <c r="AW218" s="243"/>
      <c r="AX218" s="243"/>
      <c r="AY218" s="243"/>
      <c r="AZ218" s="243"/>
      <c r="BA218" s="243"/>
      <c r="BB218" s="243"/>
      <c r="BC218" s="243"/>
      <c r="BD218" s="243"/>
      <c r="BE218" s="243"/>
      <c r="BF218" s="243"/>
      <c r="BG218" s="243"/>
      <c r="BH218" s="243"/>
      <c r="BI218" s="243"/>
      <c r="BJ218" s="243"/>
      <c r="BK218" s="243"/>
      <c r="BL218" s="243"/>
    </row>
    <row r="219">
      <c r="A219" s="385" t="s">
        <v>523</v>
      </c>
      <c r="B219" s="734" t="str">
        <f>IFERROR(__xludf.DUMMYFUNCTION("if(REGEXMATCH(AR219,$B$168),""X"","""")"),"X")</f>
        <v>X</v>
      </c>
      <c r="C219" s="734" t="str">
        <f>IFERROR(__xludf.DUMMYFUNCTION("if(REGEXMATCH(AR219,$C$168),""X"","""")"),"")</f>
        <v/>
      </c>
      <c r="D219" s="800" t="str">
        <f>IFERROR(__xludf.DUMMYFUNCTION("if(REGEXMATCH(AR219,$D$168),""X"","""")"),"")</f>
        <v/>
      </c>
      <c r="E219" s="734" t="str">
        <f>IFERROR(__xludf.DUMMYFUNCTION("if(REGEXMATCH(AR219,$E$168),""X"","""")"),"X")</f>
        <v>X</v>
      </c>
      <c r="F219" s="734" t="str">
        <f>IFERROR(__xludf.DUMMYFUNCTION("if(REGEXMATCH(AR219,$F$168),""X"","""")"),"X")</f>
        <v>X</v>
      </c>
      <c r="G219" s="734" t="str">
        <f t="shared" si="9"/>
        <v>X</v>
      </c>
      <c r="H219" s="734" t="str">
        <f>IFERROR(__xludf.DUMMYFUNCTION("if(REGEXMATCH(AR219,$H$168),""X"","""")"),"")</f>
        <v/>
      </c>
      <c r="I219" s="800" t="str">
        <f>IFERROR(__xludf.DUMMYFUNCTION("if(REGEXMATCH(AR219,$I$168),""X"","""")"),"")</f>
        <v/>
      </c>
      <c r="J219" s="800" t="str">
        <f>IFERROR(__xludf.DUMMYFUNCTION("if(REGEXMATCH(AR219,$J$168),""X"","""")"),"")</f>
        <v/>
      </c>
      <c r="K219" s="800" t="str">
        <f>IFERROR(__xludf.DUMMYFUNCTION("if(REGEXMATCH(AR219,$K$168),""X"","""")"),"")</f>
        <v/>
      </c>
      <c r="L219" s="800" t="str">
        <f>IFERROR(__xludf.DUMMYFUNCTION("if(REGEXMATCH(AR219,$L$168),""X"","""")"),"")</f>
        <v/>
      </c>
      <c r="M219" s="800" t="str">
        <f>IFERROR(__xludf.DUMMYFUNCTION("if(REGEXMATCH(AR219,$M$168),""X"","""")"),"")</f>
        <v/>
      </c>
      <c r="N219" s="800" t="str">
        <f>IFERROR(__xludf.DUMMYFUNCTION("if(REGEXMATCH(AR219,$N$168),""X"","""")"),"")</f>
        <v/>
      </c>
      <c r="O219" s="800" t="str">
        <f>IFERROR(__xludf.DUMMYFUNCTION("if(REGEXMATCH(AR219,$O$168),""X"","""")"),"")</f>
        <v/>
      </c>
      <c r="P219" s="800" t="str">
        <f>IFERROR(__xludf.DUMMYFUNCTION("if(REGEXMATCH(AR219,""(all)""),""X"",if(REGEXMATCH(AR219,""arcana""),""X"",""""))"),"")</f>
        <v/>
      </c>
      <c r="Q219" s="800" t="str">
        <f>IFERROR(__xludf.DUMMYFUNCTION("if(REGEXMATCH(AR219,""(all)""),""X"",if(REGEXMATCH(AR219,""dungeoneering""),""X"",""""))"),"X")</f>
        <v>X</v>
      </c>
      <c r="R219" s="800" t="str">
        <f>IFERROR(__xludf.DUMMYFUNCTION("if(REGEXMATCH(AR219,""(all)""),""X"",if(REGEXMATCH(AR219,""engineering""),""X"",""""))"),"X")</f>
        <v>X</v>
      </c>
      <c r="S219" s="800" t="str">
        <f>IFERROR(__xludf.DUMMYFUNCTION("if(REGEXMATCH(AR219,""(all)""),""X"",if(REGEXMATCH(AR219,""geography""),""X"",""""))"),"")</f>
        <v/>
      </c>
      <c r="T219" s="800" t="str">
        <f>IFERROR(__xludf.DUMMYFUNCTION("if(REGEXMATCH(AR219,""(all)""),""X"",if(REGEXMATCH(AR219,""history""),""X"",""""))"),"")</f>
        <v/>
      </c>
      <c r="U219" s="800" t="str">
        <f>IFERROR(__xludf.DUMMYFUNCTION("if(REGEXMATCH(AR219,""(all)""),""X"",if(REGEXMATCH(AR219,""local""),""X"",""""))"),"X")</f>
        <v>X</v>
      </c>
      <c r="V219" s="800" t="str">
        <f>IFERROR(__xludf.DUMMYFUNCTION("if(REGEXMATCH(AR219,""(all)""),""X"",if(REGEXMATCH(AR219,""nature""),""X"",""""))"),"")</f>
        <v/>
      </c>
      <c r="W219" s="800" t="str">
        <f>IFERROR(__xludf.DUMMYFUNCTION("if(REGEXMATCH(AR219,""(all)""),""X"",if(REGEXMATCH(AR219,""nobility""),""X"",""""))"),"X")</f>
        <v>X</v>
      </c>
      <c r="X219" s="800" t="str">
        <f>IFERROR(__xludf.DUMMYFUNCTION("if(REGEXMATCH(AR219,""(all)""),""X"",if(REGEXMATCH(AR219,""planes""),""X"",""""))"),"")</f>
        <v/>
      </c>
      <c r="Y219" s="800" t="str">
        <f>IFERROR(__xludf.DUMMYFUNCTION("if(REGEXMATCH(AR219,""(all)""),""X"",if(REGEXMATCH(AR219,""religion""),""X"",""""))"),"")</f>
        <v/>
      </c>
      <c r="Z219" s="800" t="str">
        <f>IFERROR(__xludf.DUMMYFUNCTION("if(REGEXMATCH(AR219,$Z$168),""X"","""")"),"")</f>
        <v/>
      </c>
      <c r="AA219" s="800" t="str">
        <f>IFERROR(__xludf.DUMMYFUNCTION("if(REGEXMATCH(AR219,$AA$168),""X"","""")"),"X")</f>
        <v>X</v>
      </c>
      <c r="AB219" s="734" t="str">
        <f>IFERROR(__xludf.DUMMYFUNCTION("if(REGEXMATCH(AR219,""Perform""),""X"","""")"),"")</f>
        <v/>
      </c>
      <c r="AC219" s="734" t="str">
        <f t="shared" si="10"/>
        <v/>
      </c>
      <c r="AD219" s="734" t="str">
        <f>IFERROR(__xludf.DUMMYFUNCTION("if(REGEXMATCH(AR219,""Profession""),""X"","""")"),"X")</f>
        <v>X</v>
      </c>
      <c r="AE219" s="734" t="str">
        <f t="shared" si="11"/>
        <v>X</v>
      </c>
      <c r="AF219" s="800" t="str">
        <f>IFERROR(__xludf.DUMMYFUNCTION("if(REGEXMATCH(AR219,$AF$168),""X"","""")"),"X")</f>
        <v>X</v>
      </c>
      <c r="AG219" s="800" t="str">
        <f>IFERROR(__xludf.DUMMYFUNCTION("if(REGEXMATCH(AR219,$AG$168),""X"","""")"),"X")</f>
        <v>X</v>
      </c>
      <c r="AH219" s="800" t="str">
        <f>IFERROR(__xludf.DUMMYFUNCTION("if(REGEXMATCH(AR219,$AH$168),""X"","""")"),"")</f>
        <v/>
      </c>
      <c r="AI219" s="800" t="str">
        <f>IFERROR(__xludf.DUMMYFUNCTION("if(REGEXMATCH(AR219,$AI$168),""X"","""")"),"")</f>
        <v/>
      </c>
      <c r="AJ219" s="739" t="str">
        <f>IFERROR(__xludf.DUMMYFUNCTION("if(REGEXMATCH(AR219,$AJ$168),""X"","""")"),"")</f>
        <v/>
      </c>
      <c r="AK219" s="800" t="str">
        <f>IFERROR(__xludf.DUMMYFUNCTION("if(REGEXMATCH(AR219,$AK$168),""X"","""")"),"")</f>
        <v/>
      </c>
      <c r="AL219" s="800" t="str">
        <f>IFERROR(__xludf.DUMMYFUNCTION("if(REGEXMATCH(AR219,$AL$168),""X"","""")"),"X")</f>
        <v>X</v>
      </c>
      <c r="AM219" s="800" t="str">
        <f>IFERROR(__xludf.DUMMYFUNCTION("if(REGEXMATCH(AR219,$AM$168),""X"","""")"),"")</f>
        <v/>
      </c>
      <c r="AN219" s="800"/>
      <c r="AO219" s="800"/>
      <c r="AP219" s="800" t="str">
        <f>IFERROR(__xludf.DUMMYFUNCTION("if(REGEXMATCH(AR219,""Craft""),""X"","""")"),"X")</f>
        <v>X</v>
      </c>
      <c r="AQ219" s="800" t="str">
        <f>IFERROR(__xludf.DUMMYFUNCTION("if(REGEXMATCH(AR219,""Knowledge""),""X"","""")"),"X")</f>
        <v>X</v>
      </c>
      <c r="AR219" s="646" t="s">
        <v>1048</v>
      </c>
      <c r="AS219" s="243"/>
      <c r="AT219" s="243"/>
      <c r="AU219" s="243"/>
      <c r="AV219" s="243"/>
      <c r="AW219" s="243"/>
      <c r="AX219" s="243"/>
      <c r="AY219" s="243"/>
      <c r="AZ219" s="243"/>
      <c r="BA219" s="243"/>
      <c r="BB219" s="243"/>
      <c r="BC219" s="243"/>
      <c r="BD219" s="243"/>
      <c r="BE219" s="243"/>
      <c r="BF219" s="243"/>
      <c r="BG219" s="243"/>
      <c r="BH219" s="243"/>
      <c r="BI219" s="243"/>
      <c r="BJ219" s="243"/>
      <c r="BK219" s="243"/>
      <c r="BL219" s="243"/>
    </row>
    <row r="220">
      <c r="A220" s="385" t="s">
        <v>524</v>
      </c>
      <c r="B220" s="734" t="str">
        <f>IFERROR(__xludf.DUMMYFUNCTION("if(REGEXMATCH(AR220,$B$168),""X"","""")"),"")</f>
        <v/>
      </c>
      <c r="C220" s="734" t="str">
        <f>IFERROR(__xludf.DUMMYFUNCTION("if(REGEXMATCH(AR220,$C$168),""X"","""")"),"X")</f>
        <v>X</v>
      </c>
      <c r="D220" s="800" t="str">
        <f>IFERROR(__xludf.DUMMYFUNCTION("if(REGEXMATCH(AR220,$D$168),""X"","""")"),"X")</f>
        <v>X</v>
      </c>
      <c r="E220" s="734" t="str">
        <f>IFERROR(__xludf.DUMMYFUNCTION("if(REGEXMATCH(AR220,$E$168),""X"","""")"),"")</f>
        <v/>
      </c>
      <c r="F220" s="734" t="str">
        <f>IFERROR(__xludf.DUMMYFUNCTION("if(REGEXMATCH(AR220,$F$168),""X"","""")"),"X")</f>
        <v>X</v>
      </c>
      <c r="G220" s="734" t="str">
        <f t="shared" si="9"/>
        <v>X</v>
      </c>
      <c r="H220" s="734" t="str">
        <f>IFERROR(__xludf.DUMMYFUNCTION("if(REGEXMATCH(AR220,$H$168),""X"","""")"),"X")</f>
        <v>X</v>
      </c>
      <c r="I220" s="800" t="str">
        <f>IFERROR(__xludf.DUMMYFUNCTION("if(REGEXMATCH(AR220,$I$168),""X"","""")"),"")</f>
        <v/>
      </c>
      <c r="J220" s="800" t="str">
        <f>IFERROR(__xludf.DUMMYFUNCTION("if(REGEXMATCH(AR220,$J$168),""X"","""")"),"X")</f>
        <v>X</v>
      </c>
      <c r="K220" s="800" t="str">
        <f>IFERROR(__xludf.DUMMYFUNCTION("if(REGEXMATCH(AR220,$K$168),""X"","""")"),"")</f>
        <v/>
      </c>
      <c r="L220" s="800" t="str">
        <f>IFERROR(__xludf.DUMMYFUNCTION("if(REGEXMATCH(AR220,$L$168),""X"","""")"),"X")</f>
        <v>X</v>
      </c>
      <c r="M220" s="800" t="str">
        <f>IFERROR(__xludf.DUMMYFUNCTION("if(REGEXMATCH(AR220,$M$168),""X"","""")"),"")</f>
        <v/>
      </c>
      <c r="N220" s="800" t="str">
        <f>IFERROR(__xludf.DUMMYFUNCTION("if(REGEXMATCH(AR220,$N$168),""X"","""")"),"X")</f>
        <v>X</v>
      </c>
      <c r="O220" s="800" t="str">
        <f>IFERROR(__xludf.DUMMYFUNCTION("if(REGEXMATCH(AR220,$O$168),""X"","""")"),"X")</f>
        <v>X</v>
      </c>
      <c r="P220" s="800" t="str">
        <f>IFERROR(__xludf.DUMMYFUNCTION("if(REGEXMATCH(AR220,""(all)""),""X"",if(REGEXMATCH(AR220,""arcana""),""X"",""""))"),"X")</f>
        <v>X</v>
      </c>
      <c r="Q220" s="800" t="str">
        <f>IFERROR(__xludf.DUMMYFUNCTION("if(REGEXMATCH(AR220,""(all)""),""X"",if(REGEXMATCH(AR220,""dungeoneering""),""X"",""""))"),"X")</f>
        <v>X</v>
      </c>
      <c r="R220" s="800" t="str">
        <f>IFERROR(__xludf.DUMMYFUNCTION("if(REGEXMATCH(AR220,""(all)""),""X"",if(REGEXMATCH(AR220,""engineering""),""X"",""""))"),"")</f>
        <v/>
      </c>
      <c r="S220" s="800" t="str">
        <f>IFERROR(__xludf.DUMMYFUNCTION("if(REGEXMATCH(AR220,""(all)""),""X"",if(REGEXMATCH(AR220,""geography""),""X"",""""))"),"")</f>
        <v/>
      </c>
      <c r="T220" s="800" t="str">
        <f>IFERROR(__xludf.DUMMYFUNCTION("if(REGEXMATCH(AR220,""(all)""),""X"",if(REGEXMATCH(AR220,""history""),""X"",""""))"),"X")</f>
        <v>X</v>
      </c>
      <c r="U220" s="800" t="str">
        <f>IFERROR(__xludf.DUMMYFUNCTION("if(REGEXMATCH(AR220,""(all)""),""X"",if(REGEXMATCH(AR220,""local""),""X"",""""))"),"")</f>
        <v/>
      </c>
      <c r="V220" s="800" t="str">
        <f>IFERROR(__xludf.DUMMYFUNCTION("if(REGEXMATCH(AR220,""(all)""),""X"",if(REGEXMATCH(AR220,""nature""),""X"",""""))"),"")</f>
        <v/>
      </c>
      <c r="W220" s="800" t="str">
        <f>IFERROR(__xludf.DUMMYFUNCTION("if(REGEXMATCH(AR220,""(all)""),""X"",if(REGEXMATCH(AR220,""nobility""),""X"",""""))"),"")</f>
        <v/>
      </c>
      <c r="X220" s="800" t="str">
        <f>IFERROR(__xludf.DUMMYFUNCTION("if(REGEXMATCH(AR220,""(all)""),""X"",if(REGEXMATCH(AR220,""planes""),""X"",""""))"),"X")</f>
        <v>X</v>
      </c>
      <c r="Y220" s="800" t="str">
        <f>IFERROR(__xludf.DUMMYFUNCTION("if(REGEXMATCH(AR220,""(all)""),""X"",if(REGEXMATCH(AR220,""religion""),""X"",""""))"),"X")</f>
        <v>X</v>
      </c>
      <c r="Z220" s="800" t="str">
        <f>IFERROR(__xludf.DUMMYFUNCTION("if(REGEXMATCH(AR220,$Z$168),""X"","""")"),"X")</f>
        <v>X</v>
      </c>
      <c r="AA220" s="800" t="str">
        <f>IFERROR(__xludf.DUMMYFUNCTION("if(REGEXMATCH(AR220,$AA$168),""X"","""")"),"X")</f>
        <v>X</v>
      </c>
      <c r="AB220" s="734" t="str">
        <f>IFERROR(__xludf.DUMMYFUNCTION("if(REGEXMATCH(AR220,""Perform""),""X"","""")"),"")</f>
        <v/>
      </c>
      <c r="AC220" s="734" t="str">
        <f t="shared" si="10"/>
        <v/>
      </c>
      <c r="AD220" s="734" t="str">
        <f>IFERROR(__xludf.DUMMYFUNCTION("if(REGEXMATCH(AR220,""Profession""),""X"","""")"),"X")</f>
        <v>X</v>
      </c>
      <c r="AE220" s="734" t="str">
        <f t="shared" si="11"/>
        <v>X</v>
      </c>
      <c r="AF220" s="800" t="str">
        <f>IFERROR(__xludf.DUMMYFUNCTION("if(REGEXMATCH(AR220,$AF$168),""X"","""")"),"")</f>
        <v/>
      </c>
      <c r="AG220" s="800" t="str">
        <f>IFERROR(__xludf.DUMMYFUNCTION("if(REGEXMATCH(AR220,$AG$168),""X"","""")"),"X")</f>
        <v>X</v>
      </c>
      <c r="AH220" s="800" t="str">
        <f>IFERROR(__xludf.DUMMYFUNCTION("if(REGEXMATCH(AR220,$AH$168),""X"","""")"),"")</f>
        <v/>
      </c>
      <c r="AI220" s="800" t="str">
        <f>IFERROR(__xludf.DUMMYFUNCTION("if(REGEXMATCH(AR220,$AI$168),""X"","""")"),"X")</f>
        <v>X</v>
      </c>
      <c r="AJ220" s="739" t="str">
        <f>IFERROR(__xludf.DUMMYFUNCTION("if(REGEXMATCH(AR220,$AJ$168),""X"","""")"),"X")</f>
        <v>X</v>
      </c>
      <c r="AK220" s="800" t="str">
        <f>IFERROR(__xludf.DUMMYFUNCTION("if(REGEXMATCH(AR220,$AK$168),""X"","""")"),"")</f>
        <v/>
      </c>
      <c r="AL220" s="800" t="str">
        <f>IFERROR(__xludf.DUMMYFUNCTION("if(REGEXMATCH(AR220,$AL$168),""X"","""")"),"")</f>
        <v/>
      </c>
      <c r="AM220" s="800" t="str">
        <f>IFERROR(__xludf.DUMMYFUNCTION("if(REGEXMATCH(AR220,$AM$168),""X"","""")"),"X")</f>
        <v>X</v>
      </c>
      <c r="AN220" s="800"/>
      <c r="AO220" s="800"/>
      <c r="AP220" s="800" t="str">
        <f>IFERROR(__xludf.DUMMYFUNCTION("if(REGEXMATCH(AR220,""Craft""),""X"","""")"),"X")</f>
        <v>X</v>
      </c>
      <c r="AQ220" s="800" t="str">
        <f>IFERROR(__xludf.DUMMYFUNCTION("if(REGEXMATCH(AR220,""Knowledge""),""X"","""")"),"X")</f>
        <v>X</v>
      </c>
      <c r="AR220" s="646" t="s">
        <v>1053</v>
      </c>
      <c r="AS220" s="243"/>
      <c r="AT220" s="243"/>
      <c r="AU220" s="243"/>
      <c r="AV220" s="243"/>
      <c r="AW220" s="243"/>
      <c r="AX220" s="243"/>
      <c r="AY220" s="243"/>
      <c r="AZ220" s="243"/>
      <c r="BA220" s="243"/>
      <c r="BB220" s="243"/>
      <c r="BC220" s="243"/>
      <c r="BD220" s="243"/>
      <c r="BE220" s="243"/>
      <c r="BF220" s="243"/>
      <c r="BG220" s="243"/>
      <c r="BH220" s="243"/>
      <c r="BI220" s="243"/>
      <c r="BJ220" s="243"/>
      <c r="BK220" s="243"/>
      <c r="BL220" s="243"/>
    </row>
    <row r="221" ht="7.5" customHeight="1">
      <c r="A221" s="635" t="s">
        <v>1054</v>
      </c>
      <c r="B221" s="632" t="s">
        <v>726</v>
      </c>
      <c r="C221" s="656" t="s">
        <v>729</v>
      </c>
      <c r="D221" s="656" t="s">
        <v>231</v>
      </c>
      <c r="E221" s="656" t="s">
        <v>261</v>
      </c>
      <c r="F221" s="656" t="s">
        <v>730</v>
      </c>
      <c r="G221" s="656" t="s">
        <v>730</v>
      </c>
      <c r="H221" s="656" t="s">
        <v>299</v>
      </c>
      <c r="I221" s="656" t="s">
        <v>777</v>
      </c>
      <c r="J221" s="656" t="s">
        <v>394</v>
      </c>
      <c r="K221" s="656" t="s">
        <v>437</v>
      </c>
      <c r="L221" s="656" t="s">
        <v>478</v>
      </c>
      <c r="M221" s="656" t="s">
        <v>778</v>
      </c>
      <c r="N221" s="656" t="s">
        <v>543</v>
      </c>
      <c r="O221" s="656" t="s">
        <v>580</v>
      </c>
      <c r="P221" s="656" t="s">
        <v>779</v>
      </c>
      <c r="Q221" s="656" t="s">
        <v>780</v>
      </c>
      <c r="R221" s="656" t="s">
        <v>781</v>
      </c>
      <c r="S221" s="656" t="s">
        <v>782</v>
      </c>
      <c r="T221" s="656" t="s">
        <v>783</v>
      </c>
      <c r="U221" s="656" t="s">
        <v>784</v>
      </c>
      <c r="V221" s="656" t="s">
        <v>785</v>
      </c>
      <c r="W221" s="656" t="s">
        <v>786</v>
      </c>
      <c r="X221" s="656" t="s">
        <v>787</v>
      </c>
      <c r="Y221" s="656" t="s">
        <v>788</v>
      </c>
      <c r="Z221" s="656" t="s">
        <v>789</v>
      </c>
      <c r="AA221" s="656" t="s">
        <v>657</v>
      </c>
      <c r="AB221" s="656" t="s">
        <v>737</v>
      </c>
      <c r="AC221" s="656" t="s">
        <v>737</v>
      </c>
      <c r="AD221" s="656" t="s">
        <v>738</v>
      </c>
      <c r="AE221" s="656" t="s">
        <v>738</v>
      </c>
      <c r="AF221" s="656" t="s">
        <v>673</v>
      </c>
      <c r="AG221" s="656" t="s">
        <v>687</v>
      </c>
      <c r="AH221" s="656" t="s">
        <v>790</v>
      </c>
      <c r="AI221" s="656" t="s">
        <v>791</v>
      </c>
      <c r="AJ221" s="656" t="s">
        <v>723</v>
      </c>
      <c r="AK221" s="656" t="s">
        <v>728</v>
      </c>
      <c r="AL221" s="629" t="s">
        <v>740</v>
      </c>
      <c r="AM221" s="629" t="s">
        <v>792</v>
      </c>
      <c r="AN221" s="660" t="s">
        <v>757</v>
      </c>
      <c r="AO221" s="660" t="s">
        <v>794</v>
      </c>
      <c r="AP221" s="630" t="s">
        <v>743</v>
      </c>
      <c r="AQ221" s="630" t="s">
        <v>744</v>
      </c>
      <c r="AR221" s="662"/>
      <c r="AS221" s="630" t="s">
        <v>745</v>
      </c>
      <c r="AT221" s="630" t="s">
        <v>746</v>
      </c>
      <c r="AU221" s="630" t="s">
        <v>747</v>
      </c>
      <c r="AV221" s="630" t="s">
        <v>748</v>
      </c>
      <c r="AW221" s="630" t="s">
        <v>749</v>
      </c>
      <c r="AX221" s="630" t="s">
        <v>750</v>
      </c>
      <c r="AY221" s="630" t="s">
        <v>751</v>
      </c>
      <c r="AZ221" s="630" t="s">
        <v>752</v>
      </c>
      <c r="BA221" s="630" t="s">
        <v>753</v>
      </c>
      <c r="BB221" s="630" t="s">
        <v>754</v>
      </c>
      <c r="BC221" s="630" t="s">
        <v>755</v>
      </c>
      <c r="BD221" s="630" t="s">
        <v>756</v>
      </c>
      <c r="BE221" s="665"/>
      <c r="BF221" s="665"/>
      <c r="BG221" s="665"/>
      <c r="BH221" s="665"/>
      <c r="BI221" s="665"/>
      <c r="BJ221" s="665"/>
      <c r="BK221" s="665"/>
      <c r="BL221" s="665"/>
    </row>
    <row r="222">
      <c r="A222" s="554" t="s">
        <v>540</v>
      </c>
      <c r="B222" s="734" t="str">
        <f>IFERROR(__xludf.DUMMYFUNCTION("if(REGEXMATCH(AR222,$B$168),""X"","""")"),"X")</f>
        <v>X</v>
      </c>
      <c r="C222" s="734" t="str">
        <f>IFERROR(__xludf.DUMMYFUNCTION("if(REGEXMATCH(AR222,$C$168),""X"","""")"),"")</f>
        <v/>
      </c>
      <c r="D222" s="800" t="str">
        <f>IFERROR(__xludf.DUMMYFUNCTION("if(REGEXMATCH(AR222,$D$168),""X"","""")"),"")</f>
        <v/>
      </c>
      <c r="E222" s="734" t="str">
        <f>IFERROR(__xludf.DUMMYFUNCTION("if(REGEXMATCH(AR222,$E$168),""X"","""")"),"X")</f>
        <v>X</v>
      </c>
      <c r="F222" s="734" t="str">
        <f>IFERROR(__xludf.DUMMYFUNCTION("if(REGEXMATCH(AR222,$F$168),""X"","""")"),"X")</f>
        <v>X</v>
      </c>
      <c r="G222" s="734" t="str">
        <f t="shared" ref="G222:G231" si="12">F222</f>
        <v>X</v>
      </c>
      <c r="H222" s="734" t="str">
        <f>IFERROR(__xludf.DUMMYFUNCTION("if(REGEXMATCH(AR222,$H$168),""X"","""")"),"")</f>
        <v/>
      </c>
      <c r="I222" s="800" t="str">
        <f>IFERROR(__xludf.DUMMYFUNCTION("if(REGEXMATCH(AR222,$I$168),""X"","""")"),"")</f>
        <v/>
      </c>
      <c r="J222" s="800" t="str">
        <f>IFERROR(__xludf.DUMMYFUNCTION("if(REGEXMATCH(AR222,$J$168),""X"","""")"),"")</f>
        <v/>
      </c>
      <c r="K222" s="800" t="str">
        <f>IFERROR(__xludf.DUMMYFUNCTION("if(REGEXMATCH(AR222,$K$168),""X"","""")"),"")</f>
        <v/>
      </c>
      <c r="L222" s="800" t="str">
        <f>IFERROR(__xludf.DUMMYFUNCTION("if(REGEXMATCH(AR222,$L$168),""X"","""")"),"X")</f>
        <v>X</v>
      </c>
      <c r="M222" s="800" t="str">
        <f>IFERROR(__xludf.DUMMYFUNCTION("if(REGEXMATCH(AR222,$M$168),""X"","""")"),"")</f>
        <v/>
      </c>
      <c r="N222" s="800" t="str">
        <f>IFERROR(__xludf.DUMMYFUNCTION("if(REGEXMATCH(AR222,$N$168),""X"","""")"),"")</f>
        <v/>
      </c>
      <c r="O222" s="800" t="str">
        <f>IFERROR(__xludf.DUMMYFUNCTION("if(REGEXMATCH(AR222,$O$168),""X"","""")"),"X")</f>
        <v>X</v>
      </c>
      <c r="P222" s="800" t="str">
        <f>IFERROR(__xludf.DUMMYFUNCTION("if(REGEXMATCH(AR222,""(all)""),""X"",if(REGEXMATCH(AR222,""arcana""),""X"",""""))"),"")</f>
        <v/>
      </c>
      <c r="Q222" s="800" t="str">
        <f>IFERROR(__xludf.DUMMYFUNCTION("if(REGEXMATCH(AR222,""(all)""),""X"",if(REGEXMATCH(AR222,""dungeoneering""),""X"",""""))"),"")</f>
        <v/>
      </c>
      <c r="R222" s="800" t="str">
        <f>IFERROR(__xludf.DUMMYFUNCTION("if(REGEXMATCH(AR222,""(all)""),""X"",if(REGEXMATCH(AR222,""engineering""),""X"",""""))"),"")</f>
        <v/>
      </c>
      <c r="S222" s="800" t="str">
        <f>IFERROR(__xludf.DUMMYFUNCTION("if(REGEXMATCH(AR222,""(all)""),""X"",if(REGEXMATCH(AR222,""geography""),""X"",""""))"),"")</f>
        <v/>
      </c>
      <c r="T222" s="800" t="str">
        <f>IFERROR(__xludf.DUMMYFUNCTION("if(REGEXMATCH(AR222,""(all)""),""X"",if(REGEXMATCH(AR222,""history""),""X"",""""))"),"")</f>
        <v/>
      </c>
      <c r="U222" s="800" t="str">
        <f>IFERROR(__xludf.DUMMYFUNCTION("if(REGEXMATCH(AR222,""(all)""),""X"",if(REGEXMATCH(AR222,""local""),""X"",""""))"),"")</f>
        <v/>
      </c>
      <c r="V222" s="800" t="str">
        <f>IFERROR(__xludf.DUMMYFUNCTION("if(REGEXMATCH(AR222,""(all)""),""X"",if(REGEXMATCH(AR222,""nature""),""X"",""""))"),"")</f>
        <v/>
      </c>
      <c r="W222" s="800" t="str">
        <f>IFERROR(__xludf.DUMMYFUNCTION("if(REGEXMATCH(AR222,""(all)""),""X"",if(REGEXMATCH(AR222,""nobility""),""X"",""""))"),"")</f>
        <v/>
      </c>
      <c r="X222" s="800" t="str">
        <f>IFERROR(__xludf.DUMMYFUNCTION("if(REGEXMATCH(AR222,""(all)""),""X"",if(REGEXMATCH(AR222,""planes""),""X"",""""))"),"")</f>
        <v/>
      </c>
      <c r="Y222" s="800" t="str">
        <f>IFERROR(__xludf.DUMMYFUNCTION("if(REGEXMATCH(AR222,""(all)""),""X"",if(REGEXMATCH(AR222,""religion""),""X"",""""))"),"")</f>
        <v/>
      </c>
      <c r="Z222" s="800" t="str">
        <f>IFERROR(__xludf.DUMMYFUNCTION("if(REGEXMATCH(AR222,$Z$168),""X"","""")"),"")</f>
        <v/>
      </c>
      <c r="AA222" s="800" t="str">
        <f>IFERROR(__xludf.DUMMYFUNCTION("if(REGEXMATCH(AR222,$AA$168),""X"","""")"),"")</f>
        <v/>
      </c>
      <c r="AB222" s="734" t="str">
        <f>IFERROR(__xludf.DUMMYFUNCTION("if(REGEXMATCH(AR222,""Perform""),""X"","""")"),"")</f>
        <v/>
      </c>
      <c r="AC222" s="734" t="str">
        <f t="shared" ref="AC222:AC231" si="13">AB222</f>
        <v/>
      </c>
      <c r="AD222" s="734" t="str">
        <f>IFERROR(__xludf.DUMMYFUNCTION("if(REGEXMATCH(AR222,""Profession""),""X"","""")"),"X")</f>
        <v>X</v>
      </c>
      <c r="AE222" s="734" t="str">
        <f t="shared" ref="AE222:AE231" si="14">AD222</f>
        <v>X</v>
      </c>
      <c r="AF222" s="800" t="str">
        <f>IFERROR(__xludf.DUMMYFUNCTION("if(REGEXMATCH(AR222,$AF$168),""X"","""")"),"")</f>
        <v/>
      </c>
      <c r="AG222" s="800" t="str">
        <f>IFERROR(__xludf.DUMMYFUNCTION("if(REGEXMATCH(AR222,$AG$168),""X"","""")"),"")</f>
        <v/>
      </c>
      <c r="AH222" s="800" t="str">
        <f>IFERROR(__xludf.DUMMYFUNCTION("if(REGEXMATCH(AR222,$AH$168),""X"","""")"),"")</f>
        <v/>
      </c>
      <c r="AI222" s="800" t="str">
        <f>IFERROR(__xludf.DUMMYFUNCTION("if(REGEXMATCH(AR222,$AI$168),""X"","""")"),"X")</f>
        <v>X</v>
      </c>
      <c r="AJ222" s="739" t="str">
        <f>IFERROR(__xludf.DUMMYFUNCTION("if(REGEXMATCH(AR222,$AJ$168),""X"","""")"),"")</f>
        <v/>
      </c>
      <c r="AK222" s="800" t="str">
        <f>IFERROR(__xludf.DUMMYFUNCTION("if(REGEXMATCH(AR222,$AK$168),""X"","""")"),"")</f>
        <v/>
      </c>
      <c r="AL222" s="800" t="str">
        <f>IFERROR(__xludf.DUMMYFUNCTION("if(REGEXMATCH(AR222,$AL$168),""X"","""")"),"X")</f>
        <v>X</v>
      </c>
      <c r="AM222" s="800" t="str">
        <f>IFERROR(__xludf.DUMMYFUNCTION("if(REGEXMATCH(AR222,$AM$168),""X"","""")"),"X")</f>
        <v>X</v>
      </c>
      <c r="AN222" s="800"/>
      <c r="AO222" s="800"/>
      <c r="AP222" s="800" t="str">
        <f>IFERROR(__xludf.DUMMYFUNCTION("if(REGEXMATCH(AR222,""Craft""),""X"","""")"),"X")</f>
        <v>X</v>
      </c>
      <c r="AQ222" s="800" t="str">
        <f>IFERROR(__xludf.DUMMYFUNCTION("if(REGEXMATCH(AR222,""Knowledge""),""X"","""")"),"X")</f>
        <v>X</v>
      </c>
      <c r="AR222" s="646" t="s">
        <v>1065</v>
      </c>
      <c r="AS222" s="555"/>
      <c r="AT222" s="555"/>
      <c r="AU222" s="555"/>
      <c r="AV222" s="555"/>
      <c r="AW222" s="555"/>
      <c r="AX222" s="555"/>
      <c r="AY222" s="555"/>
      <c r="AZ222" s="555"/>
      <c r="BA222" s="555"/>
      <c r="BB222" s="555"/>
      <c r="BC222" s="555"/>
      <c r="BD222" s="555"/>
      <c r="BE222" s="555"/>
      <c r="BF222" s="555"/>
      <c r="BG222" s="580" t="s">
        <v>595</v>
      </c>
      <c r="BH222" s="580" t="s">
        <v>595</v>
      </c>
      <c r="BI222" s="555"/>
      <c r="BJ222" s="555"/>
      <c r="BK222" s="555"/>
      <c r="BL222" s="555"/>
    </row>
    <row r="223">
      <c r="A223" s="554" t="s">
        <v>544</v>
      </c>
      <c r="B223" s="734" t="str">
        <f>IFERROR(__xludf.DUMMYFUNCTION("if(REGEXMATCH(AR223,$B$168),""X"","""")"),"X")</f>
        <v>X</v>
      </c>
      <c r="C223" s="734" t="str">
        <f>IFERROR(__xludf.DUMMYFUNCTION("if(REGEXMATCH(AR223,$C$168),""X"","""")"),"X")</f>
        <v>X</v>
      </c>
      <c r="D223" s="800" t="str">
        <f>IFERROR(__xludf.DUMMYFUNCTION("if(REGEXMATCH(AR223,$D$168),""X"","""")"),"")</f>
        <v/>
      </c>
      <c r="E223" s="734" t="str">
        <f>IFERROR(__xludf.DUMMYFUNCTION("if(REGEXMATCH(AR223,$E$168),""X"","""")"),"X")</f>
        <v>X</v>
      </c>
      <c r="F223" s="734" t="str">
        <f>IFERROR(__xludf.DUMMYFUNCTION("if(REGEXMATCH(AR223,$F$168),""X"","""")"),"X")</f>
        <v>X</v>
      </c>
      <c r="G223" s="734" t="str">
        <f t="shared" si="12"/>
        <v>X</v>
      </c>
      <c r="H223" s="734" t="str">
        <f>IFERROR(__xludf.DUMMYFUNCTION("if(REGEXMATCH(AR223,$H$168),""X"","""")"),"")</f>
        <v/>
      </c>
      <c r="I223" s="800" t="str">
        <f>IFERROR(__xludf.DUMMYFUNCTION("if(REGEXMATCH(AR223,$I$168),""X"","""")"),"X")</f>
        <v>X</v>
      </c>
      <c r="J223" s="800" t="str">
        <f>IFERROR(__xludf.DUMMYFUNCTION("if(REGEXMATCH(AR223,$J$168),""X"","""")"),"X")</f>
        <v>X</v>
      </c>
      <c r="K223" s="800" t="str">
        <f>IFERROR(__xludf.DUMMYFUNCTION("if(REGEXMATCH(AR223,$K$168),""X"","""")"),"X")</f>
        <v>X</v>
      </c>
      <c r="L223" s="800" t="str">
        <f>IFERROR(__xludf.DUMMYFUNCTION("if(REGEXMATCH(AR223,$L$168),""X"","""")"),"")</f>
        <v/>
      </c>
      <c r="M223" s="800" t="str">
        <f>IFERROR(__xludf.DUMMYFUNCTION("if(REGEXMATCH(AR223,$M$168),""X"","""")"),"")</f>
        <v/>
      </c>
      <c r="N223" s="800" t="str">
        <f>IFERROR(__xludf.DUMMYFUNCTION("if(REGEXMATCH(AR223,$N$168),""X"","""")"),"")</f>
        <v/>
      </c>
      <c r="O223" s="800" t="str">
        <f>IFERROR(__xludf.DUMMYFUNCTION("if(REGEXMATCH(AR223,$O$168),""X"","""")"),"")</f>
        <v/>
      </c>
      <c r="P223" s="800" t="str">
        <f>IFERROR(__xludf.DUMMYFUNCTION("if(REGEXMATCH(AR223,""(all)""),""X"",if(REGEXMATCH(AR223,""arcana""),""X"",""""))"),"X")</f>
        <v>X</v>
      </c>
      <c r="Q223" s="800" t="str">
        <f>IFERROR(__xludf.DUMMYFUNCTION("if(REGEXMATCH(AR223,""(all)""),""X"",if(REGEXMATCH(AR223,""dungeoneering""),""X"",""""))"),"X")</f>
        <v>X</v>
      </c>
      <c r="R223" s="800" t="str">
        <f>IFERROR(__xludf.DUMMYFUNCTION("if(REGEXMATCH(AR223,""(all)""),""X"",if(REGEXMATCH(AR223,""engineering""),""X"",""""))"),"X")</f>
        <v>X</v>
      </c>
      <c r="S223" s="800" t="str">
        <f>IFERROR(__xludf.DUMMYFUNCTION("if(REGEXMATCH(AR223,""(all)""),""X"",if(REGEXMATCH(AR223,""geography""),""X"",""""))"),"X")</f>
        <v>X</v>
      </c>
      <c r="T223" s="800" t="str">
        <f>IFERROR(__xludf.DUMMYFUNCTION("if(REGEXMATCH(AR223,""(all)""),""X"",if(REGEXMATCH(AR223,""history""),""X"",""""))"),"X")</f>
        <v>X</v>
      </c>
      <c r="U223" s="800" t="str">
        <f>IFERROR(__xludf.DUMMYFUNCTION("if(REGEXMATCH(AR223,""(all)""),""X"",if(REGEXMATCH(AR223,""local""),""X"",""""))"),"X")</f>
        <v>X</v>
      </c>
      <c r="V223" s="800" t="str">
        <f>IFERROR(__xludf.DUMMYFUNCTION("if(REGEXMATCH(AR223,""(all)""),""X"",if(REGEXMATCH(AR223,""nature""),""X"",""""))"),"X")</f>
        <v>X</v>
      </c>
      <c r="W223" s="800" t="str">
        <f>IFERROR(__xludf.DUMMYFUNCTION("if(REGEXMATCH(AR223,""(all)""),""X"",if(REGEXMATCH(AR223,""nobility""),""X"",""""))"),"X")</f>
        <v>X</v>
      </c>
      <c r="X223" s="800" t="str">
        <f>IFERROR(__xludf.DUMMYFUNCTION("if(REGEXMATCH(AR223,""(all)""),""X"",if(REGEXMATCH(AR223,""planes""),""X"",""""))"),"X")</f>
        <v>X</v>
      </c>
      <c r="Y223" s="800" t="str">
        <f>IFERROR(__xludf.DUMMYFUNCTION("if(REGEXMATCH(AR223,""(all)""),""X"",if(REGEXMATCH(AR223,""religion""),""X"",""""))"),"X")</f>
        <v>X</v>
      </c>
      <c r="Z223" s="800" t="str">
        <f>IFERROR(__xludf.DUMMYFUNCTION("if(REGEXMATCH(AR223,$Z$168),""X"","""")"),"X")</f>
        <v>X</v>
      </c>
      <c r="AA223" s="800" t="str">
        <f>IFERROR(__xludf.DUMMYFUNCTION("if(REGEXMATCH(AR223,$AA$168),""X"","""")"),"X")</f>
        <v>X</v>
      </c>
      <c r="AB223" s="734" t="str">
        <f>IFERROR(__xludf.DUMMYFUNCTION("if(REGEXMATCH(AR223,""Perform""),""X"","""")"),"X")</f>
        <v>X</v>
      </c>
      <c r="AC223" s="734" t="str">
        <f t="shared" si="13"/>
        <v>X</v>
      </c>
      <c r="AD223" s="734" t="str">
        <f>IFERROR(__xludf.DUMMYFUNCTION("if(REGEXMATCH(AR223,""Profession""),""X"","""")"),"X")</f>
        <v>X</v>
      </c>
      <c r="AE223" s="734" t="str">
        <f t="shared" si="14"/>
        <v>X</v>
      </c>
      <c r="AF223" s="800" t="str">
        <f>IFERROR(__xludf.DUMMYFUNCTION("if(REGEXMATCH(AR223,$AF$168),""X"","""")"),"")</f>
        <v/>
      </c>
      <c r="AG223" s="800" t="str">
        <f>IFERROR(__xludf.DUMMYFUNCTION("if(REGEXMATCH(AR223,$AG$168),""X"","""")"),"X")</f>
        <v>X</v>
      </c>
      <c r="AH223" s="800" t="str">
        <f>IFERROR(__xludf.DUMMYFUNCTION("if(REGEXMATCH(AR223,$AH$168),""X"","""")"),"X")</f>
        <v>X</v>
      </c>
      <c r="AI223" s="800" t="str">
        <f>IFERROR(__xludf.DUMMYFUNCTION("if(REGEXMATCH(AR223,$AI$168),""X"","""")"),"X")</f>
        <v>X</v>
      </c>
      <c r="AJ223" s="739" t="str">
        <f>IFERROR(__xludf.DUMMYFUNCTION("if(REGEXMATCH(AR223,$AJ$168),""X"","""")"),"X")</f>
        <v>X</v>
      </c>
      <c r="AK223" s="800" t="str">
        <f>IFERROR(__xludf.DUMMYFUNCTION("if(REGEXMATCH(AR223,$AK$168),""X"","""")"),"")</f>
        <v/>
      </c>
      <c r="AL223" s="800" t="str">
        <f>IFERROR(__xludf.DUMMYFUNCTION("if(REGEXMATCH(AR223,$AL$168),""X"","""")"),"X")</f>
        <v>X</v>
      </c>
      <c r="AM223" s="800" t="str">
        <f>IFERROR(__xludf.DUMMYFUNCTION("if(REGEXMATCH(AR223,$AM$168),""X"","""")"),"X")</f>
        <v>X</v>
      </c>
      <c r="AN223" s="800"/>
      <c r="AO223" s="800"/>
      <c r="AP223" s="800" t="str">
        <f>IFERROR(__xludf.DUMMYFUNCTION("if(REGEXMATCH(AR223,""Craft""),""X"","""")"),"X")</f>
        <v>X</v>
      </c>
      <c r="AQ223" s="800" t="str">
        <f>IFERROR(__xludf.DUMMYFUNCTION("if(REGEXMATCH(AR223,""Knowledge""),""X"","""")"),"X")</f>
        <v>X</v>
      </c>
      <c r="AR223" s="646" t="s">
        <v>1069</v>
      </c>
      <c r="AS223" s="555"/>
      <c r="AT223" s="555"/>
      <c r="AU223" s="555"/>
      <c r="AV223" s="555"/>
      <c r="AW223" s="555"/>
      <c r="AX223" s="555"/>
      <c r="AY223" s="555"/>
      <c r="AZ223" s="555"/>
      <c r="BA223" s="555"/>
      <c r="BB223" s="555"/>
      <c r="BC223" s="555"/>
      <c r="BD223" s="555"/>
      <c r="BE223" s="555"/>
      <c r="BF223" s="555"/>
      <c r="BG223" s="580" t="s">
        <v>595</v>
      </c>
      <c r="BH223" s="580" t="s">
        <v>595</v>
      </c>
      <c r="BI223" s="555"/>
      <c r="BJ223" s="555"/>
      <c r="BK223" s="555"/>
      <c r="BL223" s="555"/>
    </row>
    <row r="224">
      <c r="A224" s="554" t="s">
        <v>548</v>
      </c>
      <c r="B224" s="734" t="str">
        <f>IFERROR(__xludf.DUMMYFUNCTION("if(REGEXMATCH(AR224,$B$168),""X"","""")"),"X")</f>
        <v>X</v>
      </c>
      <c r="C224" s="734" t="str">
        <f>IFERROR(__xludf.DUMMYFUNCTION("if(REGEXMATCH(AR224,$C$168),""X"","""")"),"")</f>
        <v/>
      </c>
      <c r="D224" s="800" t="str">
        <f>IFERROR(__xludf.DUMMYFUNCTION("if(REGEXMATCH(AR224,$D$168),""X"","""")"),"X")</f>
        <v>X</v>
      </c>
      <c r="E224" s="734" t="str">
        <f>IFERROR(__xludf.DUMMYFUNCTION("if(REGEXMATCH(AR224,$E$168),""X"","""")"),"X")</f>
        <v>X</v>
      </c>
      <c r="F224" s="734" t="str">
        <f>IFERROR(__xludf.DUMMYFUNCTION("if(REGEXMATCH(AR224,$F$168),""X"","""")"),"X")</f>
        <v>X</v>
      </c>
      <c r="G224" s="734" t="str">
        <f t="shared" si="12"/>
        <v>X</v>
      </c>
      <c r="H224" s="734" t="str">
        <f>IFERROR(__xludf.DUMMYFUNCTION("if(REGEXMATCH(AR224,$H$168),""X"","""")"),"")</f>
        <v/>
      </c>
      <c r="I224" s="800" t="str">
        <f>IFERROR(__xludf.DUMMYFUNCTION("if(REGEXMATCH(AR224,$I$168),""X"","""")"),"")</f>
        <v/>
      </c>
      <c r="J224" s="800" t="str">
        <f>IFERROR(__xludf.DUMMYFUNCTION("if(REGEXMATCH(AR224,$J$168),""X"","""")"),"")</f>
        <v/>
      </c>
      <c r="K224" s="800" t="str">
        <f>IFERROR(__xludf.DUMMYFUNCTION("if(REGEXMATCH(AR224,$K$168),""X"","""")"),"X")</f>
        <v>X</v>
      </c>
      <c r="L224" s="800" t="str">
        <f>IFERROR(__xludf.DUMMYFUNCTION("if(REGEXMATCH(AR224,$L$168),""X"","""")"),"")</f>
        <v/>
      </c>
      <c r="M224" s="800" t="str">
        <f>IFERROR(__xludf.DUMMYFUNCTION("if(REGEXMATCH(AR224,$M$168),""X"","""")"),"")</f>
        <v/>
      </c>
      <c r="N224" s="800" t="str">
        <f>IFERROR(__xludf.DUMMYFUNCTION("if(REGEXMATCH(AR224,$N$168),""X"","""")"),"")</f>
        <v/>
      </c>
      <c r="O224" s="800" t="str">
        <f>IFERROR(__xludf.DUMMYFUNCTION("if(REGEXMATCH(AR224,$O$168),""X"","""")"),"X")</f>
        <v>X</v>
      </c>
      <c r="P224" s="800" t="str">
        <f>IFERROR(__xludf.DUMMYFUNCTION("if(REGEXMATCH(AR224,""(all)""),""X"",if(REGEXMATCH(AR224,""arcana""),""X"",""""))"),"")</f>
        <v/>
      </c>
      <c r="Q224" s="800" t="str">
        <f>IFERROR(__xludf.DUMMYFUNCTION("if(REGEXMATCH(AR224,""(all)""),""X"",if(REGEXMATCH(AR224,""dungeoneering""),""X"",""""))"),"")</f>
        <v/>
      </c>
      <c r="R224" s="800" t="str">
        <f>IFERROR(__xludf.DUMMYFUNCTION("if(REGEXMATCH(AR224,""(all)""),""X"",if(REGEXMATCH(AR224,""engineering""),""X"",""""))"),"")</f>
        <v/>
      </c>
      <c r="S224" s="800" t="str">
        <f>IFERROR(__xludf.DUMMYFUNCTION("if(REGEXMATCH(AR224,""(all)""),""X"",if(REGEXMATCH(AR224,""geography""),""X"",""""))"),"")</f>
        <v/>
      </c>
      <c r="T224" s="800" t="str">
        <f>IFERROR(__xludf.DUMMYFUNCTION("if(REGEXMATCH(AR224,""(all)""),""X"",if(REGEXMATCH(AR224,""history""),""X"",""""))"),"")</f>
        <v/>
      </c>
      <c r="U224" s="800" t="str">
        <f>IFERROR(__xludf.DUMMYFUNCTION("if(REGEXMATCH(AR224,""(all)""),""X"",if(REGEXMATCH(AR224,""local""),""X"",""""))"),"")</f>
        <v/>
      </c>
      <c r="V224" s="800" t="str">
        <f>IFERROR(__xludf.DUMMYFUNCTION("if(REGEXMATCH(AR224,""(all)""),""X"",if(REGEXMATCH(AR224,""nature""),""X"",""""))"),"")</f>
        <v/>
      </c>
      <c r="W224" s="800" t="str">
        <f>IFERROR(__xludf.DUMMYFUNCTION("if(REGEXMATCH(AR224,""(all)""),""X"",if(REGEXMATCH(AR224,""nobility""),""X"",""""))"),"")</f>
        <v/>
      </c>
      <c r="X224" s="800" t="str">
        <f>IFERROR(__xludf.DUMMYFUNCTION("if(REGEXMATCH(AR224,""(all)""),""X"",if(REGEXMATCH(AR224,""planes""),""X"",""""))"),"")</f>
        <v/>
      </c>
      <c r="Y224" s="800" t="str">
        <f>IFERROR(__xludf.DUMMYFUNCTION("if(REGEXMATCH(AR224,""(all)""),""X"",if(REGEXMATCH(AR224,""religion""),""X"",""""))"),"")</f>
        <v/>
      </c>
      <c r="Z224" s="800" t="str">
        <f>IFERROR(__xludf.DUMMYFUNCTION("if(REGEXMATCH(AR224,$Z$168),""X"","""")"),"")</f>
        <v/>
      </c>
      <c r="AA224" s="800" t="str">
        <f>IFERROR(__xludf.DUMMYFUNCTION("if(REGEXMATCH(AR224,$AA$168),""X"","""")"),"X")</f>
        <v>X</v>
      </c>
      <c r="AB224" s="734" t="str">
        <f>IFERROR(__xludf.DUMMYFUNCTION("if(REGEXMATCH(AR224,""Perform""),""X"","""")"),"")</f>
        <v/>
      </c>
      <c r="AC224" s="734" t="str">
        <f t="shared" si="13"/>
        <v/>
      </c>
      <c r="AD224" s="734" t="str">
        <f>IFERROR(__xludf.DUMMYFUNCTION("if(REGEXMATCH(AR224,""Profession""),""X"","""")"),"X")</f>
        <v>X</v>
      </c>
      <c r="AE224" s="734" t="str">
        <f t="shared" si="14"/>
        <v>X</v>
      </c>
      <c r="AF224" s="800" t="str">
        <f>IFERROR(__xludf.DUMMYFUNCTION("if(REGEXMATCH(AR224,$AF$168),""X"","""")"),"")</f>
        <v/>
      </c>
      <c r="AG224" s="800" t="str">
        <f>IFERROR(__xludf.DUMMYFUNCTION("if(REGEXMATCH(AR224,$AG$168),""X"","""")"),"X")</f>
        <v>X</v>
      </c>
      <c r="AH224" s="800" t="str">
        <f>IFERROR(__xludf.DUMMYFUNCTION("if(REGEXMATCH(AR224,$AH$168),""X"","""")"),"")</f>
        <v/>
      </c>
      <c r="AI224" s="800" t="str">
        <f>IFERROR(__xludf.DUMMYFUNCTION("if(REGEXMATCH(AR224,$AI$168),""X"","""")"),"X")</f>
        <v>X</v>
      </c>
      <c r="AJ224" s="739" t="str">
        <f>IFERROR(__xludf.DUMMYFUNCTION("if(REGEXMATCH(AR224,$AJ$168),""X"","""")"),"X")</f>
        <v>X</v>
      </c>
      <c r="AK224" s="800" t="str">
        <f>IFERROR(__xludf.DUMMYFUNCTION("if(REGEXMATCH(AR224,$AK$168),""X"","""")"),"")</f>
        <v/>
      </c>
      <c r="AL224" s="800" t="str">
        <f>IFERROR(__xludf.DUMMYFUNCTION("if(REGEXMATCH(AR224,$AL$168),""X"","""")"),"X")</f>
        <v>X</v>
      </c>
      <c r="AM224" s="800" t="str">
        <f>IFERROR(__xludf.DUMMYFUNCTION("if(REGEXMATCH(AR224,$AM$168),""X"","""")"),"")</f>
        <v/>
      </c>
      <c r="AN224" s="800"/>
      <c r="AO224" s="800"/>
      <c r="AP224" s="800" t="str">
        <f>IFERROR(__xludf.DUMMYFUNCTION("if(REGEXMATCH(AR224,""Craft""),""X"","""")"),"X")</f>
        <v>X</v>
      </c>
      <c r="AQ224" s="800" t="str">
        <f>IFERROR(__xludf.DUMMYFUNCTION("if(REGEXMATCH(AR224,""Knowledge""),""X"","""")"),"X")</f>
        <v>X</v>
      </c>
      <c r="AR224" s="646" t="s">
        <v>1071</v>
      </c>
      <c r="AS224" s="555"/>
      <c r="AT224" s="555"/>
      <c r="AU224" s="555"/>
      <c r="AV224" s="555"/>
      <c r="AW224" s="555"/>
      <c r="AX224" s="555"/>
      <c r="AY224" s="555"/>
      <c r="AZ224" s="555"/>
      <c r="BA224" s="555"/>
      <c r="BB224" s="555"/>
      <c r="BC224" s="555"/>
      <c r="BD224" s="555"/>
      <c r="BE224" s="555"/>
      <c r="BF224" s="555"/>
      <c r="BG224" s="580" t="s">
        <v>595</v>
      </c>
      <c r="BH224" s="580" t="s">
        <v>595</v>
      </c>
      <c r="BI224" s="555"/>
      <c r="BJ224" s="555"/>
      <c r="BK224" s="555"/>
      <c r="BL224" s="555"/>
    </row>
    <row r="225">
      <c r="A225" s="554" t="s">
        <v>549</v>
      </c>
      <c r="B225" s="734" t="str">
        <f>IFERROR(__xludf.DUMMYFUNCTION("if(REGEXMATCH(AR225,$B$168),""X"","""")"),"X")</f>
        <v>X</v>
      </c>
      <c r="C225" s="734" t="str">
        <f>IFERROR(__xludf.DUMMYFUNCTION("if(REGEXMATCH(AR225,$C$168),""X"","""")"),"")</f>
        <v/>
      </c>
      <c r="D225" s="800" t="str">
        <f>IFERROR(__xludf.DUMMYFUNCTION("if(REGEXMATCH(AR225,$D$168),""X"","""")"),"")</f>
        <v/>
      </c>
      <c r="E225" s="734" t="str">
        <f>IFERROR(__xludf.DUMMYFUNCTION("if(REGEXMATCH(AR225,$E$168),""X"","""")"),"X")</f>
        <v>X</v>
      </c>
      <c r="F225" s="734" t="str">
        <f>IFERROR(__xludf.DUMMYFUNCTION("if(REGEXMATCH(AR225,$F$168),""X"","""")"),"X")</f>
        <v>X</v>
      </c>
      <c r="G225" s="734" t="str">
        <f t="shared" si="12"/>
        <v>X</v>
      </c>
      <c r="H225" s="734" t="str">
        <f>IFERROR(__xludf.DUMMYFUNCTION("if(REGEXMATCH(AR225,$H$168),""X"","""")"),"")</f>
        <v/>
      </c>
      <c r="I225" s="800" t="str">
        <f>IFERROR(__xludf.DUMMYFUNCTION("if(REGEXMATCH(AR225,$I$168),""X"","""")"),"")</f>
        <v/>
      </c>
      <c r="J225" s="800" t="str">
        <f>IFERROR(__xludf.DUMMYFUNCTION("if(REGEXMATCH(AR225,$J$168),""X"","""")"),"")</f>
        <v/>
      </c>
      <c r="K225" s="800" t="str">
        <f>IFERROR(__xludf.DUMMYFUNCTION("if(REGEXMATCH(AR225,$K$168),""X"","""")"),"X")</f>
        <v>X</v>
      </c>
      <c r="L225" s="800" t="str">
        <f>IFERROR(__xludf.DUMMYFUNCTION("if(REGEXMATCH(AR225,$L$168),""X"","""")"),"")</f>
        <v/>
      </c>
      <c r="M225" s="800" t="str">
        <f>IFERROR(__xludf.DUMMYFUNCTION("if(REGEXMATCH(AR225,$M$168),""X"","""")"),"")</f>
        <v/>
      </c>
      <c r="N225" s="800" t="str">
        <f>IFERROR(__xludf.DUMMYFUNCTION("if(REGEXMATCH(AR225,$N$168),""X"","""")"),"")</f>
        <v/>
      </c>
      <c r="O225" s="800" t="str">
        <f>IFERROR(__xludf.DUMMYFUNCTION("if(REGEXMATCH(AR225,$O$168),""X"","""")"),"X")</f>
        <v>X</v>
      </c>
      <c r="P225" s="800" t="str">
        <f>IFERROR(__xludf.DUMMYFUNCTION("if(REGEXMATCH(AR225,""(all)""),""X"",if(REGEXMATCH(AR225,""arcana""),""X"",""""))"),"")</f>
        <v/>
      </c>
      <c r="Q225" s="800" t="str">
        <f>IFERROR(__xludf.DUMMYFUNCTION("if(REGEXMATCH(AR225,""(all)""),""X"",if(REGEXMATCH(AR225,""dungeoneering""),""X"",""""))"),"")</f>
        <v/>
      </c>
      <c r="R225" s="800" t="str">
        <f>IFERROR(__xludf.DUMMYFUNCTION("if(REGEXMATCH(AR225,""(all)""),""X"",if(REGEXMATCH(AR225,""engineering""),""X"",""""))"),"")</f>
        <v/>
      </c>
      <c r="S225" s="800" t="str">
        <f>IFERROR(__xludf.DUMMYFUNCTION("if(REGEXMATCH(AR225,""(all)""),""X"",if(REGEXMATCH(AR225,""geography""),""X"",""""))"),"")</f>
        <v/>
      </c>
      <c r="T225" s="800" t="str">
        <f>IFERROR(__xludf.DUMMYFUNCTION("if(REGEXMATCH(AR225,""(all)""),""X"",if(REGEXMATCH(AR225,""history""),""X"",""""))"),"")</f>
        <v/>
      </c>
      <c r="U225" s="800" t="str">
        <f>IFERROR(__xludf.DUMMYFUNCTION("if(REGEXMATCH(AR225,""(all)""),""X"",if(REGEXMATCH(AR225,""local""),""X"",""""))"),"")</f>
        <v/>
      </c>
      <c r="V225" s="800" t="str">
        <f>IFERROR(__xludf.DUMMYFUNCTION("if(REGEXMATCH(AR225,""(all)""),""X"",if(REGEXMATCH(AR225,""nature""),""X"",""""))"),"")</f>
        <v/>
      </c>
      <c r="W225" s="800" t="str">
        <f>IFERROR(__xludf.DUMMYFUNCTION("if(REGEXMATCH(AR225,""(all)""),""X"",if(REGEXMATCH(AR225,""nobility""),""X"",""""))"),"")</f>
        <v/>
      </c>
      <c r="X225" s="800" t="str">
        <f>IFERROR(__xludf.DUMMYFUNCTION("if(REGEXMATCH(AR225,""(all)""),""X"",if(REGEXMATCH(AR225,""planes""),""X"",""""))"),"")</f>
        <v/>
      </c>
      <c r="Y225" s="800" t="str">
        <f>IFERROR(__xludf.DUMMYFUNCTION("if(REGEXMATCH(AR225,""(all)""),""X"",if(REGEXMATCH(AR225,""religion""),""X"",""""))"),"")</f>
        <v/>
      </c>
      <c r="Z225" s="800" t="str">
        <f>IFERROR(__xludf.DUMMYFUNCTION("if(REGEXMATCH(AR225,$Z$168),""X"","""")"),"")</f>
        <v/>
      </c>
      <c r="AA225" s="800" t="str">
        <f>IFERROR(__xludf.DUMMYFUNCTION("if(REGEXMATCH(AR225,$AA$168),""X"","""")"),"X")</f>
        <v>X</v>
      </c>
      <c r="AB225" s="734" t="str">
        <f>IFERROR(__xludf.DUMMYFUNCTION("if(REGEXMATCH(AR225,""Perform""),""X"","""")"),"X")</f>
        <v>X</v>
      </c>
      <c r="AC225" s="734" t="str">
        <f t="shared" si="13"/>
        <v>X</v>
      </c>
      <c r="AD225" s="734" t="str">
        <f>IFERROR(__xludf.DUMMYFUNCTION("if(REGEXMATCH(AR225,""Profession""),""X"","""")"),"X")</f>
        <v>X</v>
      </c>
      <c r="AE225" s="734" t="str">
        <f t="shared" si="14"/>
        <v>X</v>
      </c>
      <c r="AF225" s="800" t="str">
        <f>IFERROR(__xludf.DUMMYFUNCTION("if(REGEXMATCH(AR225,$AF$168),""X"","""")"),"")</f>
        <v/>
      </c>
      <c r="AG225" s="800" t="str">
        <f>IFERROR(__xludf.DUMMYFUNCTION("if(REGEXMATCH(AR225,$AG$168),""X"","""")"),"X")</f>
        <v>X</v>
      </c>
      <c r="AH225" s="800" t="str">
        <f>IFERROR(__xludf.DUMMYFUNCTION("if(REGEXMATCH(AR225,$AH$168),""X"","""")"),"")</f>
        <v/>
      </c>
      <c r="AI225" s="800" t="str">
        <f>IFERROR(__xludf.DUMMYFUNCTION("if(REGEXMATCH(AR225,$AI$168),""X"","""")"),"")</f>
        <v/>
      </c>
      <c r="AJ225" s="739" t="str">
        <f>IFERROR(__xludf.DUMMYFUNCTION("if(REGEXMATCH(AR225,$AJ$168),""X"","""")"),"X")</f>
        <v>X</v>
      </c>
      <c r="AK225" s="800" t="str">
        <f>IFERROR(__xludf.DUMMYFUNCTION("if(REGEXMATCH(AR225,$AK$168),""X"","""")"),"X")</f>
        <v>X</v>
      </c>
      <c r="AL225" s="800" t="str">
        <f>IFERROR(__xludf.DUMMYFUNCTION("if(REGEXMATCH(AR225,$AL$168),""X"","""")"),"")</f>
        <v/>
      </c>
      <c r="AM225" s="800" t="str">
        <f>IFERROR(__xludf.DUMMYFUNCTION("if(REGEXMATCH(AR225,$AM$168),""X"","""")"),"X")</f>
        <v>X</v>
      </c>
      <c r="AN225" s="800"/>
      <c r="AO225" s="800"/>
      <c r="AP225" s="800" t="str">
        <f>IFERROR(__xludf.DUMMYFUNCTION("if(REGEXMATCH(AR225,""Craft""),""X"","""")"),"X")</f>
        <v>X</v>
      </c>
      <c r="AQ225" s="800" t="str">
        <f>IFERROR(__xludf.DUMMYFUNCTION("if(REGEXMATCH(AR225,""Knowledge""),""X"","""")"),"X")</f>
        <v>X</v>
      </c>
      <c r="AR225" s="646" t="s">
        <v>1074</v>
      </c>
      <c r="AS225" s="555"/>
      <c r="AT225" s="555"/>
      <c r="AU225" s="555"/>
      <c r="AV225" s="555"/>
      <c r="AW225" s="555"/>
      <c r="AX225" s="555"/>
      <c r="AY225" s="555"/>
      <c r="AZ225" s="555"/>
      <c r="BA225" s="555"/>
      <c r="BB225" s="555"/>
      <c r="BC225" s="555"/>
      <c r="BD225" s="555"/>
      <c r="BE225" s="555"/>
      <c r="BF225" s="555"/>
      <c r="BG225" s="580" t="s">
        <v>595</v>
      </c>
      <c r="BH225" s="580" t="s">
        <v>595</v>
      </c>
      <c r="BI225" s="555"/>
      <c r="BJ225" s="555"/>
      <c r="BK225" s="555"/>
      <c r="BL225" s="555"/>
    </row>
    <row r="226">
      <c r="A226" s="554" t="s">
        <v>552</v>
      </c>
      <c r="B226" s="734" t="str">
        <f>IFERROR(__xludf.DUMMYFUNCTION("if(REGEXMATCH(AR226,$B$168),""X"","""")"),"")</f>
        <v/>
      </c>
      <c r="C226" s="734" t="str">
        <f>IFERROR(__xludf.DUMMYFUNCTION("if(REGEXMATCH(AR226,$C$168),""X"","""")"),"")</f>
        <v/>
      </c>
      <c r="D226" s="800" t="str">
        <f>IFERROR(__xludf.DUMMYFUNCTION("if(REGEXMATCH(AR226,$D$168),""X"","""")"),"")</f>
        <v/>
      </c>
      <c r="E226" s="734" t="str">
        <f>IFERROR(__xludf.DUMMYFUNCTION("if(REGEXMATCH(AR226,$E$168),""X"","""")"),"")</f>
        <v/>
      </c>
      <c r="F226" s="734" t="str">
        <f>IFERROR(__xludf.DUMMYFUNCTION("if(REGEXMATCH(AR226,$F$168),""X"","""")"),"X")</f>
        <v>X</v>
      </c>
      <c r="G226" s="734" t="str">
        <f t="shared" si="12"/>
        <v>X</v>
      </c>
      <c r="H226" s="734" t="str">
        <f>IFERROR(__xludf.DUMMYFUNCTION("if(REGEXMATCH(AR226,$H$168),""X"","""")"),"")</f>
        <v/>
      </c>
      <c r="I226" s="800" t="str">
        <f>IFERROR(__xludf.DUMMYFUNCTION("if(REGEXMATCH(AR226,$I$168),""X"","""")"),"")</f>
        <v/>
      </c>
      <c r="J226" s="800" t="str">
        <f>IFERROR(__xludf.DUMMYFUNCTION("if(REGEXMATCH(AR226,$J$168),""X"","""")"),"")</f>
        <v/>
      </c>
      <c r="K226" s="800" t="str">
        <f>IFERROR(__xludf.DUMMYFUNCTION("if(REGEXMATCH(AR226,$K$168),""X"","""")"),"")</f>
        <v/>
      </c>
      <c r="L226" s="800" t="str">
        <f>IFERROR(__xludf.DUMMYFUNCTION("if(REGEXMATCH(AR226,$L$168),""X"","""")"),"")</f>
        <v/>
      </c>
      <c r="M226" s="800" t="str">
        <f>IFERROR(__xludf.DUMMYFUNCTION("if(REGEXMATCH(AR226,$M$168),""X"","""")"),"")</f>
        <v/>
      </c>
      <c r="N226" s="800" t="str">
        <f>IFERROR(__xludf.DUMMYFUNCTION("if(REGEXMATCH(AR226,$N$168),""X"","""")"),"")</f>
        <v/>
      </c>
      <c r="O226" s="800" t="str">
        <f>IFERROR(__xludf.DUMMYFUNCTION("if(REGEXMATCH(AR226,$O$168),""X"","""")"),"")</f>
        <v/>
      </c>
      <c r="P226" s="800" t="str">
        <f>IFERROR(__xludf.DUMMYFUNCTION("if(REGEXMATCH(AR226,""(all)""),""X"",if(REGEXMATCH(AR226,""arcana""),""X"",""""))"),"X")</f>
        <v>X</v>
      </c>
      <c r="Q226" s="800" t="str">
        <f>IFERROR(__xludf.DUMMYFUNCTION("if(REGEXMATCH(AR226,""(all)""),""X"",if(REGEXMATCH(AR226,""dungeoneering""),""X"",""""))"),"X")</f>
        <v>X</v>
      </c>
      <c r="R226" s="800" t="str">
        <f>IFERROR(__xludf.DUMMYFUNCTION("if(REGEXMATCH(AR226,""(all)""),""X"",if(REGEXMATCH(AR226,""engineering""),""X"",""""))"),"X")</f>
        <v>X</v>
      </c>
      <c r="S226" s="800" t="str">
        <f>IFERROR(__xludf.DUMMYFUNCTION("if(REGEXMATCH(AR226,""(all)""),""X"",if(REGEXMATCH(AR226,""geography""),""X"",""""))"),"X")</f>
        <v>X</v>
      </c>
      <c r="T226" s="800" t="str">
        <f>IFERROR(__xludf.DUMMYFUNCTION("if(REGEXMATCH(AR226,""(all)""),""X"",if(REGEXMATCH(AR226,""history""),""X"",""""))"),"X")</f>
        <v>X</v>
      </c>
      <c r="U226" s="800" t="str">
        <f>IFERROR(__xludf.DUMMYFUNCTION("if(REGEXMATCH(AR226,""(all)""),""X"",if(REGEXMATCH(AR226,""local""),""X"",""""))"),"X")</f>
        <v>X</v>
      </c>
      <c r="V226" s="800" t="str">
        <f>IFERROR(__xludf.DUMMYFUNCTION("if(REGEXMATCH(AR226,""(all)""),""X"",if(REGEXMATCH(AR226,""nature""),""X"",""""))"),"X")</f>
        <v>X</v>
      </c>
      <c r="W226" s="800" t="str">
        <f>IFERROR(__xludf.DUMMYFUNCTION("if(REGEXMATCH(AR226,""(all)""),""X"",if(REGEXMATCH(AR226,""nobility""),""X"",""""))"),"X")</f>
        <v>X</v>
      </c>
      <c r="X226" s="800" t="str">
        <f>IFERROR(__xludf.DUMMYFUNCTION("if(REGEXMATCH(AR226,""(all)""),""X"",if(REGEXMATCH(AR226,""planes""),""X"",""""))"),"X")</f>
        <v>X</v>
      </c>
      <c r="Y226" s="800" t="str">
        <f>IFERROR(__xludf.DUMMYFUNCTION("if(REGEXMATCH(AR226,""(all)""),""X"",if(REGEXMATCH(AR226,""religion""),""X"",""""))"),"X")</f>
        <v>X</v>
      </c>
      <c r="Z226" s="800" t="str">
        <f>IFERROR(__xludf.DUMMYFUNCTION("if(REGEXMATCH(AR226,$Z$168),""X"","""")"),"")</f>
        <v/>
      </c>
      <c r="AA226" s="800" t="str">
        <f>IFERROR(__xludf.DUMMYFUNCTION("if(REGEXMATCH(AR226,$AA$168),""X"","""")"),"")</f>
        <v/>
      </c>
      <c r="AB226" s="734" t="str">
        <f>IFERROR(__xludf.DUMMYFUNCTION("if(REGEXMATCH(AR226,""Perform""),""X"","""")"),"")</f>
        <v/>
      </c>
      <c r="AC226" s="734" t="str">
        <f t="shared" si="13"/>
        <v/>
      </c>
      <c r="AD226" s="734" t="str">
        <f>IFERROR(__xludf.DUMMYFUNCTION("if(REGEXMATCH(AR226,""Profession""),""X"","""")"),"X")</f>
        <v>X</v>
      </c>
      <c r="AE226" s="734" t="str">
        <f t="shared" si="14"/>
        <v>X</v>
      </c>
      <c r="AF226" s="800" t="str">
        <f>IFERROR(__xludf.DUMMYFUNCTION("if(REGEXMATCH(AR226,$AF$168),""X"","""")"),"")</f>
        <v/>
      </c>
      <c r="AG226" s="800" t="str">
        <f>IFERROR(__xludf.DUMMYFUNCTION("if(REGEXMATCH(AR226,$AG$168),""X"","""")"),"")</f>
        <v/>
      </c>
      <c r="AH226" s="800" t="str">
        <f>IFERROR(__xludf.DUMMYFUNCTION("if(REGEXMATCH(AR226,$AH$168),""X"","""")"),"")</f>
        <v/>
      </c>
      <c r="AI226" s="800" t="str">
        <f>IFERROR(__xludf.DUMMYFUNCTION("if(REGEXMATCH(AR226,$AI$168),""X"","""")"),"X")</f>
        <v>X</v>
      </c>
      <c r="AJ226" s="739" t="str">
        <f>IFERROR(__xludf.DUMMYFUNCTION("if(REGEXMATCH(AR226,$AJ$168),""X"","""")"),"")</f>
        <v/>
      </c>
      <c r="AK226" s="800" t="str">
        <f>IFERROR(__xludf.DUMMYFUNCTION("if(REGEXMATCH(AR226,$AK$168),""X"","""")"),"")</f>
        <v/>
      </c>
      <c r="AL226" s="800" t="str">
        <f>IFERROR(__xludf.DUMMYFUNCTION("if(REGEXMATCH(AR226,$AL$168),""X"","""")"),"")</f>
        <v/>
      </c>
      <c r="AM226" s="800" t="str">
        <f>IFERROR(__xludf.DUMMYFUNCTION("if(REGEXMATCH(AR226,$AM$168),""X"","""")"),"")</f>
        <v/>
      </c>
      <c r="AN226" s="800"/>
      <c r="AO226" s="800"/>
      <c r="AP226" s="800" t="str">
        <f>IFERROR(__xludf.DUMMYFUNCTION("if(REGEXMATCH(AR226,""Craft""),""X"","""")"),"X")</f>
        <v>X</v>
      </c>
      <c r="AQ226" s="800" t="str">
        <f>IFERROR(__xludf.DUMMYFUNCTION("if(REGEXMATCH(AR226,""Knowledge""),""X"","""")"),"X")</f>
        <v>X</v>
      </c>
      <c r="AR226" s="646" t="s">
        <v>1078</v>
      </c>
      <c r="AS226" s="555"/>
      <c r="AT226" s="555"/>
      <c r="AU226" s="555"/>
      <c r="AV226" s="555"/>
      <c r="AW226" s="555"/>
      <c r="AX226" s="555"/>
      <c r="AY226" s="555"/>
      <c r="AZ226" s="555"/>
      <c r="BA226" s="555"/>
      <c r="BB226" s="555"/>
      <c r="BC226" s="555"/>
      <c r="BD226" s="555"/>
      <c r="BE226" s="555"/>
      <c r="BF226" s="555"/>
      <c r="BG226" s="580" t="s">
        <v>595</v>
      </c>
      <c r="BH226" s="580" t="s">
        <v>595</v>
      </c>
      <c r="BI226" s="555"/>
      <c r="BJ226" s="555"/>
      <c r="BK226" s="555"/>
      <c r="BL226" s="555"/>
    </row>
    <row r="227">
      <c r="A227" s="554" t="s">
        <v>557</v>
      </c>
      <c r="B227" s="734" t="str">
        <f>IFERROR(__xludf.DUMMYFUNCTION("if(REGEXMATCH(AR227,$B$168),""X"","""")"),"X")</f>
        <v>X</v>
      </c>
      <c r="C227" s="734" t="str">
        <f>IFERROR(__xludf.DUMMYFUNCTION("if(REGEXMATCH(AR227,$C$168),""X"","""")"),"")</f>
        <v/>
      </c>
      <c r="D227" s="800" t="str">
        <f>IFERROR(__xludf.DUMMYFUNCTION("if(REGEXMATCH(AR227,$D$168),""X"","""")"),"")</f>
        <v/>
      </c>
      <c r="E227" s="734" t="str">
        <f>IFERROR(__xludf.DUMMYFUNCTION("if(REGEXMATCH(AR227,$E$168),""X"","""")"),"X")</f>
        <v>X</v>
      </c>
      <c r="F227" s="734" t="str">
        <f>IFERROR(__xludf.DUMMYFUNCTION("if(REGEXMATCH(AR227,$F$168),""X"","""")"),"X")</f>
        <v>X</v>
      </c>
      <c r="G227" s="734" t="str">
        <f t="shared" si="12"/>
        <v>X</v>
      </c>
      <c r="H227" s="734" t="str">
        <f>IFERROR(__xludf.DUMMYFUNCTION("if(REGEXMATCH(AR227,$H$168),""X"","""")"),"")</f>
        <v/>
      </c>
      <c r="I227" s="800" t="str">
        <f>IFERROR(__xludf.DUMMYFUNCTION("if(REGEXMATCH(AR227,$I$168),""X"","""")"),"")</f>
        <v/>
      </c>
      <c r="J227" s="800" t="str">
        <f>IFERROR(__xludf.DUMMYFUNCTION("if(REGEXMATCH(AR227,$J$168),""X"","""")"),"")</f>
        <v/>
      </c>
      <c r="K227" s="800" t="str">
        <f>IFERROR(__xludf.DUMMYFUNCTION("if(REGEXMATCH(AR227,$K$168),""X"","""")"),"")</f>
        <v/>
      </c>
      <c r="L227" s="800" t="str">
        <f>IFERROR(__xludf.DUMMYFUNCTION("if(REGEXMATCH(AR227,$L$168),""X"","""")"),"")</f>
        <v/>
      </c>
      <c r="M227" s="800" t="str">
        <f>IFERROR(__xludf.DUMMYFUNCTION("if(REGEXMATCH(AR227,$M$168),""X"","""")"),"")</f>
        <v/>
      </c>
      <c r="N227" s="800" t="str">
        <f>IFERROR(__xludf.DUMMYFUNCTION("if(REGEXMATCH(AR227,$N$168),""X"","""")"),"")</f>
        <v/>
      </c>
      <c r="O227" s="800" t="str">
        <f>IFERROR(__xludf.DUMMYFUNCTION("if(REGEXMATCH(AR227,$O$168),""X"","""")"),"")</f>
        <v/>
      </c>
      <c r="P227" s="800" t="str">
        <f>IFERROR(__xludf.DUMMYFUNCTION("if(REGEXMATCH(AR227,""(all)""),""X"",if(REGEXMATCH(AR227,""arcana""),""X"",""""))"),"")</f>
        <v/>
      </c>
      <c r="Q227" s="800" t="str">
        <f>IFERROR(__xludf.DUMMYFUNCTION("if(REGEXMATCH(AR227,""(all)""),""X"",if(REGEXMATCH(AR227,""dungeoneering""),""X"",""""))"),"")</f>
        <v/>
      </c>
      <c r="R227" s="800" t="str">
        <f>IFERROR(__xludf.DUMMYFUNCTION("if(REGEXMATCH(AR227,""(all)""),""X"",if(REGEXMATCH(AR227,""engineering""),""X"",""""))"),"")</f>
        <v/>
      </c>
      <c r="S227" s="800" t="str">
        <f>IFERROR(__xludf.DUMMYFUNCTION("if(REGEXMATCH(AR227,""(all)""),""X"",if(REGEXMATCH(AR227,""geography""),""X"",""""))"),"")</f>
        <v/>
      </c>
      <c r="T227" s="800" t="str">
        <f>IFERROR(__xludf.DUMMYFUNCTION("if(REGEXMATCH(AR227,""(all)""),""X"",if(REGEXMATCH(AR227,""history""),""X"",""""))"),"")</f>
        <v/>
      </c>
      <c r="U227" s="800" t="str">
        <f>IFERROR(__xludf.DUMMYFUNCTION("if(REGEXMATCH(AR227,""(all)""),""X"",if(REGEXMATCH(AR227,""local""),""X"",""""))"),"")</f>
        <v/>
      </c>
      <c r="V227" s="800" t="str">
        <f>IFERROR(__xludf.DUMMYFUNCTION("if(REGEXMATCH(AR227,""(all)""),""X"",if(REGEXMATCH(AR227,""nature""),""X"",""""))"),"")</f>
        <v/>
      </c>
      <c r="W227" s="800" t="str">
        <f>IFERROR(__xludf.DUMMYFUNCTION("if(REGEXMATCH(AR227,""(all)""),""X"",if(REGEXMATCH(AR227,""nobility""),""X"",""""))"),"")</f>
        <v/>
      </c>
      <c r="X227" s="800" t="str">
        <f>IFERROR(__xludf.DUMMYFUNCTION("if(REGEXMATCH(AR227,""(all)""),""X"",if(REGEXMATCH(AR227,""planes""),""X"",""""))"),"")</f>
        <v/>
      </c>
      <c r="Y227" s="800" t="str">
        <f>IFERROR(__xludf.DUMMYFUNCTION("if(REGEXMATCH(AR227,""(all)""),""X"",if(REGEXMATCH(AR227,""religion""),""X"",""""))"),"")</f>
        <v/>
      </c>
      <c r="Z227" s="800" t="str">
        <f>IFERROR(__xludf.DUMMYFUNCTION("if(REGEXMATCH(AR227,$Z$168),""X"","""")"),"")</f>
        <v/>
      </c>
      <c r="AA227" s="800" t="str">
        <f>IFERROR(__xludf.DUMMYFUNCTION("if(REGEXMATCH(AR227,$AA$168),""X"","""")"),"X")</f>
        <v>X</v>
      </c>
      <c r="AB227" s="734" t="str">
        <f>IFERROR(__xludf.DUMMYFUNCTION("if(REGEXMATCH(AR227,""Perform""),""X"","""")"),"")</f>
        <v/>
      </c>
      <c r="AC227" s="734" t="str">
        <f t="shared" si="13"/>
        <v/>
      </c>
      <c r="AD227" s="734" t="str">
        <f>IFERROR(__xludf.DUMMYFUNCTION("if(REGEXMATCH(AR227,""Profession""),""X"","""")"),"X")</f>
        <v>X</v>
      </c>
      <c r="AE227" s="734" t="str">
        <f t="shared" si="14"/>
        <v>X</v>
      </c>
      <c r="AF227" s="800" t="str">
        <f>IFERROR(__xludf.DUMMYFUNCTION("if(REGEXMATCH(AR227,$AF$168),""X"","""")"),"X")</f>
        <v>X</v>
      </c>
      <c r="AG227" s="800" t="str">
        <f>IFERROR(__xludf.DUMMYFUNCTION("if(REGEXMATCH(AR227,$AG$168),""X"","""")"),"")</f>
        <v/>
      </c>
      <c r="AH227" s="800" t="str">
        <f>IFERROR(__xludf.DUMMYFUNCTION("if(REGEXMATCH(AR227,$AH$168),""X"","""")"),"")</f>
        <v/>
      </c>
      <c r="AI227" s="800" t="str">
        <f>IFERROR(__xludf.DUMMYFUNCTION("if(REGEXMATCH(AR227,$AI$168),""X"","""")"),"X")</f>
        <v>X</v>
      </c>
      <c r="AJ227" s="739" t="str">
        <f>IFERROR(__xludf.DUMMYFUNCTION("if(REGEXMATCH(AR227,$AJ$168),""X"","""")"),"")</f>
        <v/>
      </c>
      <c r="AK227" s="800" t="str">
        <f>IFERROR(__xludf.DUMMYFUNCTION("if(REGEXMATCH(AR227,$AK$168),""X"","""")"),"")</f>
        <v/>
      </c>
      <c r="AL227" s="800" t="str">
        <f>IFERROR(__xludf.DUMMYFUNCTION("if(REGEXMATCH(AR227,$AL$168),""X"","""")"),"X")</f>
        <v>X</v>
      </c>
      <c r="AM227" s="800" t="str">
        <f>IFERROR(__xludf.DUMMYFUNCTION("if(REGEXMATCH(AR227,$AM$168),""X"","""")"),"")</f>
        <v/>
      </c>
      <c r="AN227" s="800"/>
      <c r="AO227" s="800"/>
      <c r="AP227" s="800" t="str">
        <f>IFERROR(__xludf.DUMMYFUNCTION("if(REGEXMATCH(AR227,""Craft""),""X"","""")"),"X")</f>
        <v>X</v>
      </c>
      <c r="AQ227" s="800" t="str">
        <f>IFERROR(__xludf.DUMMYFUNCTION("if(REGEXMATCH(AR227,""Knowledge""),""X"","""")"),"X")</f>
        <v>X</v>
      </c>
      <c r="AR227" s="646" t="s">
        <v>1083</v>
      </c>
      <c r="AS227" s="555"/>
      <c r="AT227" s="555"/>
      <c r="AU227" s="555"/>
      <c r="AV227" s="555"/>
      <c r="AW227" s="555"/>
      <c r="AX227" s="555"/>
      <c r="AY227" s="555"/>
      <c r="AZ227" s="555"/>
      <c r="BA227" s="555"/>
      <c r="BB227" s="555"/>
      <c r="BC227" s="555"/>
      <c r="BD227" s="555"/>
      <c r="BE227" s="555"/>
      <c r="BF227" s="555"/>
      <c r="BG227" s="580" t="s">
        <v>595</v>
      </c>
      <c r="BH227" s="580" t="s">
        <v>595</v>
      </c>
      <c r="BI227" s="555"/>
      <c r="BJ227" s="555"/>
      <c r="BK227" s="555"/>
      <c r="BL227" s="555"/>
    </row>
    <row r="228">
      <c r="A228" s="554" t="s">
        <v>559</v>
      </c>
      <c r="B228" s="734" t="str">
        <f>IFERROR(__xludf.DUMMYFUNCTION("if(REGEXMATCH(AR228,$B$168),""X"","""")"),"X")</f>
        <v>X</v>
      </c>
      <c r="C228" s="734" t="str">
        <f>IFERROR(__xludf.DUMMYFUNCTION("if(REGEXMATCH(AR228,$C$168),""X"","""")"),"")</f>
        <v/>
      </c>
      <c r="D228" s="800" t="str">
        <f>IFERROR(__xludf.DUMMYFUNCTION("if(REGEXMATCH(AR228,$D$168),""X"","""")"),"")</f>
        <v/>
      </c>
      <c r="E228" s="734" t="str">
        <f>IFERROR(__xludf.DUMMYFUNCTION("if(REGEXMATCH(AR228,$E$168),""X"","""")"),"X")</f>
        <v>X</v>
      </c>
      <c r="F228" s="734" t="str">
        <f>IFERROR(__xludf.DUMMYFUNCTION("if(REGEXMATCH(AR228,$F$168),""X"","""")"),"X")</f>
        <v>X</v>
      </c>
      <c r="G228" s="734" t="str">
        <f t="shared" si="12"/>
        <v>X</v>
      </c>
      <c r="H228" s="734" t="str">
        <f>IFERROR(__xludf.DUMMYFUNCTION("if(REGEXMATCH(AR228,$H$168),""X"","""")"),"")</f>
        <v/>
      </c>
      <c r="I228" s="800" t="str">
        <f>IFERROR(__xludf.DUMMYFUNCTION("if(REGEXMATCH(AR228,$I$168),""X"","""")"),"")</f>
        <v/>
      </c>
      <c r="J228" s="800" t="str">
        <f>IFERROR(__xludf.DUMMYFUNCTION("if(REGEXMATCH(AR228,$J$168),""X"","""")"),"")</f>
        <v/>
      </c>
      <c r="K228" s="800" t="str">
        <f>IFERROR(__xludf.DUMMYFUNCTION("if(REGEXMATCH(AR228,$K$168),""X"","""")"),"")</f>
        <v/>
      </c>
      <c r="L228" s="800" t="str">
        <f>IFERROR(__xludf.DUMMYFUNCTION("if(REGEXMATCH(AR228,$L$168),""X"","""")"),"")</f>
        <v/>
      </c>
      <c r="M228" s="800" t="str">
        <f>IFERROR(__xludf.DUMMYFUNCTION("if(REGEXMATCH(AR228,$M$168),""X"","""")"),"")</f>
        <v/>
      </c>
      <c r="N228" s="800" t="str">
        <f>IFERROR(__xludf.DUMMYFUNCTION("if(REGEXMATCH(AR228,$N$168),""X"","""")"),"")</f>
        <v/>
      </c>
      <c r="O228" s="800" t="str">
        <f>IFERROR(__xludf.DUMMYFUNCTION("if(REGEXMATCH(AR228,$O$168),""X"","""")"),"X")</f>
        <v>X</v>
      </c>
      <c r="P228" s="800" t="str">
        <f>IFERROR(__xludf.DUMMYFUNCTION("if(REGEXMATCH(AR228,""(all)""),""X"",if(REGEXMATCH(AR228,""arcana""),""X"",""""))"),"")</f>
        <v/>
      </c>
      <c r="Q228" s="800" t="str">
        <f>IFERROR(__xludf.DUMMYFUNCTION("if(REGEXMATCH(AR228,""(all)""),""X"",if(REGEXMATCH(AR228,""dungeoneering""),""X"",""""))"),"")</f>
        <v/>
      </c>
      <c r="R228" s="800" t="str">
        <f>IFERROR(__xludf.DUMMYFUNCTION("if(REGEXMATCH(AR228,""(all)""),""X"",if(REGEXMATCH(AR228,""engineering""),""X"",""""))"),"")</f>
        <v/>
      </c>
      <c r="S228" s="800" t="str">
        <f>IFERROR(__xludf.DUMMYFUNCTION("if(REGEXMATCH(AR228,""(all)""),""X"",if(REGEXMATCH(AR228,""geography""),""X"",""""))"),"")</f>
        <v/>
      </c>
      <c r="T228" s="800" t="str">
        <f>IFERROR(__xludf.DUMMYFUNCTION("if(REGEXMATCH(AR228,""(all)""),""X"",if(REGEXMATCH(AR228,""history""),""X"",""""))"),"")</f>
        <v/>
      </c>
      <c r="U228" s="800" t="str">
        <f>IFERROR(__xludf.DUMMYFUNCTION("if(REGEXMATCH(AR228,""(all)""),""X"",if(REGEXMATCH(AR228,""local""),""X"",""""))"),"")</f>
        <v/>
      </c>
      <c r="V228" s="800" t="str">
        <f>IFERROR(__xludf.DUMMYFUNCTION("if(REGEXMATCH(AR228,""(all)""),""X"",if(REGEXMATCH(AR228,""nature""),""X"",""""))"),"")</f>
        <v/>
      </c>
      <c r="W228" s="800" t="str">
        <f>IFERROR(__xludf.DUMMYFUNCTION("if(REGEXMATCH(AR228,""(all)""),""X"",if(REGEXMATCH(AR228,""nobility""),""X"",""""))"),"")</f>
        <v/>
      </c>
      <c r="X228" s="800" t="str">
        <f>IFERROR(__xludf.DUMMYFUNCTION("if(REGEXMATCH(AR228,""(all)""),""X"",if(REGEXMATCH(AR228,""planes""),""X"",""""))"),"")</f>
        <v/>
      </c>
      <c r="Y228" s="800" t="str">
        <f>IFERROR(__xludf.DUMMYFUNCTION("if(REGEXMATCH(AR228,""(all)""),""X"",if(REGEXMATCH(AR228,""religion""),""X"",""""))"),"")</f>
        <v/>
      </c>
      <c r="Z228" s="800" t="str">
        <f>IFERROR(__xludf.DUMMYFUNCTION("if(REGEXMATCH(AR228,$Z$168),""X"","""")"),"")</f>
        <v/>
      </c>
      <c r="AA228" s="800" t="str">
        <f>IFERROR(__xludf.DUMMYFUNCTION("if(REGEXMATCH(AR228,$AA$168),""X"","""")"),"X")</f>
        <v>X</v>
      </c>
      <c r="AB228" s="734" t="str">
        <f>IFERROR(__xludf.DUMMYFUNCTION("if(REGEXMATCH(AR228,""Perform""),""X"","""")"),"")</f>
        <v/>
      </c>
      <c r="AC228" s="734" t="str">
        <f t="shared" si="13"/>
        <v/>
      </c>
      <c r="AD228" s="734" t="str">
        <f>IFERROR(__xludf.DUMMYFUNCTION("if(REGEXMATCH(AR228,""Profession""),""X"","""")"),"X")</f>
        <v>X</v>
      </c>
      <c r="AE228" s="734" t="str">
        <f t="shared" si="14"/>
        <v>X</v>
      </c>
      <c r="AF228" s="800" t="str">
        <f>IFERROR(__xludf.DUMMYFUNCTION("if(REGEXMATCH(AR228,$AF$168),""X"","""")"),"")</f>
        <v/>
      </c>
      <c r="AG228" s="800" t="str">
        <f>IFERROR(__xludf.DUMMYFUNCTION("if(REGEXMATCH(AR228,$AG$168),""X"","""")"),"")</f>
        <v/>
      </c>
      <c r="AH228" s="800" t="str">
        <f>IFERROR(__xludf.DUMMYFUNCTION("if(REGEXMATCH(AR228,$AH$168),""X"","""")"),"")</f>
        <v/>
      </c>
      <c r="AI228" s="800" t="str">
        <f>IFERROR(__xludf.DUMMYFUNCTION("if(REGEXMATCH(AR228,$AI$168),""X"","""")"),"")</f>
        <v/>
      </c>
      <c r="AJ228" s="739" t="str">
        <f>IFERROR(__xludf.DUMMYFUNCTION("if(REGEXMATCH(AR228,$AJ$168),""X"","""")"),"X")</f>
        <v>X</v>
      </c>
      <c r="AK228" s="800" t="str">
        <f>IFERROR(__xludf.DUMMYFUNCTION("if(REGEXMATCH(AR228,$AK$168),""X"","""")"),"")</f>
        <v/>
      </c>
      <c r="AL228" s="800" t="str">
        <f>IFERROR(__xludf.DUMMYFUNCTION("if(REGEXMATCH(AR228,$AL$168),""X"","""")"),"X")</f>
        <v>X</v>
      </c>
      <c r="AM228" s="800" t="str">
        <f>IFERROR(__xludf.DUMMYFUNCTION("if(REGEXMATCH(AR228,$AM$168),""X"","""")"),"")</f>
        <v/>
      </c>
      <c r="AN228" s="800"/>
      <c r="AO228" s="800"/>
      <c r="AP228" s="800" t="str">
        <f>IFERROR(__xludf.DUMMYFUNCTION("if(REGEXMATCH(AR228,""Craft""),""X"","""")"),"X")</f>
        <v>X</v>
      </c>
      <c r="AQ228" s="800" t="str">
        <f>IFERROR(__xludf.DUMMYFUNCTION("if(REGEXMATCH(AR228,""Knowledge""),""X"","""")"),"X")</f>
        <v>X</v>
      </c>
      <c r="AR228" s="646" t="s">
        <v>1086</v>
      </c>
      <c r="AS228" s="555"/>
      <c r="AT228" s="555"/>
      <c r="AU228" s="555"/>
      <c r="AV228" s="555"/>
      <c r="AW228" s="555"/>
      <c r="AX228" s="555"/>
      <c r="AY228" s="555"/>
      <c r="AZ228" s="555"/>
      <c r="BA228" s="555"/>
      <c r="BB228" s="555"/>
      <c r="BC228" s="555"/>
      <c r="BD228" s="555"/>
      <c r="BE228" s="555"/>
      <c r="BF228" s="555"/>
      <c r="BG228" s="580" t="s">
        <v>595</v>
      </c>
      <c r="BH228" s="580" t="s">
        <v>595</v>
      </c>
      <c r="BI228" s="555"/>
      <c r="BJ228" s="555"/>
      <c r="BK228" s="555"/>
      <c r="BL228" s="555"/>
    </row>
    <row r="229">
      <c r="A229" s="554" t="s">
        <v>560</v>
      </c>
      <c r="B229" s="734" t="str">
        <f>IFERROR(__xludf.DUMMYFUNCTION("if(REGEXMATCH(AR229,$B$168),""X"","""")"),"")</f>
        <v/>
      </c>
      <c r="C229" s="734" t="str">
        <f>IFERROR(__xludf.DUMMYFUNCTION("if(REGEXMATCH(AR229,$C$168),""X"","""")"),"")</f>
        <v/>
      </c>
      <c r="D229" s="800" t="str">
        <f>IFERROR(__xludf.DUMMYFUNCTION("if(REGEXMATCH(AR229,$D$168),""X"","""")"),"X")</f>
        <v>X</v>
      </c>
      <c r="E229" s="734" t="str">
        <f>IFERROR(__xludf.DUMMYFUNCTION("if(REGEXMATCH(AR229,$E$168),""X"","""")"),"X")</f>
        <v>X</v>
      </c>
      <c r="F229" s="734" t="str">
        <f>IFERROR(__xludf.DUMMYFUNCTION("if(REGEXMATCH(AR229,$F$168),""X"","""")"),"X")</f>
        <v>X</v>
      </c>
      <c r="G229" s="734" t="str">
        <f t="shared" si="12"/>
        <v>X</v>
      </c>
      <c r="H229" s="734" t="str">
        <f>IFERROR(__xludf.DUMMYFUNCTION("if(REGEXMATCH(AR229,$H$168),""X"","""")"),"X")</f>
        <v>X</v>
      </c>
      <c r="I229" s="800" t="str">
        <f>IFERROR(__xludf.DUMMYFUNCTION("if(REGEXMATCH(AR229,$I$168),""X"","""")"),"")</f>
        <v/>
      </c>
      <c r="J229" s="800" t="str">
        <f>IFERROR(__xludf.DUMMYFUNCTION("if(REGEXMATCH(AR229,$J$168),""X"","""")"),"")</f>
        <v/>
      </c>
      <c r="K229" s="800" t="str">
        <f>IFERROR(__xludf.DUMMYFUNCTION("if(REGEXMATCH(AR229,$K$168),""X"","""")"),"")</f>
        <v/>
      </c>
      <c r="L229" s="800" t="str">
        <f>IFERROR(__xludf.DUMMYFUNCTION("if(REGEXMATCH(AR229,$L$168),""X"","""")"),"")</f>
        <v/>
      </c>
      <c r="M229" s="800" t="str">
        <f>IFERROR(__xludf.DUMMYFUNCTION("if(REGEXMATCH(AR229,$M$168),""X"","""")"),"")</f>
        <v/>
      </c>
      <c r="N229" s="800" t="str">
        <f>IFERROR(__xludf.DUMMYFUNCTION("if(REGEXMATCH(AR229,$N$168),""X"","""")"),"")</f>
        <v/>
      </c>
      <c r="O229" s="800" t="str">
        <f>IFERROR(__xludf.DUMMYFUNCTION("if(REGEXMATCH(AR229,$O$168),""X"","""")"),"X")</f>
        <v>X</v>
      </c>
      <c r="P229" s="800" t="str">
        <f>IFERROR(__xludf.DUMMYFUNCTION("if(REGEXMATCH(AR229,""(all)""),""X"",if(REGEXMATCH(AR229,""arcana""),""X"",""""))"),"")</f>
        <v/>
      </c>
      <c r="Q229" s="800" t="str">
        <f>IFERROR(__xludf.DUMMYFUNCTION("if(REGEXMATCH(AR229,""(all)""),""X"",if(REGEXMATCH(AR229,""dungeoneering""),""X"",""""))"),"")</f>
        <v/>
      </c>
      <c r="R229" s="800" t="str">
        <f>IFERROR(__xludf.DUMMYFUNCTION("if(REGEXMATCH(AR229,""(all)""),""X"",if(REGEXMATCH(AR229,""engineering""),""X"",""""))"),"X")</f>
        <v>X</v>
      </c>
      <c r="S229" s="800" t="str">
        <f>IFERROR(__xludf.DUMMYFUNCTION("if(REGEXMATCH(AR229,""(all)""),""X"",if(REGEXMATCH(AR229,""geography""),""X"",""""))"),"")</f>
        <v/>
      </c>
      <c r="T229" s="800" t="str">
        <f>IFERROR(__xludf.DUMMYFUNCTION("if(REGEXMATCH(AR229,""(all)""),""X"",if(REGEXMATCH(AR229,""history""),""X"",""""))"),"X")</f>
        <v>X</v>
      </c>
      <c r="U229" s="800" t="str">
        <f>IFERROR(__xludf.DUMMYFUNCTION("if(REGEXMATCH(AR229,""(all)""),""X"",if(REGEXMATCH(AR229,""local""),""X"",""""))"),"")</f>
        <v/>
      </c>
      <c r="V229" s="800" t="str">
        <f>IFERROR(__xludf.DUMMYFUNCTION("if(REGEXMATCH(AR229,""(all)""),""X"",if(REGEXMATCH(AR229,""nature""),""X"",""""))"),"")</f>
        <v/>
      </c>
      <c r="W229" s="800" t="str">
        <f>IFERROR(__xludf.DUMMYFUNCTION("if(REGEXMATCH(AR229,""(all)""),""X"",if(REGEXMATCH(AR229,""nobility""),""X"",""""))"),"")</f>
        <v/>
      </c>
      <c r="X229" s="800" t="str">
        <f>IFERROR(__xludf.DUMMYFUNCTION("if(REGEXMATCH(AR229,""(all)""),""X"",if(REGEXMATCH(AR229,""planes""),""X"",""""))"),"")</f>
        <v/>
      </c>
      <c r="Y229" s="800" t="str">
        <f>IFERROR(__xludf.DUMMYFUNCTION("if(REGEXMATCH(AR229,""(all)""),""X"",if(REGEXMATCH(AR229,""religion""),""X"",""""))"),"")</f>
        <v/>
      </c>
      <c r="Z229" s="800" t="str">
        <f>IFERROR(__xludf.DUMMYFUNCTION("if(REGEXMATCH(AR229,$Z$168),""X"","""")"),"X")</f>
        <v>X</v>
      </c>
      <c r="AA229" s="800" t="str">
        <f>IFERROR(__xludf.DUMMYFUNCTION("if(REGEXMATCH(AR229,$AA$168),""X"","""")"),"X")</f>
        <v>X</v>
      </c>
      <c r="AB229" s="734" t="str">
        <f>IFERROR(__xludf.DUMMYFUNCTION("if(REGEXMATCH(AR229,""Perform""),""X"","""")"),"X")</f>
        <v>X</v>
      </c>
      <c r="AC229" s="734" t="str">
        <f t="shared" si="13"/>
        <v>X</v>
      </c>
      <c r="AD229" s="734" t="str">
        <f>IFERROR(__xludf.DUMMYFUNCTION("if(REGEXMATCH(AR229,""Profession""),""X"","""")"),"X")</f>
        <v>X</v>
      </c>
      <c r="AE229" s="734" t="str">
        <f t="shared" si="14"/>
        <v>X</v>
      </c>
      <c r="AF229" s="800" t="str">
        <f>IFERROR(__xludf.DUMMYFUNCTION("if(REGEXMATCH(AR229,$AF$168),""X"","""")"),"X")</f>
        <v>X</v>
      </c>
      <c r="AG229" s="800" t="str">
        <f>IFERROR(__xludf.DUMMYFUNCTION("if(REGEXMATCH(AR229,$AG$168),""X"","""")"),"X")</f>
        <v>X</v>
      </c>
      <c r="AH229" s="800" t="str">
        <f>IFERROR(__xludf.DUMMYFUNCTION("if(REGEXMATCH(AR229,$AH$168),""X"","""")"),"")</f>
        <v/>
      </c>
      <c r="AI229" s="800" t="str">
        <f>IFERROR(__xludf.DUMMYFUNCTION("if(REGEXMATCH(AR229,$AI$168),""X"","""")"),"X")</f>
        <v>X</v>
      </c>
      <c r="AJ229" s="739" t="str">
        <f>IFERROR(__xludf.DUMMYFUNCTION("if(REGEXMATCH(AR229,$AJ$168),""X"","""")"),"")</f>
        <v/>
      </c>
      <c r="AK229" s="800" t="str">
        <f>IFERROR(__xludf.DUMMYFUNCTION("if(REGEXMATCH(AR229,$AK$168),""X"","""")"),"")</f>
        <v/>
      </c>
      <c r="AL229" s="800" t="str">
        <f>IFERROR(__xludf.DUMMYFUNCTION("if(REGEXMATCH(AR229,$AL$168),""X"","""")"),"X")</f>
        <v>X</v>
      </c>
      <c r="AM229" s="800" t="str">
        <f>IFERROR(__xludf.DUMMYFUNCTION("if(REGEXMATCH(AR229,$AM$168),""X"","""")"),"X")</f>
        <v>X</v>
      </c>
      <c r="AN229" s="800"/>
      <c r="AO229" s="800"/>
      <c r="AP229" s="800" t="str">
        <f>IFERROR(__xludf.DUMMYFUNCTION("if(REGEXMATCH(AR229,""Craft""),""X"","""")"),"X")</f>
        <v>X</v>
      </c>
      <c r="AQ229" s="800" t="str">
        <f>IFERROR(__xludf.DUMMYFUNCTION("if(REGEXMATCH(AR229,""Knowledge""),""X"","""")"),"X")</f>
        <v>X</v>
      </c>
      <c r="AR229" s="646" t="s">
        <v>1092</v>
      </c>
      <c r="AS229" s="555"/>
      <c r="AT229" s="555"/>
      <c r="AU229" s="555"/>
      <c r="AV229" s="555"/>
      <c r="AW229" s="555"/>
      <c r="AX229" s="555"/>
      <c r="AY229" s="555"/>
      <c r="AZ229" s="555"/>
      <c r="BA229" s="555"/>
      <c r="BB229" s="555"/>
      <c r="BC229" s="555"/>
      <c r="BD229" s="555"/>
      <c r="BE229" s="555"/>
      <c r="BF229" s="555"/>
      <c r="BG229" s="580" t="s">
        <v>595</v>
      </c>
      <c r="BH229" s="580" t="s">
        <v>595</v>
      </c>
      <c r="BI229" s="555"/>
      <c r="BJ229" s="555"/>
      <c r="BK229" s="555"/>
      <c r="BL229" s="555"/>
    </row>
    <row r="230">
      <c r="A230" s="554" t="s">
        <v>561</v>
      </c>
      <c r="B230" s="734" t="str">
        <f>IFERROR(__xludf.DUMMYFUNCTION("if(REGEXMATCH(AR230,$B$168),""X"","""")"),"")</f>
        <v/>
      </c>
      <c r="C230" s="734" t="str">
        <f>IFERROR(__xludf.DUMMYFUNCTION("if(REGEXMATCH(AR230,$C$168),""X"","""")"),"")</f>
        <v/>
      </c>
      <c r="D230" s="800" t="str">
        <f>IFERROR(__xludf.DUMMYFUNCTION("if(REGEXMATCH(AR230,$D$168),""X"","""")"),"X")</f>
        <v>X</v>
      </c>
      <c r="E230" s="734" t="str">
        <f>IFERROR(__xludf.DUMMYFUNCTION("if(REGEXMATCH(AR230,$E$168),""X"","""")"),"")</f>
        <v/>
      </c>
      <c r="F230" s="734" t="str">
        <f>IFERROR(__xludf.DUMMYFUNCTION("if(REGEXMATCH(AR230,$F$168),""X"","""")"),"X")</f>
        <v>X</v>
      </c>
      <c r="G230" s="734" t="str">
        <f t="shared" si="12"/>
        <v>X</v>
      </c>
      <c r="H230" s="734" t="str">
        <f>IFERROR(__xludf.DUMMYFUNCTION("if(REGEXMATCH(AR230,$H$168),""X"","""")"),"X")</f>
        <v>X</v>
      </c>
      <c r="I230" s="800" t="str">
        <f>IFERROR(__xludf.DUMMYFUNCTION("if(REGEXMATCH(AR230,$I$168),""X"","""")"),"")</f>
        <v/>
      </c>
      <c r="J230" s="800" t="str">
        <f>IFERROR(__xludf.DUMMYFUNCTION("if(REGEXMATCH(AR230,$J$168),""X"","""")"),"")</f>
        <v/>
      </c>
      <c r="K230" s="800" t="str">
        <f>IFERROR(__xludf.DUMMYFUNCTION("if(REGEXMATCH(AR230,$K$168),""X"","""")"),"")</f>
        <v/>
      </c>
      <c r="L230" s="800" t="str">
        <f>IFERROR(__xludf.DUMMYFUNCTION("if(REGEXMATCH(AR230,$L$168),""X"","""")"),"")</f>
        <v/>
      </c>
      <c r="M230" s="800" t="str">
        <f>IFERROR(__xludf.DUMMYFUNCTION("if(REGEXMATCH(AR230,$M$168),""X"","""")"),"")</f>
        <v/>
      </c>
      <c r="N230" s="800" t="str">
        <f>IFERROR(__xludf.DUMMYFUNCTION("if(REGEXMATCH(AR230,$N$168),""X"","""")"),"X")</f>
        <v>X</v>
      </c>
      <c r="O230" s="800" t="str">
        <f>IFERROR(__xludf.DUMMYFUNCTION("if(REGEXMATCH(AR230,$O$168),""X"","""")"),"X")</f>
        <v>X</v>
      </c>
      <c r="P230" s="800" t="str">
        <f>IFERROR(__xludf.DUMMYFUNCTION("if(REGEXMATCH(AR230,""(all)""),""X"",if(REGEXMATCH(AR230,""arcana""),""X"",""""))"),"")</f>
        <v/>
      </c>
      <c r="Q230" s="800" t="str">
        <f>IFERROR(__xludf.DUMMYFUNCTION("if(REGEXMATCH(AR230,""(all)""),""X"",if(REGEXMATCH(AR230,""dungeoneering""),""X"",""""))"),"")</f>
        <v/>
      </c>
      <c r="R230" s="800" t="str">
        <f>IFERROR(__xludf.DUMMYFUNCTION("if(REGEXMATCH(AR230,""(all)""),""X"",if(REGEXMATCH(AR230,""engineering""),""X"",""""))"),"")</f>
        <v/>
      </c>
      <c r="S230" s="800" t="str">
        <f>IFERROR(__xludf.DUMMYFUNCTION("if(REGEXMATCH(AR230,""(all)""),""X"",if(REGEXMATCH(AR230,""geography""),""X"",""""))"),"")</f>
        <v/>
      </c>
      <c r="T230" s="800" t="str">
        <f>IFERROR(__xludf.DUMMYFUNCTION("if(REGEXMATCH(AR230,""(all)""),""X"",if(REGEXMATCH(AR230,""history""),""X"",""""))"),"X")</f>
        <v>X</v>
      </c>
      <c r="U230" s="800" t="str">
        <f>IFERROR(__xludf.DUMMYFUNCTION("if(REGEXMATCH(AR230,""(all)""),""X"",if(REGEXMATCH(AR230,""local""),""X"",""""))"),"X")</f>
        <v>X</v>
      </c>
      <c r="V230" s="800" t="str">
        <f>IFERROR(__xludf.DUMMYFUNCTION("if(REGEXMATCH(AR230,""(all)""),""X"",if(REGEXMATCH(AR230,""nature""),""X"",""""))"),"")</f>
        <v/>
      </c>
      <c r="W230" s="800" t="str">
        <f>IFERROR(__xludf.DUMMYFUNCTION("if(REGEXMATCH(AR230,""(all)""),""X"",if(REGEXMATCH(AR230,""nobility""),""X"",""""))"),"")</f>
        <v/>
      </c>
      <c r="X230" s="800" t="str">
        <f>IFERROR(__xludf.DUMMYFUNCTION("if(REGEXMATCH(AR230,""(all)""),""X"",if(REGEXMATCH(AR230,""planes""),""X"",""""))"),"")</f>
        <v/>
      </c>
      <c r="Y230" s="800" t="str">
        <f>IFERROR(__xludf.DUMMYFUNCTION("if(REGEXMATCH(AR230,""(all)""),""X"",if(REGEXMATCH(AR230,""religion""),""X"",""""))"),"")</f>
        <v/>
      </c>
      <c r="Z230" s="800" t="str">
        <f>IFERROR(__xludf.DUMMYFUNCTION("if(REGEXMATCH(AR230,$Z$168),""X"","""")"),"X")</f>
        <v>X</v>
      </c>
      <c r="AA230" s="800" t="str">
        <f>IFERROR(__xludf.DUMMYFUNCTION("if(REGEXMATCH(AR230,$AA$168),""X"","""")"),"X")</f>
        <v>X</v>
      </c>
      <c r="AB230" s="734" t="str">
        <f>IFERROR(__xludf.DUMMYFUNCTION("if(REGEXMATCH(AR230,""Perform""),""X"","""")"),"X")</f>
        <v>X</v>
      </c>
      <c r="AC230" s="734" t="str">
        <f t="shared" si="13"/>
        <v>X</v>
      </c>
      <c r="AD230" s="734" t="str">
        <f>IFERROR(__xludf.DUMMYFUNCTION("if(REGEXMATCH(AR230,""Profession""),""X"","""")"),"X")</f>
        <v>X</v>
      </c>
      <c r="AE230" s="734" t="str">
        <f t="shared" si="14"/>
        <v>X</v>
      </c>
      <c r="AF230" s="800" t="str">
        <f>IFERROR(__xludf.DUMMYFUNCTION("if(REGEXMATCH(AR230,$AF$168),""X"","""")"),"")</f>
        <v/>
      </c>
      <c r="AG230" s="800" t="str">
        <f>IFERROR(__xludf.DUMMYFUNCTION("if(REGEXMATCH(AR230,$AG$168),""X"","""")"),"X")</f>
        <v>X</v>
      </c>
      <c r="AH230" s="800" t="str">
        <f>IFERROR(__xludf.DUMMYFUNCTION("if(REGEXMATCH(AR230,$AH$168),""X"","""")"),"")</f>
        <v/>
      </c>
      <c r="AI230" s="800" t="str">
        <f>IFERROR(__xludf.DUMMYFUNCTION("if(REGEXMATCH(AR230,$AI$168),""X"","""")"),"X")</f>
        <v>X</v>
      </c>
      <c r="AJ230" s="739" t="str">
        <f>IFERROR(__xludf.DUMMYFUNCTION("if(REGEXMATCH(AR230,$AJ$168),""X"","""")"),"")</f>
        <v/>
      </c>
      <c r="AK230" s="800" t="str">
        <f>IFERROR(__xludf.DUMMYFUNCTION("if(REGEXMATCH(AR230,$AK$168),""X"","""")"),"X")</f>
        <v>X</v>
      </c>
      <c r="AL230" s="800" t="str">
        <f>IFERROR(__xludf.DUMMYFUNCTION("if(REGEXMATCH(AR230,$AL$168),""X"","""")"),"")</f>
        <v/>
      </c>
      <c r="AM230" s="800" t="str">
        <f>IFERROR(__xludf.DUMMYFUNCTION("if(REGEXMATCH(AR230,$AM$168),""X"","""")"),"")</f>
        <v/>
      </c>
      <c r="AN230" s="800"/>
      <c r="AO230" s="800"/>
      <c r="AP230" s="800" t="str">
        <f>IFERROR(__xludf.DUMMYFUNCTION("if(REGEXMATCH(AR230,""Craft""),""X"","""")"),"X")</f>
        <v>X</v>
      </c>
      <c r="AQ230" s="800" t="str">
        <f>IFERROR(__xludf.DUMMYFUNCTION("if(REGEXMATCH(AR230,""Knowledge""),""X"","""")"),"X")</f>
        <v>X</v>
      </c>
      <c r="AR230" s="646" t="s">
        <v>1097</v>
      </c>
      <c r="AS230" s="555"/>
      <c r="AT230" s="555"/>
      <c r="AU230" s="555"/>
      <c r="AV230" s="555"/>
      <c r="AW230" s="555"/>
      <c r="AX230" s="555"/>
      <c r="AY230" s="555"/>
      <c r="AZ230" s="555"/>
      <c r="BA230" s="555"/>
      <c r="BB230" s="555"/>
      <c r="BC230" s="555"/>
      <c r="BD230" s="555"/>
      <c r="BE230" s="555"/>
      <c r="BF230" s="555"/>
      <c r="BG230" s="580" t="s">
        <v>595</v>
      </c>
      <c r="BH230" s="580" t="s">
        <v>595</v>
      </c>
      <c r="BI230" s="555"/>
      <c r="BJ230" s="555"/>
      <c r="BK230" s="555"/>
      <c r="BL230" s="555"/>
    </row>
    <row r="231">
      <c r="A231" s="554" t="s">
        <v>563</v>
      </c>
      <c r="B231" s="734" t="str">
        <f>IFERROR(__xludf.DUMMYFUNCTION("if(REGEXMATCH(AR231,$B$168),""X"","""")"),"X")</f>
        <v>X</v>
      </c>
      <c r="C231" s="734" t="str">
        <f>IFERROR(__xludf.DUMMYFUNCTION("if(REGEXMATCH(AR231,$C$168),""X"","""")"),"")</f>
        <v/>
      </c>
      <c r="D231" s="800" t="str">
        <f>IFERROR(__xludf.DUMMYFUNCTION("if(REGEXMATCH(AR231,$D$168),""X"","""")"),"X")</f>
        <v>X</v>
      </c>
      <c r="E231" s="734" t="str">
        <f>IFERROR(__xludf.DUMMYFUNCTION("if(REGEXMATCH(AR231,$E$168),""X"","""")"),"X")</f>
        <v>X</v>
      </c>
      <c r="F231" s="734" t="str">
        <f>IFERROR(__xludf.DUMMYFUNCTION("if(REGEXMATCH(AR231,$F$168),""X"","""")"),"X")</f>
        <v>X</v>
      </c>
      <c r="G231" s="734" t="str">
        <f t="shared" si="12"/>
        <v>X</v>
      </c>
      <c r="H231" s="734" t="str">
        <f>IFERROR(__xludf.DUMMYFUNCTION("if(REGEXMATCH(AR231,$H$168),""X"","""")"),"X")</f>
        <v>X</v>
      </c>
      <c r="I231" s="800" t="str">
        <f>IFERROR(__xludf.DUMMYFUNCTION("if(REGEXMATCH(AR231,$I$168),""X"","""")"),"")</f>
        <v/>
      </c>
      <c r="J231" s="800" t="str">
        <f>IFERROR(__xludf.DUMMYFUNCTION("if(REGEXMATCH(AR231,$J$168),""X"","""")"),"")</f>
        <v/>
      </c>
      <c r="K231" s="800" t="str">
        <f>IFERROR(__xludf.DUMMYFUNCTION("if(REGEXMATCH(AR231,$K$168),""X"","""")"),"X")</f>
        <v>X</v>
      </c>
      <c r="L231" s="800" t="str">
        <f>IFERROR(__xludf.DUMMYFUNCTION("if(REGEXMATCH(AR231,$L$168),""X"","""")"),"")</f>
        <v/>
      </c>
      <c r="M231" s="800" t="str">
        <f>IFERROR(__xludf.DUMMYFUNCTION("if(REGEXMATCH(AR231,$M$168),""X"","""")"),"")</f>
        <v/>
      </c>
      <c r="N231" s="800" t="str">
        <f>IFERROR(__xludf.DUMMYFUNCTION("if(REGEXMATCH(AR231,$N$168),""X"","""")"),"")</f>
        <v/>
      </c>
      <c r="O231" s="800" t="str">
        <f>IFERROR(__xludf.DUMMYFUNCTION("if(REGEXMATCH(AR231,$O$168),""X"","""")"),"X")</f>
        <v>X</v>
      </c>
      <c r="P231" s="800" t="str">
        <f>IFERROR(__xludf.DUMMYFUNCTION("if(REGEXMATCH(AR231,""(all)""),""X"",if(REGEXMATCH(AR231,""arcana""),""X"",""""))"),"")</f>
        <v/>
      </c>
      <c r="Q231" s="800" t="str">
        <f>IFERROR(__xludf.DUMMYFUNCTION("if(REGEXMATCH(AR231,""(all)""),""X"",if(REGEXMATCH(AR231,""dungeoneering""),""X"",""""))"),"")</f>
        <v/>
      </c>
      <c r="R231" s="800" t="str">
        <f>IFERROR(__xludf.DUMMYFUNCTION("if(REGEXMATCH(AR231,""(all)""),""X"",if(REGEXMATCH(AR231,""engineering""),""X"",""""))"),"")</f>
        <v/>
      </c>
      <c r="S231" s="800" t="str">
        <f>IFERROR(__xludf.DUMMYFUNCTION("if(REGEXMATCH(AR231,""(all)""),""X"",if(REGEXMATCH(AR231,""geography""),""X"",""""))"),"")</f>
        <v/>
      </c>
      <c r="T231" s="800" t="str">
        <f>IFERROR(__xludf.DUMMYFUNCTION("if(REGEXMATCH(AR231,""(all)""),""X"",if(REGEXMATCH(AR231,""history""),""X"",""""))"),"")</f>
        <v/>
      </c>
      <c r="U231" s="800" t="str">
        <f>IFERROR(__xludf.DUMMYFUNCTION("if(REGEXMATCH(AR231,""(all)""),""X"",if(REGEXMATCH(AR231,""local""),""X"",""""))"),"")</f>
        <v/>
      </c>
      <c r="V231" s="800" t="str">
        <f>IFERROR(__xludf.DUMMYFUNCTION("if(REGEXMATCH(AR231,""(all)""),""X"",if(REGEXMATCH(AR231,""nature""),""X"",""""))"),"")</f>
        <v/>
      </c>
      <c r="W231" s="800" t="str">
        <f>IFERROR(__xludf.DUMMYFUNCTION("if(REGEXMATCH(AR231,""(all)""),""X"",if(REGEXMATCH(AR231,""nobility""),""X"",""""))"),"")</f>
        <v/>
      </c>
      <c r="X231" s="800" t="str">
        <f>IFERROR(__xludf.DUMMYFUNCTION("if(REGEXMATCH(AR231,""(all)""),""X"",if(REGEXMATCH(AR231,""planes""),""X"",""""))"),"")</f>
        <v/>
      </c>
      <c r="Y231" s="800" t="str">
        <f>IFERROR(__xludf.DUMMYFUNCTION("if(REGEXMATCH(AR231,""(all)""),""X"",if(REGEXMATCH(AR231,""religion""),""X"",""""))"),"")</f>
        <v/>
      </c>
      <c r="Z231" s="800" t="str">
        <f>IFERROR(__xludf.DUMMYFUNCTION("if(REGEXMATCH(AR231,$Z$168),""X"","""")"),"")</f>
        <v/>
      </c>
      <c r="AA231" s="800" t="str">
        <f>IFERROR(__xludf.DUMMYFUNCTION("if(REGEXMATCH(AR231,$AA$168),""X"","""")"),"X")</f>
        <v>X</v>
      </c>
      <c r="AB231" s="734" t="str">
        <f>IFERROR(__xludf.DUMMYFUNCTION("if(REGEXMATCH(AR231,""Perform""),""X"","""")"),"")</f>
        <v/>
      </c>
      <c r="AC231" s="734" t="str">
        <f t="shared" si="13"/>
        <v/>
      </c>
      <c r="AD231" s="734" t="str">
        <f>IFERROR(__xludf.DUMMYFUNCTION("if(REGEXMATCH(AR231,""Profession""),""X"","""")"),"X")</f>
        <v>X</v>
      </c>
      <c r="AE231" s="734" t="str">
        <f t="shared" si="14"/>
        <v>X</v>
      </c>
      <c r="AF231" s="800" t="str">
        <f>IFERROR(__xludf.DUMMYFUNCTION("if(REGEXMATCH(AR231,$AF$168),""X"","""")"),"")</f>
        <v/>
      </c>
      <c r="AG231" s="800" t="str">
        <f>IFERROR(__xludf.DUMMYFUNCTION("if(REGEXMATCH(AR231,$AG$168),""X"","""")"),"X")</f>
        <v>X</v>
      </c>
      <c r="AH231" s="800" t="str">
        <f>IFERROR(__xludf.DUMMYFUNCTION("if(REGEXMATCH(AR231,$AH$168),""X"","""")"),"")</f>
        <v/>
      </c>
      <c r="AI231" s="800" t="str">
        <f>IFERROR(__xludf.DUMMYFUNCTION("if(REGEXMATCH(AR231,$AI$168),""X"","""")"),"X")</f>
        <v>X</v>
      </c>
      <c r="AJ231" s="739" t="str">
        <f>IFERROR(__xludf.DUMMYFUNCTION("if(REGEXMATCH(AR231,$AJ$168),""X"","""")"),"")</f>
        <v/>
      </c>
      <c r="AK231" s="800" t="str">
        <f>IFERROR(__xludf.DUMMYFUNCTION("if(REGEXMATCH(AR231,$AK$168),""X"","""")"),"")</f>
        <v/>
      </c>
      <c r="AL231" s="800" t="str">
        <f>IFERROR(__xludf.DUMMYFUNCTION("if(REGEXMATCH(AR231,$AL$168),""X"","""")"),"X")</f>
        <v>X</v>
      </c>
      <c r="AM231" s="800" t="str">
        <f>IFERROR(__xludf.DUMMYFUNCTION("if(REGEXMATCH(AR231,$AM$168),""X"","""")"),"X")</f>
        <v>X</v>
      </c>
      <c r="AN231" s="800"/>
      <c r="AO231" s="800"/>
      <c r="AP231" s="800" t="str">
        <f>IFERROR(__xludf.DUMMYFUNCTION("if(REGEXMATCH(AR231,""Craft""),""X"","""")"),"X")</f>
        <v>X</v>
      </c>
      <c r="AQ231" s="800" t="str">
        <f>IFERROR(__xludf.DUMMYFUNCTION("if(REGEXMATCH(AR231,""Knowledge""),""X"","""")"),"X")</f>
        <v>X</v>
      </c>
      <c r="AR231" s="646" t="s">
        <v>1108</v>
      </c>
      <c r="AS231" s="555"/>
      <c r="AT231" s="555"/>
      <c r="AU231" s="555"/>
      <c r="AV231" s="555"/>
      <c r="AW231" s="555"/>
      <c r="AX231" s="555"/>
      <c r="AY231" s="555"/>
      <c r="AZ231" s="555"/>
      <c r="BA231" s="555"/>
      <c r="BB231" s="555"/>
      <c r="BC231" s="555"/>
      <c r="BD231" s="555"/>
      <c r="BE231" s="555"/>
      <c r="BF231" s="555"/>
      <c r="BG231" s="580" t="s">
        <v>595</v>
      </c>
      <c r="BH231" s="580" t="s">
        <v>595</v>
      </c>
      <c r="BI231" s="555"/>
      <c r="BJ231" s="555"/>
      <c r="BK231" s="555"/>
      <c r="BL231" s="555"/>
    </row>
    <row r="232">
      <c r="A232" s="554"/>
      <c r="B232" s="310"/>
      <c r="C232" s="547"/>
      <c r="D232" s="310"/>
      <c r="E232" s="310"/>
      <c r="F232" s="310"/>
      <c r="G232" s="310"/>
      <c r="H232" s="310"/>
      <c r="I232" s="547"/>
      <c r="J232" s="555"/>
      <c r="K232" s="580"/>
      <c r="L232" s="243"/>
      <c r="M232" s="243"/>
      <c r="N232" s="555"/>
      <c r="O232" s="580"/>
      <c r="P232" s="243"/>
      <c r="Q232" s="243"/>
      <c r="R232" s="243"/>
      <c r="S232" s="243"/>
      <c r="T232" s="243"/>
      <c r="U232" s="555"/>
      <c r="V232" s="555"/>
      <c r="W232" s="243"/>
      <c r="X232" s="555"/>
      <c r="Y232" s="243"/>
      <c r="Z232" s="243"/>
      <c r="AA232" s="580"/>
      <c r="AB232" s="555"/>
      <c r="AC232" s="555"/>
      <c r="AD232" s="580"/>
      <c r="AE232" s="580"/>
      <c r="AF232" s="555"/>
      <c r="AG232" s="580"/>
      <c r="AH232" s="555"/>
      <c r="AI232" s="580"/>
      <c r="AJ232" s="547"/>
      <c r="AK232" s="555"/>
      <c r="AL232" s="580"/>
      <c r="AM232" s="580"/>
      <c r="AN232" s="580"/>
      <c r="AO232" s="580"/>
      <c r="AP232" s="250"/>
      <c r="AQ232" s="250"/>
      <c r="AR232" s="638"/>
      <c r="AS232" s="555"/>
      <c r="AT232" s="555"/>
      <c r="AU232" s="555"/>
      <c r="AV232" s="555"/>
      <c r="AW232" s="555"/>
      <c r="AX232" s="555"/>
      <c r="AY232" s="555"/>
      <c r="AZ232" s="555"/>
      <c r="BA232" s="555"/>
      <c r="BB232" s="555"/>
      <c r="BC232" s="555"/>
      <c r="BD232" s="555"/>
      <c r="BE232" s="555"/>
      <c r="BF232" s="555"/>
      <c r="BG232" s="555"/>
      <c r="BH232" s="555"/>
      <c r="BI232" s="555"/>
      <c r="BJ232" s="555"/>
      <c r="BK232" s="555"/>
      <c r="BL232" s="555"/>
    </row>
    <row r="233">
      <c r="A233" s="660" t="s">
        <v>1112</v>
      </c>
      <c r="B233" s="630" t="s">
        <v>726</v>
      </c>
      <c r="C233" s="629" t="s">
        <v>729</v>
      </c>
      <c r="D233" s="629" t="s">
        <v>231</v>
      </c>
      <c r="E233" s="629" t="s">
        <v>261</v>
      </c>
      <c r="F233" s="629" t="s">
        <v>730</v>
      </c>
      <c r="G233" s="629" t="s">
        <v>730</v>
      </c>
      <c r="H233" s="629" t="s">
        <v>299</v>
      </c>
      <c r="I233" s="629" t="s">
        <v>336</v>
      </c>
      <c r="J233" s="629" t="s">
        <v>394</v>
      </c>
      <c r="K233" s="629" t="s">
        <v>437</v>
      </c>
      <c r="L233" s="629" t="s">
        <v>478</v>
      </c>
      <c r="M233" s="629" t="s">
        <v>731</v>
      </c>
      <c r="N233" s="629" t="s">
        <v>543</v>
      </c>
      <c r="O233" s="629" t="s">
        <v>580</v>
      </c>
      <c r="P233" s="629" t="s">
        <v>596</v>
      </c>
      <c r="Q233" s="629" t="s">
        <v>609</v>
      </c>
      <c r="R233" s="629" t="s">
        <v>732</v>
      </c>
      <c r="S233" s="629" t="s">
        <v>733</v>
      </c>
      <c r="T233" s="629" t="s">
        <v>734</v>
      </c>
      <c r="U233" s="629" t="s">
        <v>620</v>
      </c>
      <c r="V233" s="629" t="s">
        <v>629</v>
      </c>
      <c r="W233" s="629" t="s">
        <v>735</v>
      </c>
      <c r="X233" s="629" t="s">
        <v>638</v>
      </c>
      <c r="Y233" s="629" t="s">
        <v>642</v>
      </c>
      <c r="Z233" s="629" t="s">
        <v>736</v>
      </c>
      <c r="AA233" s="629" t="s">
        <v>657</v>
      </c>
      <c r="AB233" s="629" t="s">
        <v>737</v>
      </c>
      <c r="AC233" s="629" t="s">
        <v>737</v>
      </c>
      <c r="AD233" s="629" t="s">
        <v>738</v>
      </c>
      <c r="AE233" s="629" t="s">
        <v>738</v>
      </c>
      <c r="AF233" s="629" t="s">
        <v>673</v>
      </c>
      <c r="AG233" s="629" t="s">
        <v>687</v>
      </c>
      <c r="AH233" s="629" t="s">
        <v>739</v>
      </c>
      <c r="AI233" s="629" t="s">
        <v>717</v>
      </c>
      <c r="AJ233" s="629" t="s">
        <v>723</v>
      </c>
      <c r="AK233" s="629" t="s">
        <v>728</v>
      </c>
      <c r="AL233" s="629" t="s">
        <v>740</v>
      </c>
      <c r="AM233" s="629" t="s">
        <v>741</v>
      </c>
      <c r="AN233" s="660" t="s">
        <v>1113</v>
      </c>
      <c r="AO233" s="629" t="s">
        <v>742</v>
      </c>
      <c r="AP233" s="630" t="s">
        <v>743</v>
      </c>
      <c r="AQ233" s="630" t="s">
        <v>744</v>
      </c>
      <c r="AR233" s="631"/>
      <c r="AS233" s="630" t="s">
        <v>745</v>
      </c>
      <c r="AT233" s="630" t="s">
        <v>746</v>
      </c>
      <c r="AU233" s="630" t="s">
        <v>747</v>
      </c>
      <c r="AV233" s="630" t="s">
        <v>748</v>
      </c>
      <c r="AW233" s="630" t="s">
        <v>749</v>
      </c>
      <c r="AX233" s="630" t="s">
        <v>750</v>
      </c>
      <c r="AY233" s="630" t="s">
        <v>751</v>
      </c>
      <c r="AZ233" s="630" t="s">
        <v>752</v>
      </c>
      <c r="BA233" s="630" t="s">
        <v>753</v>
      </c>
      <c r="BB233" s="630" t="s">
        <v>754</v>
      </c>
      <c r="BC233" s="630" t="s">
        <v>755</v>
      </c>
      <c r="BD233" s="630" t="s">
        <v>756</v>
      </c>
      <c r="BE233" s="632"/>
      <c r="BF233" s="632"/>
      <c r="BG233" s="632"/>
      <c r="BH233" s="632"/>
      <c r="BI233" s="632"/>
      <c r="BJ233" s="632"/>
      <c r="BK233" s="632"/>
      <c r="BL233" s="632"/>
    </row>
    <row r="234">
      <c r="A234" s="554" t="s">
        <v>46</v>
      </c>
      <c r="B234" s="734" t="str">
        <f>IFERROR(__xludf.DUMMYFUNCTION("if(REGEXMATCH(AR234,$B$168),""X"","""")"),"X")</f>
        <v>X</v>
      </c>
      <c r="C234" s="734" t="str">
        <f>IFERROR(__xludf.DUMMYFUNCTION("if(REGEXMATCH(AR234,$C$168),""X"","""")"),"X")</f>
        <v>X</v>
      </c>
      <c r="D234" s="800" t="str">
        <f>IFERROR(__xludf.DUMMYFUNCTION("if(REGEXMATCH(AR234,$D$168),""X"","""")"),"X")</f>
        <v>X</v>
      </c>
      <c r="E234" s="734" t="str">
        <f>IFERROR(__xludf.DUMMYFUNCTION("if(REGEXMATCH(AR234,$E$168),""X"","""")"),"X")</f>
        <v>X</v>
      </c>
      <c r="F234" s="734" t="str">
        <f>IFERROR(__xludf.DUMMYFUNCTION("if(REGEXMATCH(AR234,$F$168),""X"","""")"),"X")</f>
        <v>X</v>
      </c>
      <c r="G234" s="734" t="str">
        <f t="shared" ref="G234:G236" si="15">F234</f>
        <v>X</v>
      </c>
      <c r="H234" s="734" t="str">
        <f>IFERROR(__xludf.DUMMYFUNCTION("if(REGEXMATCH(AR234,$H$168),""X"","""")"),"")</f>
        <v/>
      </c>
      <c r="I234" s="800" t="str">
        <f>IFERROR(__xludf.DUMMYFUNCTION("if(REGEXMATCH(AR234,$I$168),""X"","""")"),"X")</f>
        <v>X</v>
      </c>
      <c r="J234" s="800" t="str">
        <f>IFERROR(__xludf.DUMMYFUNCTION("if(REGEXMATCH(AR234,$J$168),""X"","""")"),"X")</f>
        <v>X</v>
      </c>
      <c r="K234" s="800" t="str">
        <f>IFERROR(__xludf.DUMMYFUNCTION("if(REGEXMATCH(AR234,$K$168),""X"","""")"),"X")</f>
        <v>X</v>
      </c>
      <c r="L234" s="800" t="str">
        <f>IFERROR(__xludf.DUMMYFUNCTION("if(REGEXMATCH(AR234,$L$168),""X"","""")"),"")</f>
        <v/>
      </c>
      <c r="M234" s="800" t="str">
        <f>IFERROR(__xludf.DUMMYFUNCTION("if(REGEXMATCH(AR234,$M$168),""X"","""")"),"")</f>
        <v/>
      </c>
      <c r="N234" s="800" t="str">
        <f>IFERROR(__xludf.DUMMYFUNCTION("if(REGEXMATCH(AR234,$N$168),""X"","""")"),"X")</f>
        <v>X</v>
      </c>
      <c r="O234" s="800" t="str">
        <f>IFERROR(__xludf.DUMMYFUNCTION("if(REGEXMATCH(AR234,$O$168),""X"","""")"),"X")</f>
        <v>X</v>
      </c>
      <c r="P234" s="800" t="str">
        <f>IFERROR(__xludf.DUMMYFUNCTION("if(REGEXMATCH(AR234,""(all)""),""X"",if(REGEXMATCH(AR234,""arcana""),""X"",""""))"),"")</f>
        <v/>
      </c>
      <c r="Q234" s="800" t="str">
        <f>IFERROR(__xludf.DUMMYFUNCTION("if(REGEXMATCH(AR234,""(all)""),""X"",if(REGEXMATCH(AR234,""dungeoneering""),""X"",""""))"),"")</f>
        <v/>
      </c>
      <c r="R234" s="800" t="str">
        <f>IFERROR(__xludf.DUMMYFUNCTION("if(REGEXMATCH(AR234,""(all)""),""X"",if(REGEXMATCH(AR234,""engineering""),""X"",""""))"),"")</f>
        <v/>
      </c>
      <c r="S234" s="800" t="str">
        <f>IFERROR(__xludf.DUMMYFUNCTION("if(REGEXMATCH(AR234,""(all)""),""X"",if(REGEXMATCH(AR234,""geography""),""X"",""""))"),"")</f>
        <v/>
      </c>
      <c r="T234" s="800" t="str">
        <f>IFERROR(__xludf.DUMMYFUNCTION("if(REGEXMATCH(AR234,""(all)""),""X"",if(REGEXMATCH(AR234,""history""),""X"",""""))"),"")</f>
        <v/>
      </c>
      <c r="U234" s="800" t="str">
        <f>IFERROR(__xludf.DUMMYFUNCTION("if(REGEXMATCH(AR234,""(all)""),""X"",if(REGEXMATCH(AR234,""local""),""X"",""""))"),"X")</f>
        <v>X</v>
      </c>
      <c r="V234" s="800" t="str">
        <f>IFERROR(__xludf.DUMMYFUNCTION("if(REGEXMATCH(AR234,""(all)""),""X"",if(REGEXMATCH(AR234,""nature""),""X"",""""))"),"X")</f>
        <v>X</v>
      </c>
      <c r="W234" s="800" t="str">
        <f>IFERROR(__xludf.DUMMYFUNCTION("if(REGEXMATCH(AR234,""(all)""),""X"",if(REGEXMATCH(AR234,""nobility""),""X"",""""))"),"")</f>
        <v/>
      </c>
      <c r="X234" s="800" t="str">
        <f>IFERROR(__xludf.DUMMYFUNCTION("if(REGEXMATCH(AR234,""(all)""),""X"",if(REGEXMATCH(AR234,""planes""),""X"",""""))"),"")</f>
        <v/>
      </c>
      <c r="Y234" s="800" t="str">
        <f>IFERROR(__xludf.DUMMYFUNCTION("if(REGEXMATCH(AR234,""(all)""),""X"",if(REGEXMATCH(AR234,""religion""),""X"",""""))"),"X")</f>
        <v>X</v>
      </c>
      <c r="Z234" s="800" t="str">
        <f>IFERROR(__xludf.DUMMYFUNCTION("if(REGEXMATCH(AR234,$Z$168),""X"","""")"),"")</f>
        <v/>
      </c>
      <c r="AA234" s="800" t="str">
        <f>IFERROR(__xludf.DUMMYFUNCTION("if(REGEXMATCH(AR234,$AA$168),""X"","""")"),"X")</f>
        <v>X</v>
      </c>
      <c r="AB234" s="734" t="str">
        <f>IFERROR(__xludf.DUMMYFUNCTION("if(REGEXMATCH(AR234,""Perform""),""X"","""")"),"")</f>
        <v/>
      </c>
      <c r="AC234" s="734" t="str">
        <f t="shared" ref="AC234:AC236" si="16">AB234</f>
        <v/>
      </c>
      <c r="AD234" s="734" t="str">
        <f>IFERROR(__xludf.DUMMYFUNCTION("if(REGEXMATCH(AR234,""Profession""),""X"","""")"),"X")</f>
        <v>X</v>
      </c>
      <c r="AE234" s="734" t="str">
        <f t="shared" ref="AE234:AE236" si="17">AD234</f>
        <v>X</v>
      </c>
      <c r="AF234" s="800" t="str">
        <f>IFERROR(__xludf.DUMMYFUNCTION("if(REGEXMATCH(AR234,$AF$168),""X"","""")"),"")</f>
        <v/>
      </c>
      <c r="AG234" s="800" t="str">
        <f>IFERROR(__xludf.DUMMYFUNCTION("if(REGEXMATCH(AR234,$AG$168),""X"","""")"),"X")</f>
        <v>X</v>
      </c>
      <c r="AH234" s="800" t="str">
        <f>IFERROR(__xludf.DUMMYFUNCTION("if(REGEXMATCH(AR234,$AH$168),""X"","""")"),"")</f>
        <v/>
      </c>
      <c r="AI234" s="800" t="str">
        <f>IFERROR(__xludf.DUMMYFUNCTION("if(REGEXMATCH(AR234,$AI$168),""X"","""")"),"")</f>
        <v/>
      </c>
      <c r="AJ234" s="739" t="str">
        <f>IFERROR(__xludf.DUMMYFUNCTION("if(REGEXMATCH(AR234,$AJ$168),""X"","""")"),"X")</f>
        <v>X</v>
      </c>
      <c r="AK234" s="800" t="str">
        <f>IFERROR(__xludf.DUMMYFUNCTION("if(REGEXMATCH(AR234,$AK$168),""X"","""")"),"")</f>
        <v/>
      </c>
      <c r="AL234" s="800" t="str">
        <f>IFERROR(__xludf.DUMMYFUNCTION("if(REGEXMATCH(AR234,$AL$168),""X"","""")"),"")</f>
        <v/>
      </c>
      <c r="AM234" s="800" t="str">
        <f>IFERROR(__xludf.DUMMYFUNCTION("if(REGEXMATCH(AR234,$AM$168),""X"","""")"),"")</f>
        <v/>
      </c>
      <c r="AN234" s="800"/>
      <c r="AO234" s="800"/>
      <c r="AP234" s="800" t="str">
        <f>IFERROR(__xludf.DUMMYFUNCTION("if(REGEXMATCH(AR234,""Craft""),""X"","""")"),"X")</f>
        <v>X</v>
      </c>
      <c r="AQ234" s="800" t="str">
        <f>IFERROR(__xludf.DUMMYFUNCTION("if(REGEXMATCH(AR234,""Knowledge""),""X"","""")"),"X")</f>
        <v>X</v>
      </c>
      <c r="AR234" s="646" t="s">
        <v>1129</v>
      </c>
      <c r="AS234" s="243"/>
      <c r="AT234" s="243"/>
      <c r="AU234" s="243"/>
      <c r="AV234" s="243"/>
      <c r="AW234" s="243"/>
      <c r="AX234" s="243"/>
      <c r="AY234" s="243"/>
      <c r="AZ234" s="243"/>
      <c r="BA234" s="243"/>
      <c r="BB234" s="243"/>
      <c r="BC234" s="243"/>
      <c r="BD234" s="243"/>
      <c r="BE234" s="243"/>
      <c r="BF234" s="243"/>
      <c r="BG234" s="243"/>
      <c r="BH234" s="243"/>
      <c r="BI234" s="243"/>
      <c r="BJ234" s="243"/>
      <c r="BK234" s="243"/>
      <c r="BL234" s="243"/>
    </row>
    <row r="235">
      <c r="A235" s="554" t="s">
        <v>570</v>
      </c>
      <c r="B235" s="734" t="str">
        <f>IFERROR(__xludf.DUMMYFUNCTION("if(REGEXMATCH(AR235,$B$168),""X"","""")"),"X")</f>
        <v>X</v>
      </c>
      <c r="C235" s="734" t="str">
        <f>IFERROR(__xludf.DUMMYFUNCTION("if(REGEXMATCH(AR235,$C$168),""X"","""")"),"")</f>
        <v/>
      </c>
      <c r="D235" s="800" t="str">
        <f>IFERROR(__xludf.DUMMYFUNCTION("if(REGEXMATCH(AR235,$D$168),""X"","""")"),"X")</f>
        <v>X</v>
      </c>
      <c r="E235" s="734" t="str">
        <f>IFERROR(__xludf.DUMMYFUNCTION("if(REGEXMATCH(AR235,$E$168),""X"","""")"),"X")</f>
        <v>X</v>
      </c>
      <c r="F235" s="734" t="str">
        <f>IFERROR(__xludf.DUMMYFUNCTION("if(REGEXMATCH(AR235,$F$168),""X"","""")"),"X")</f>
        <v>X</v>
      </c>
      <c r="G235" s="734" t="str">
        <f t="shared" si="15"/>
        <v>X</v>
      </c>
      <c r="H235" s="734" t="str">
        <f>IFERROR(__xludf.DUMMYFUNCTION("if(REGEXMATCH(AR235,$H$168),""X"","""")"),"X")</f>
        <v>X</v>
      </c>
      <c r="I235" s="800" t="str">
        <f>IFERROR(__xludf.DUMMYFUNCTION("if(REGEXMATCH(AR235,$I$168),""X"","""")"),"")</f>
        <v/>
      </c>
      <c r="J235" s="800" t="str">
        <f>IFERROR(__xludf.DUMMYFUNCTION("if(REGEXMATCH(AR235,$J$168),""X"","""")"),"")</f>
        <v/>
      </c>
      <c r="K235" s="800" t="str">
        <f>IFERROR(__xludf.DUMMYFUNCTION("if(REGEXMATCH(AR235,$K$168),""X"","""")"),"")</f>
        <v/>
      </c>
      <c r="L235" s="800" t="str">
        <f>IFERROR(__xludf.DUMMYFUNCTION("if(REGEXMATCH(AR235,$L$168),""X"","""")"),"")</f>
        <v/>
      </c>
      <c r="M235" s="800" t="str">
        <f>IFERROR(__xludf.DUMMYFUNCTION("if(REGEXMATCH(AR235,$M$168),""X"","""")"),"X")</f>
        <v>X</v>
      </c>
      <c r="N235" s="800" t="str">
        <f>IFERROR(__xludf.DUMMYFUNCTION("if(REGEXMATCH(AR235,$N$168),""X"","""")"),"")</f>
        <v/>
      </c>
      <c r="O235" s="800" t="str">
        <f>IFERROR(__xludf.DUMMYFUNCTION("if(REGEXMATCH(AR235,$O$168),""X"","""")"),"X")</f>
        <v>X</v>
      </c>
      <c r="P235" s="800" t="str">
        <f>IFERROR(__xludf.DUMMYFUNCTION("if(REGEXMATCH(AR235,""(all)""),""X"",if(REGEXMATCH(AR235,""arcana""),""X"",""""))"),"")</f>
        <v/>
      </c>
      <c r="Q235" s="800" t="str">
        <f>IFERROR(__xludf.DUMMYFUNCTION("if(REGEXMATCH(AR235,""(all)""),""X"",if(REGEXMATCH(AR235,""dungeoneering""),""X"",""""))"),"")</f>
        <v/>
      </c>
      <c r="R235" s="800" t="str">
        <f>IFERROR(__xludf.DUMMYFUNCTION("if(REGEXMATCH(AR235,""(all)""),""X"",if(REGEXMATCH(AR235,""engineering""),""X"",""""))"),"")</f>
        <v/>
      </c>
      <c r="S235" s="800" t="str">
        <f>IFERROR(__xludf.DUMMYFUNCTION("if(REGEXMATCH(AR235,""(all)""),""X"",if(REGEXMATCH(AR235,""geography""),""X"",""""))"),"")</f>
        <v/>
      </c>
      <c r="T235" s="800" t="str">
        <f>IFERROR(__xludf.DUMMYFUNCTION("if(REGEXMATCH(AR235,""(all)""),""X"",if(REGEXMATCH(AR235,""history""),""X"",""""))"),"X")</f>
        <v>X</v>
      </c>
      <c r="U235" s="800" t="str">
        <f>IFERROR(__xludf.DUMMYFUNCTION("if(REGEXMATCH(AR235,""(all)""),""X"",if(REGEXMATCH(AR235,""local""),""X"",""""))"),"")</f>
        <v/>
      </c>
      <c r="V235" s="800" t="str">
        <f>IFERROR(__xludf.DUMMYFUNCTION("if(REGEXMATCH(AR235,""(all)""),""X"",if(REGEXMATCH(AR235,""nature""),""X"",""""))"),"")</f>
        <v/>
      </c>
      <c r="W235" s="800" t="str">
        <f>IFERROR(__xludf.DUMMYFUNCTION("if(REGEXMATCH(AR235,""(all)""),""X"",if(REGEXMATCH(AR235,""nobility""),""X"",""""))"),"X")</f>
        <v>X</v>
      </c>
      <c r="X235" s="800" t="str">
        <f>IFERROR(__xludf.DUMMYFUNCTION("if(REGEXMATCH(AR235,""(all)""),""X"",if(REGEXMATCH(AR235,""planes""),""X"",""""))"),"")</f>
        <v/>
      </c>
      <c r="Y235" s="800" t="str">
        <f>IFERROR(__xludf.DUMMYFUNCTION("if(REGEXMATCH(AR235,""(all)""),""X"",if(REGEXMATCH(AR235,""religion""),""X"",""""))"),"")</f>
        <v/>
      </c>
      <c r="Z235" s="800" t="str">
        <f>IFERROR(__xludf.DUMMYFUNCTION("if(REGEXMATCH(AR235,$Z$168),""X"","""")"),"")</f>
        <v/>
      </c>
      <c r="AA235" s="800" t="str">
        <f>IFERROR(__xludf.DUMMYFUNCTION("if(REGEXMATCH(AR235,$AA$168),""X"","""")"),"")</f>
        <v/>
      </c>
      <c r="AB235" s="734" t="str">
        <f>IFERROR(__xludf.DUMMYFUNCTION("if(REGEXMATCH(AR235,""Perform""),""X"","""")"),"")</f>
        <v/>
      </c>
      <c r="AC235" s="734" t="str">
        <f t="shared" si="16"/>
        <v/>
      </c>
      <c r="AD235" s="734" t="str">
        <f>IFERROR(__xludf.DUMMYFUNCTION("if(REGEXMATCH(AR235,""Profession""),""X"","""")"),"X")</f>
        <v>X</v>
      </c>
      <c r="AE235" s="734" t="str">
        <f t="shared" si="17"/>
        <v>X</v>
      </c>
      <c r="AF235" s="800" t="str">
        <f>IFERROR(__xludf.DUMMYFUNCTION("if(REGEXMATCH(AR235,$AF$168),""X"","""")"),"X")</f>
        <v>X</v>
      </c>
      <c r="AG235" s="800" t="str">
        <f>IFERROR(__xludf.DUMMYFUNCTION("if(REGEXMATCH(AR235,$AG$168),""X"","""")"),"")</f>
        <v/>
      </c>
      <c r="AH235" s="800" t="str">
        <f>IFERROR(__xludf.DUMMYFUNCTION("if(REGEXMATCH(AR235,$AH$168),""X"","""")"),"")</f>
        <v/>
      </c>
      <c r="AI235" s="800" t="str">
        <f>IFERROR(__xludf.DUMMYFUNCTION("if(REGEXMATCH(AR235,$AI$168),""X"","""")"),"")</f>
        <v/>
      </c>
      <c r="AJ235" s="739" t="str">
        <f>IFERROR(__xludf.DUMMYFUNCTION("if(REGEXMATCH(AR235,$AJ$168),""X"","""")"),"")</f>
        <v/>
      </c>
      <c r="AK235" s="800" t="str">
        <f>IFERROR(__xludf.DUMMYFUNCTION("if(REGEXMATCH(AR235,$AK$168),""X"","""")"),"X")</f>
        <v>X</v>
      </c>
      <c r="AL235" s="800" t="str">
        <f>IFERROR(__xludf.DUMMYFUNCTION("if(REGEXMATCH(AR235,$AL$168),""X"","""")"),"X")</f>
        <v>X</v>
      </c>
      <c r="AM235" s="800" t="str">
        <f>IFERROR(__xludf.DUMMYFUNCTION("if(REGEXMATCH(AR235,$AM$168),""X"","""")"),"")</f>
        <v/>
      </c>
      <c r="AN235" s="800"/>
      <c r="AO235" s="800"/>
      <c r="AP235" s="800" t="str">
        <f>IFERROR(__xludf.DUMMYFUNCTION("if(REGEXMATCH(AR235,""Craft""),""X"","""")"),"X")</f>
        <v>X</v>
      </c>
      <c r="AQ235" s="800" t="str">
        <f>IFERROR(__xludf.DUMMYFUNCTION("if(REGEXMATCH(AR235,""Knowledge""),""X"","""")"),"X")</f>
        <v>X</v>
      </c>
      <c r="AR235" s="646" t="s">
        <v>1134</v>
      </c>
      <c r="AS235" s="243"/>
      <c r="AT235" s="243"/>
      <c r="AU235" s="243"/>
      <c r="AV235" s="243"/>
      <c r="AW235" s="243"/>
      <c r="AX235" s="243"/>
      <c r="AY235" s="243"/>
      <c r="AZ235" s="243"/>
      <c r="BA235" s="243"/>
      <c r="BB235" s="243"/>
      <c r="BC235" s="243"/>
      <c r="BD235" s="243"/>
      <c r="BE235" s="243"/>
      <c r="BF235" s="243"/>
      <c r="BG235" s="243"/>
      <c r="BH235" s="243"/>
      <c r="BI235" s="243"/>
      <c r="BJ235" s="243"/>
      <c r="BK235" s="243"/>
      <c r="BL235" s="243"/>
    </row>
    <row r="236">
      <c r="A236" s="554" t="s">
        <v>571</v>
      </c>
      <c r="B236" s="734" t="str">
        <f>IFERROR(__xludf.DUMMYFUNCTION("if(REGEXMATCH(AR236,$B$168),""X"","""")"),"X")</f>
        <v>X</v>
      </c>
      <c r="C236" s="734" t="str">
        <f>IFERROR(__xludf.DUMMYFUNCTION("if(REGEXMATCH(AR236,$C$168),""X"","""")"),"")</f>
        <v/>
      </c>
      <c r="D236" s="800" t="str">
        <f>IFERROR(__xludf.DUMMYFUNCTION("if(REGEXMATCH(AR236,$D$168),""X"","""")"),"")</f>
        <v/>
      </c>
      <c r="E236" s="734" t="str">
        <f>IFERROR(__xludf.DUMMYFUNCTION("if(REGEXMATCH(AR236,$E$168),""X"","""")"),"X")</f>
        <v>X</v>
      </c>
      <c r="F236" s="734" t="str">
        <f>IFERROR(__xludf.DUMMYFUNCTION("if(REGEXMATCH(AR236,$F$168),""X"","""")"),"X")</f>
        <v>X</v>
      </c>
      <c r="G236" s="734" t="str">
        <f t="shared" si="15"/>
        <v>X</v>
      </c>
      <c r="H236" s="734" t="str">
        <f>IFERROR(__xludf.DUMMYFUNCTION("if(REGEXMATCH(AR236,$H$168),""X"","""")"),"X")</f>
        <v>X</v>
      </c>
      <c r="I236" s="800" t="str">
        <f>IFERROR(__xludf.DUMMYFUNCTION("if(REGEXMATCH(AR236,$I$168),""X"","""")"),"")</f>
        <v/>
      </c>
      <c r="J236" s="800" t="str">
        <f>IFERROR(__xludf.DUMMYFUNCTION("if(REGEXMATCH(AR236,$J$168),""X"","""")"),"")</f>
        <v/>
      </c>
      <c r="K236" s="800" t="str">
        <f>IFERROR(__xludf.DUMMYFUNCTION("if(REGEXMATCH(AR236,$K$168),""X"","""")"),"")</f>
        <v/>
      </c>
      <c r="L236" s="800" t="str">
        <f>IFERROR(__xludf.DUMMYFUNCTION("if(REGEXMATCH(AR236,$L$168),""X"","""")"),"")</f>
        <v/>
      </c>
      <c r="M236" s="800" t="str">
        <f>IFERROR(__xludf.DUMMYFUNCTION("if(REGEXMATCH(AR236,$M$168),""X"","""")"),"X")</f>
        <v>X</v>
      </c>
      <c r="N236" s="800" t="str">
        <f>IFERROR(__xludf.DUMMYFUNCTION("if(REGEXMATCH(AR236,$N$168),""X"","""")"),"")</f>
        <v/>
      </c>
      <c r="O236" s="800" t="str">
        <f>IFERROR(__xludf.DUMMYFUNCTION("if(REGEXMATCH(AR236,$O$168),""X"","""")"),"X")</f>
        <v>X</v>
      </c>
      <c r="P236" s="800" t="str">
        <f>IFERROR(__xludf.DUMMYFUNCTION("if(REGEXMATCH(AR236,""(all)""),""X"",if(REGEXMATCH(AR236,""arcana""),""X"",""""))"),"")</f>
        <v/>
      </c>
      <c r="Q236" s="800" t="str">
        <f>IFERROR(__xludf.DUMMYFUNCTION("if(REGEXMATCH(AR236,""(all)""),""X"",if(REGEXMATCH(AR236,""dungeoneering""),""X"",""""))"),"")</f>
        <v/>
      </c>
      <c r="R236" s="800" t="str">
        <f>IFERROR(__xludf.DUMMYFUNCTION("if(REGEXMATCH(AR236,""(all)""),""X"",if(REGEXMATCH(AR236,""engineering""),""X"",""""))"),"X")</f>
        <v>X</v>
      </c>
      <c r="S236" s="800" t="str">
        <f>IFERROR(__xludf.DUMMYFUNCTION("if(REGEXMATCH(AR236,""(all)""),""X"",if(REGEXMATCH(AR236,""geography""),""X"",""""))"),"")</f>
        <v/>
      </c>
      <c r="T236" s="800" t="str">
        <f>IFERROR(__xludf.DUMMYFUNCTION("if(REGEXMATCH(AR236,""(all)""),""X"",if(REGEXMATCH(AR236,""history""),""X"",""""))"),"X")</f>
        <v>X</v>
      </c>
      <c r="U236" s="800" t="str">
        <f>IFERROR(__xludf.DUMMYFUNCTION("if(REGEXMATCH(AR236,""(all)""),""X"",if(REGEXMATCH(AR236,""local""),""X"",""""))"),"")</f>
        <v/>
      </c>
      <c r="V236" s="800" t="str">
        <f>IFERROR(__xludf.DUMMYFUNCTION("if(REGEXMATCH(AR236,""(all)""),""X"",if(REGEXMATCH(AR236,""nature""),""X"",""""))"),"")</f>
        <v/>
      </c>
      <c r="W236" s="800" t="str">
        <f>IFERROR(__xludf.DUMMYFUNCTION("if(REGEXMATCH(AR236,""(all)""),""X"",if(REGEXMATCH(AR236,""nobility""),""X"",""""))"),"")</f>
        <v/>
      </c>
      <c r="X236" s="800" t="str">
        <f>IFERROR(__xludf.DUMMYFUNCTION("if(REGEXMATCH(AR236,""(all)""),""X"",if(REGEXMATCH(AR236,""planes""),""X"",""""))"),"")</f>
        <v/>
      </c>
      <c r="Y236" s="800" t="str">
        <f>IFERROR(__xludf.DUMMYFUNCTION("if(REGEXMATCH(AR236,""(all)""),""X"",if(REGEXMATCH(AR236,""religion""),""X"",""""))"),"")</f>
        <v/>
      </c>
      <c r="Z236" s="800" t="str">
        <f>IFERROR(__xludf.DUMMYFUNCTION("if(REGEXMATCH(AR236,$Z$168),""X"","""")"),"")</f>
        <v/>
      </c>
      <c r="AA236" s="800" t="str">
        <f>IFERROR(__xludf.DUMMYFUNCTION("if(REGEXMATCH(AR236,$AA$168),""X"","""")"),"X")</f>
        <v>X</v>
      </c>
      <c r="AB236" s="734" t="str">
        <f>IFERROR(__xludf.DUMMYFUNCTION("if(REGEXMATCH(AR236,""Perform""),""X"","""")"),"")</f>
        <v/>
      </c>
      <c r="AC236" s="734" t="str">
        <f t="shared" si="16"/>
        <v/>
      </c>
      <c r="AD236" s="734" t="str">
        <f>IFERROR(__xludf.DUMMYFUNCTION("if(REGEXMATCH(AR236,""Profession""),""X"","""")"),"X")</f>
        <v>X</v>
      </c>
      <c r="AE236" s="734" t="str">
        <f t="shared" si="17"/>
        <v>X</v>
      </c>
      <c r="AF236" s="800" t="str">
        <f>IFERROR(__xludf.DUMMYFUNCTION("if(REGEXMATCH(AR236,$AF$168),""X"","""")"),"X")</f>
        <v>X</v>
      </c>
      <c r="AG236" s="800" t="str">
        <f>IFERROR(__xludf.DUMMYFUNCTION("if(REGEXMATCH(AR236,$AG$168),""X"","""")"),"X")</f>
        <v>X</v>
      </c>
      <c r="AH236" s="800" t="str">
        <f>IFERROR(__xludf.DUMMYFUNCTION("if(REGEXMATCH(AR236,$AH$168),""X"","""")"),"")</f>
        <v/>
      </c>
      <c r="AI236" s="800" t="str">
        <f>IFERROR(__xludf.DUMMYFUNCTION("if(REGEXMATCH(AR236,$AI$168),""X"","""")"),"")</f>
        <v/>
      </c>
      <c r="AJ236" s="739" t="str">
        <f>IFERROR(__xludf.DUMMYFUNCTION("if(REGEXMATCH(AR236,$AJ$168),""X"","""")"),"")</f>
        <v/>
      </c>
      <c r="AK236" s="800" t="str">
        <f>IFERROR(__xludf.DUMMYFUNCTION("if(REGEXMATCH(AR236,$AK$168),""X"","""")"),"X")</f>
        <v>X</v>
      </c>
      <c r="AL236" s="800" t="str">
        <f>IFERROR(__xludf.DUMMYFUNCTION("if(REGEXMATCH(AR236,$AL$168),""X"","""")"),"X")</f>
        <v>X</v>
      </c>
      <c r="AM236" s="800" t="str">
        <f>IFERROR(__xludf.DUMMYFUNCTION("if(REGEXMATCH(AR236,$AM$168),""X"","""")"),"")</f>
        <v/>
      </c>
      <c r="AN236" s="800"/>
      <c r="AO236" s="800"/>
      <c r="AP236" s="800" t="str">
        <f>IFERROR(__xludf.DUMMYFUNCTION("if(REGEXMATCH(AR236,""Craft""),""X"","""")"),"X")</f>
        <v>X</v>
      </c>
      <c r="AQ236" s="800" t="str">
        <f>IFERROR(__xludf.DUMMYFUNCTION("if(REGEXMATCH(AR236,""Knowledge""),""X"","""")"),"X")</f>
        <v>X</v>
      </c>
      <c r="AR236" s="646" t="s">
        <v>1138</v>
      </c>
      <c r="AS236" s="243"/>
      <c r="AT236" s="243"/>
      <c r="AU236" s="243"/>
      <c r="AV236" s="243"/>
      <c r="AW236" s="243"/>
      <c r="AX236" s="243"/>
      <c r="AY236" s="243"/>
      <c r="AZ236" s="243"/>
      <c r="BA236" s="243"/>
      <c r="BB236" s="243"/>
      <c r="BC236" s="243"/>
      <c r="BD236" s="243"/>
      <c r="BE236" s="243"/>
      <c r="BF236" s="243"/>
      <c r="BG236" s="243"/>
      <c r="BH236" s="243"/>
      <c r="BI236" s="243"/>
      <c r="BJ236" s="243"/>
      <c r="BK236" s="243"/>
      <c r="BL236" s="243"/>
    </row>
    <row r="237">
      <c r="A237" s="554"/>
      <c r="B237" s="310"/>
      <c r="C237" s="547"/>
      <c r="D237" s="310"/>
      <c r="E237" s="310"/>
      <c r="F237" s="310"/>
      <c r="G237" s="310"/>
      <c r="H237" s="310"/>
      <c r="I237" s="547"/>
      <c r="J237" s="555"/>
      <c r="K237" s="580"/>
      <c r="L237" s="243"/>
      <c r="M237" s="243"/>
      <c r="N237" s="555"/>
      <c r="O237" s="580"/>
      <c r="P237" s="243"/>
      <c r="Q237" s="243"/>
      <c r="R237" s="243"/>
      <c r="S237" s="243"/>
      <c r="T237" s="243"/>
      <c r="U237" s="555"/>
      <c r="V237" s="555"/>
      <c r="W237" s="243"/>
      <c r="X237" s="555"/>
      <c r="Y237" s="243"/>
      <c r="Z237" s="243"/>
      <c r="AA237" s="580"/>
      <c r="AB237" s="555"/>
      <c r="AC237" s="555"/>
      <c r="AD237" s="580"/>
      <c r="AE237" s="580"/>
      <c r="AF237" s="555"/>
      <c r="AG237" s="580"/>
      <c r="AH237" s="555"/>
      <c r="AI237" s="580"/>
      <c r="AJ237" s="547"/>
      <c r="AK237" s="555"/>
      <c r="AL237" s="580"/>
      <c r="AM237" s="580"/>
      <c r="AN237" s="580"/>
      <c r="AO237" s="580"/>
      <c r="AP237" s="250"/>
      <c r="AQ237" s="250"/>
      <c r="AR237" s="638"/>
      <c r="AS237" s="555"/>
      <c r="AT237" s="555"/>
      <c r="AU237" s="555"/>
      <c r="AV237" s="555"/>
      <c r="AW237" s="555"/>
      <c r="AX237" s="555"/>
      <c r="AY237" s="555"/>
      <c r="AZ237" s="555"/>
      <c r="BA237" s="555"/>
      <c r="BB237" s="555"/>
      <c r="BC237" s="555"/>
      <c r="BD237" s="555"/>
      <c r="BE237" s="555"/>
      <c r="BF237" s="555"/>
      <c r="BG237" s="555"/>
      <c r="BH237" s="555"/>
      <c r="BI237" s="555"/>
      <c r="BJ237" s="555"/>
      <c r="BK237" s="555"/>
      <c r="BL237" s="555"/>
    </row>
    <row r="238">
      <c r="A238" s="660" t="s">
        <v>1140</v>
      </c>
      <c r="B238" s="630" t="s">
        <v>726</v>
      </c>
      <c r="C238" s="629" t="s">
        <v>729</v>
      </c>
      <c r="D238" s="629" t="s">
        <v>231</v>
      </c>
      <c r="E238" s="629" t="s">
        <v>261</v>
      </c>
      <c r="F238" s="629" t="s">
        <v>730</v>
      </c>
      <c r="G238" s="629" t="s">
        <v>730</v>
      </c>
      <c r="H238" s="629" t="s">
        <v>299</v>
      </c>
      <c r="I238" s="629" t="s">
        <v>336</v>
      </c>
      <c r="J238" s="629" t="s">
        <v>394</v>
      </c>
      <c r="K238" s="629" t="s">
        <v>437</v>
      </c>
      <c r="L238" s="629" t="s">
        <v>478</v>
      </c>
      <c r="M238" s="629" t="s">
        <v>731</v>
      </c>
      <c r="N238" s="629" t="s">
        <v>543</v>
      </c>
      <c r="O238" s="629" t="s">
        <v>580</v>
      </c>
      <c r="P238" s="629" t="s">
        <v>596</v>
      </c>
      <c r="Q238" s="629" t="s">
        <v>609</v>
      </c>
      <c r="R238" s="629" t="s">
        <v>732</v>
      </c>
      <c r="S238" s="629" t="s">
        <v>733</v>
      </c>
      <c r="T238" s="629" t="s">
        <v>734</v>
      </c>
      <c r="U238" s="629" t="s">
        <v>620</v>
      </c>
      <c r="V238" s="629" t="s">
        <v>629</v>
      </c>
      <c r="W238" s="629" t="s">
        <v>735</v>
      </c>
      <c r="X238" s="629" t="s">
        <v>638</v>
      </c>
      <c r="Y238" s="629" t="s">
        <v>642</v>
      </c>
      <c r="Z238" s="629" t="s">
        <v>736</v>
      </c>
      <c r="AA238" s="629" t="s">
        <v>657</v>
      </c>
      <c r="AB238" s="629" t="s">
        <v>737</v>
      </c>
      <c r="AC238" s="629" t="s">
        <v>737</v>
      </c>
      <c r="AD238" s="629" t="s">
        <v>738</v>
      </c>
      <c r="AE238" s="629" t="s">
        <v>738</v>
      </c>
      <c r="AF238" s="629" t="s">
        <v>673</v>
      </c>
      <c r="AG238" s="629" t="s">
        <v>687</v>
      </c>
      <c r="AH238" s="629" t="s">
        <v>739</v>
      </c>
      <c r="AI238" s="629" t="s">
        <v>717</v>
      </c>
      <c r="AJ238" s="629" t="s">
        <v>723</v>
      </c>
      <c r="AK238" s="629" t="s">
        <v>728</v>
      </c>
      <c r="AL238" s="629" t="s">
        <v>740</v>
      </c>
      <c r="AM238" s="629" t="s">
        <v>741</v>
      </c>
      <c r="AN238" s="629" t="s">
        <v>742</v>
      </c>
      <c r="AO238" s="629" t="s">
        <v>742</v>
      </c>
      <c r="AP238" s="630" t="s">
        <v>743</v>
      </c>
      <c r="AQ238" s="630" t="s">
        <v>744</v>
      </c>
      <c r="AR238" s="631"/>
      <c r="AS238" s="630" t="s">
        <v>745</v>
      </c>
      <c r="AT238" s="630" t="s">
        <v>746</v>
      </c>
      <c r="AU238" s="630" t="s">
        <v>747</v>
      </c>
      <c r="AV238" s="630" t="s">
        <v>748</v>
      </c>
      <c r="AW238" s="630" t="s">
        <v>749</v>
      </c>
      <c r="AX238" s="630" t="s">
        <v>750</v>
      </c>
      <c r="AY238" s="630" t="s">
        <v>751</v>
      </c>
      <c r="AZ238" s="630" t="s">
        <v>752</v>
      </c>
      <c r="BA238" s="630" t="s">
        <v>753</v>
      </c>
      <c r="BB238" s="630" t="s">
        <v>754</v>
      </c>
      <c r="BC238" s="630" t="s">
        <v>755</v>
      </c>
      <c r="BD238" s="630" t="s">
        <v>756</v>
      </c>
      <c r="BE238" s="632"/>
      <c r="BF238" s="632"/>
      <c r="BG238" s="632"/>
      <c r="BH238" s="632"/>
      <c r="BI238" s="632"/>
      <c r="BJ238" s="632"/>
      <c r="BK238" s="632"/>
      <c r="BL238" s="632"/>
    </row>
    <row r="239">
      <c r="A239" s="385" t="s">
        <v>574</v>
      </c>
      <c r="B239" s="310" t="s">
        <v>595</v>
      </c>
      <c r="C239" s="310" t="s">
        <v>595</v>
      </c>
      <c r="D239" s="580" t="s">
        <v>595</v>
      </c>
      <c r="E239" s="547"/>
      <c r="F239" s="580" t="s">
        <v>595</v>
      </c>
      <c r="G239" s="580" t="s">
        <v>595</v>
      </c>
      <c r="H239" s="580" t="s">
        <v>595</v>
      </c>
      <c r="I239" s="547"/>
      <c r="J239" s="580" t="s">
        <v>595</v>
      </c>
      <c r="K239" s="555"/>
      <c r="L239" s="580" t="s">
        <v>595</v>
      </c>
      <c r="M239" s="243"/>
      <c r="N239" s="243"/>
      <c r="O239" s="580" t="s">
        <v>595</v>
      </c>
      <c r="P239" s="580" t="s">
        <v>595</v>
      </c>
      <c r="Q239" s="243"/>
      <c r="R239" s="243"/>
      <c r="S239" s="243"/>
      <c r="T239" s="243"/>
      <c r="U239" s="580" t="s">
        <v>595</v>
      </c>
      <c r="V239" s="243"/>
      <c r="W239" s="243"/>
      <c r="X239" s="243"/>
      <c r="Y239" s="243"/>
      <c r="Z239" s="580" t="s">
        <v>595</v>
      </c>
      <c r="AA239" s="580" t="s">
        <v>595</v>
      </c>
      <c r="AB239" s="243"/>
      <c r="AC239" s="243"/>
      <c r="AD239" s="580" t="s">
        <v>595</v>
      </c>
      <c r="AE239" s="580" t="s">
        <v>595</v>
      </c>
      <c r="AF239" s="243"/>
      <c r="AG239" s="580" t="s">
        <v>595</v>
      </c>
      <c r="AH239" s="580" t="s">
        <v>595</v>
      </c>
      <c r="AI239" s="580" t="s">
        <v>595</v>
      </c>
      <c r="AJ239" s="938"/>
      <c r="AK239" s="555"/>
      <c r="AL239" s="243"/>
      <c r="AM239" s="580" t="s">
        <v>595</v>
      </c>
      <c r="AN239" s="243"/>
      <c r="AO239" s="243"/>
      <c r="AP239" s="250" t="str">
        <f>IF(OR(F239="X",G239="X",AB239="X",AC239="X"),"X",)</f>
        <v>X</v>
      </c>
      <c r="AQ239" s="313" t="s">
        <v>595</v>
      </c>
      <c r="AR239" s="631"/>
      <c r="AS239" s="243"/>
      <c r="AT239" s="243"/>
      <c r="AU239" s="243"/>
      <c r="AV239" s="243"/>
      <c r="AW239" s="243"/>
      <c r="AX239" s="243"/>
      <c r="AY239" s="243"/>
      <c r="AZ239" s="243"/>
      <c r="BA239" s="243"/>
      <c r="BB239" s="243"/>
      <c r="BC239" s="243"/>
      <c r="BD239" s="243"/>
      <c r="BE239" s="243"/>
      <c r="BF239" s="243"/>
      <c r="BG239" s="243"/>
      <c r="BH239" s="243"/>
      <c r="BI239" s="243"/>
      <c r="BJ239" s="243"/>
      <c r="BK239" s="243"/>
      <c r="BL239" s="243"/>
    </row>
    <row r="240">
      <c r="A240" s="458" t="s">
        <v>578</v>
      </c>
      <c r="B240" s="734" t="str">
        <f>IFERROR(__xludf.DUMMYFUNCTION("if(REGEXMATCH(AR240,$B$168),""X"","""")"),"X")</f>
        <v>X</v>
      </c>
      <c r="C240" s="734" t="str">
        <f>IFERROR(__xludf.DUMMYFUNCTION("if(REGEXMATCH(AR240,$C$168),""X"","""")"),"")</f>
        <v/>
      </c>
      <c r="D240" s="800" t="str">
        <f>IFERROR(__xludf.DUMMYFUNCTION("if(REGEXMATCH(AR240,$D$168),""X"","""")"),"X")</f>
        <v>X</v>
      </c>
      <c r="E240" s="734" t="str">
        <f>IFERROR(__xludf.DUMMYFUNCTION("if(REGEXMATCH(AR240,$E$168),""X"","""")"),"X")</f>
        <v>X</v>
      </c>
      <c r="F240" s="734" t="str">
        <f>IFERROR(__xludf.DUMMYFUNCTION("if(REGEXMATCH(AR240,$F$168),""X"","""")"),"X")</f>
        <v>X</v>
      </c>
      <c r="G240" s="734" t="str">
        <f t="shared" ref="G240:G278" si="18">F240</f>
        <v>X</v>
      </c>
      <c r="H240" s="734" t="str">
        <f>IFERROR(__xludf.DUMMYFUNCTION("if(REGEXMATCH(AR240,$H$168),""X"","""")"),"")</f>
        <v/>
      </c>
      <c r="I240" s="800" t="str">
        <f>IFERROR(__xludf.DUMMYFUNCTION("if(REGEXMATCH(AR240,$I$168),""X"","""")"),"")</f>
        <v/>
      </c>
      <c r="J240" s="800" t="str">
        <f>IFERROR(__xludf.DUMMYFUNCTION("if(REGEXMATCH(AR240,$J$168),""X"","""")"),"")</f>
        <v/>
      </c>
      <c r="K240" s="800" t="str">
        <f>IFERROR(__xludf.DUMMYFUNCTION("if(REGEXMATCH(AR240,$K$168),""X"","""")"),"")</f>
        <v/>
      </c>
      <c r="L240" s="800" t="str">
        <f>IFERROR(__xludf.DUMMYFUNCTION("if(REGEXMATCH(AR240,$L$168),""X"","""")"),"")</f>
        <v/>
      </c>
      <c r="M240" s="800" t="str">
        <f>IFERROR(__xludf.DUMMYFUNCTION("if(REGEXMATCH(AR240,$M$168),""X"","""")"),"")</f>
        <v/>
      </c>
      <c r="N240" s="800" t="str">
        <f>IFERROR(__xludf.DUMMYFUNCTION("if(REGEXMATCH(AR240,$N$168),""X"","""")"),"X")</f>
        <v>X</v>
      </c>
      <c r="O240" s="800" t="str">
        <f>IFERROR(__xludf.DUMMYFUNCTION("if(REGEXMATCH(AR240,$O$168),""X"","""")"),"")</f>
        <v/>
      </c>
      <c r="P240" s="800" t="str">
        <f>IFERROR(__xludf.DUMMYFUNCTION("if(REGEXMATCH(AR240,""(all)""),""X"",if(REGEXMATCH(AR240,""arcana""),""X"",""""))"),"")</f>
        <v/>
      </c>
      <c r="Q240" s="800" t="str">
        <f>IFERROR(__xludf.DUMMYFUNCTION("if(REGEXMATCH(AR240,""(all)""),""X"",if(REGEXMATCH(AR240,""dungeoneering""),""X"",""""))"),"")</f>
        <v/>
      </c>
      <c r="R240" s="800" t="str">
        <f>IFERROR(__xludf.DUMMYFUNCTION("if(REGEXMATCH(AR240,""(all)""),""X"",if(REGEXMATCH(AR240,""engineering""),""X"",""""))"),"")</f>
        <v/>
      </c>
      <c r="S240" s="800" t="str">
        <f>IFERROR(__xludf.DUMMYFUNCTION("if(REGEXMATCH(AR240,""(all)""),""X"",if(REGEXMATCH(AR240,""geography""),""X"",""""))"),"X")</f>
        <v>X</v>
      </c>
      <c r="T240" s="800" t="str">
        <f>IFERROR(__xludf.DUMMYFUNCTION("if(REGEXMATCH(AR240,""(all)""),""X"",if(REGEXMATCH(AR240,""history""),""X"",""""))"),"")</f>
        <v/>
      </c>
      <c r="U240" s="800" t="str">
        <f>IFERROR(__xludf.DUMMYFUNCTION("if(REGEXMATCH(AR240,""(all)""),""X"",if(REGEXMATCH(AR240,""local""),""X"",""""))"),"")</f>
        <v/>
      </c>
      <c r="V240" s="800" t="str">
        <f>IFERROR(__xludf.DUMMYFUNCTION("if(REGEXMATCH(AR240,""(all)""),""X"",if(REGEXMATCH(AR240,""nature""),""X"",""""))"),"X")</f>
        <v>X</v>
      </c>
      <c r="W240" s="800" t="str">
        <f>IFERROR(__xludf.DUMMYFUNCTION("if(REGEXMATCH(AR240,""(all)""),""X"",if(REGEXMATCH(AR240,""nobility""),""X"",""""))"),"")</f>
        <v/>
      </c>
      <c r="X240" s="800" t="str">
        <f>IFERROR(__xludf.DUMMYFUNCTION("if(REGEXMATCH(AR240,""(all)""),""X"",if(REGEXMATCH(AR240,""planes""),""X"",""""))"),"")</f>
        <v/>
      </c>
      <c r="Y240" s="800" t="str">
        <f>IFERROR(__xludf.DUMMYFUNCTION("if(REGEXMATCH(AR240,""(all)""),""X"",if(REGEXMATCH(AR240,""religion""),""X"",""""))"),"")</f>
        <v/>
      </c>
      <c r="Z240" s="800" t="str">
        <f>IFERROR(__xludf.DUMMYFUNCTION("if(REGEXMATCH(AR240,$Z$168),""X"","""")"),"")</f>
        <v/>
      </c>
      <c r="AA240" s="800" t="str">
        <f>IFERROR(__xludf.DUMMYFUNCTION("if(REGEXMATCH(AR240,$AA$168),""X"","""")"),"X")</f>
        <v>X</v>
      </c>
      <c r="AB240" s="734" t="str">
        <f>IFERROR(__xludf.DUMMYFUNCTION("if(REGEXMATCH(AR240,""Perform""),""X"","""")"),"")</f>
        <v/>
      </c>
      <c r="AC240" s="734" t="str">
        <f t="shared" ref="AC240:AC278" si="19">AB240</f>
        <v/>
      </c>
      <c r="AD240" s="734" t="str">
        <f>IFERROR(__xludf.DUMMYFUNCTION("if(REGEXMATCH(AR240,""Profession""),""X"","""")"),"X")</f>
        <v>X</v>
      </c>
      <c r="AE240" s="734" t="str">
        <f t="shared" ref="AE240:AE278" si="20">AD240</f>
        <v>X</v>
      </c>
      <c r="AF240" s="800" t="str">
        <f>IFERROR(__xludf.DUMMYFUNCTION("if(REGEXMATCH(AR240,$AF$168),""X"","""")"),"X")</f>
        <v>X</v>
      </c>
      <c r="AG240" s="800" t="str">
        <f>IFERROR(__xludf.DUMMYFUNCTION("if(REGEXMATCH(AR240,$AG$168),""X"","""")"),"X")</f>
        <v>X</v>
      </c>
      <c r="AH240" s="800" t="str">
        <f>IFERROR(__xludf.DUMMYFUNCTION("if(REGEXMATCH(AR240,$AH$168),""X"","""")"),"")</f>
        <v/>
      </c>
      <c r="AI240" s="800" t="str">
        <f>IFERROR(__xludf.DUMMYFUNCTION("if(REGEXMATCH(AR240,$AI$168),""X"","""")"),"")</f>
        <v/>
      </c>
      <c r="AJ240" s="739" t="str">
        <f>IFERROR(__xludf.DUMMYFUNCTION("if(REGEXMATCH(AR240,$AJ$168),""X"","""")"),"X")</f>
        <v>X</v>
      </c>
      <c r="AK240" s="800" t="str">
        <f>IFERROR(__xludf.DUMMYFUNCTION("if(REGEXMATCH(AR240,$AK$168),""X"","""")"),"X")</f>
        <v>X</v>
      </c>
      <c r="AL240" s="800" t="str">
        <f>IFERROR(__xludf.DUMMYFUNCTION("if(REGEXMATCH(AR240,$AL$168),""X"","""")"),"X")</f>
        <v>X</v>
      </c>
      <c r="AM240" s="800" t="str">
        <f>IFERROR(__xludf.DUMMYFUNCTION("if(REGEXMATCH(AR240,$AM$168),""X"","""")"),"")</f>
        <v/>
      </c>
      <c r="AN240" s="800"/>
      <c r="AO240" s="800"/>
      <c r="AP240" s="800" t="str">
        <f>IFERROR(__xludf.DUMMYFUNCTION("if(REGEXMATCH(AR240,""Craft""),""X"","""")"),"X")</f>
        <v>X</v>
      </c>
      <c r="AQ240" s="800" t="str">
        <f>IFERROR(__xludf.DUMMYFUNCTION("if(REGEXMATCH(AR240,""Knowledge""),""X"","""")"),"X")</f>
        <v>X</v>
      </c>
      <c r="AR240" s="939" t="s">
        <v>1145</v>
      </c>
      <c r="AS240" s="243"/>
      <c r="AT240" s="243"/>
      <c r="AU240" s="243"/>
      <c r="AV240" s="243"/>
      <c r="AW240" s="243"/>
      <c r="AX240" s="243"/>
      <c r="AY240" s="243"/>
      <c r="AZ240" s="243"/>
      <c r="BA240" s="243"/>
      <c r="BB240" s="243"/>
      <c r="BC240" s="243"/>
      <c r="BD240" s="243"/>
      <c r="BE240" s="243"/>
      <c r="BF240" s="243"/>
      <c r="BG240" s="243"/>
      <c r="BH240" s="243"/>
      <c r="BI240" s="243"/>
      <c r="BJ240" s="243"/>
      <c r="BK240" s="243"/>
      <c r="BL240" s="243"/>
    </row>
    <row r="241">
      <c r="A241" s="458" t="s">
        <v>179</v>
      </c>
      <c r="B241" s="734" t="str">
        <f>IFERROR(__xludf.DUMMYFUNCTION("if(REGEXMATCH(AR241,$B$168),""X"","""")"),"X")</f>
        <v>X</v>
      </c>
      <c r="C241" s="734" t="str">
        <f>IFERROR(__xludf.DUMMYFUNCTION("if(REGEXMATCH(AR241,$C$168),""X"","""")"),"X")</f>
        <v>X</v>
      </c>
      <c r="D241" s="800" t="str">
        <f>IFERROR(__xludf.DUMMYFUNCTION("if(REGEXMATCH(AR241,$D$168),""X"","""")"),"X")</f>
        <v>X</v>
      </c>
      <c r="E241" s="734" t="str">
        <f>IFERROR(__xludf.DUMMYFUNCTION("if(REGEXMATCH(AR241,$E$168),""X"","""")"),"X")</f>
        <v>X</v>
      </c>
      <c r="F241" s="734" t="str">
        <f>IFERROR(__xludf.DUMMYFUNCTION("if(REGEXMATCH(AR241,$F$168),""X"","""")"),"X")</f>
        <v>X</v>
      </c>
      <c r="G241" s="734" t="str">
        <f t="shared" si="18"/>
        <v>X</v>
      </c>
      <c r="H241" s="734" t="str">
        <f>IFERROR(__xludf.DUMMYFUNCTION("if(REGEXMATCH(AR241,$H$168),""X"","""")"),"X")</f>
        <v>X</v>
      </c>
      <c r="I241" s="800" t="str">
        <f>IFERROR(__xludf.DUMMYFUNCTION("if(REGEXMATCH(AR241,$I$168),""X"","""")"),"")</f>
        <v/>
      </c>
      <c r="J241" s="800" t="str">
        <f>IFERROR(__xludf.DUMMYFUNCTION("if(REGEXMATCH(AR241,$J$168),""X"","""")"),"X")</f>
        <v>X</v>
      </c>
      <c r="K241" s="800" t="str">
        <f>IFERROR(__xludf.DUMMYFUNCTION("if(REGEXMATCH(AR241,$K$168),""X"","""")"),"X")</f>
        <v>X</v>
      </c>
      <c r="L241" s="800" t="str">
        <f>IFERROR(__xludf.DUMMYFUNCTION("if(REGEXMATCH(AR241,$L$168),""X"","""")"),"")</f>
        <v/>
      </c>
      <c r="M241" s="800" t="str">
        <f>IFERROR(__xludf.DUMMYFUNCTION("if(REGEXMATCH(AR241,$M$168),""X"","""")"),"")</f>
        <v/>
      </c>
      <c r="N241" s="800" t="str">
        <f>IFERROR(__xludf.DUMMYFUNCTION("if(REGEXMATCH(AR241,$N$168),""X"","""")"),"")</f>
        <v/>
      </c>
      <c r="O241" s="800" t="str">
        <f>IFERROR(__xludf.DUMMYFUNCTION("if(REGEXMATCH(AR241,$O$168),""X"","""")"),"X")</f>
        <v>X</v>
      </c>
      <c r="P241" s="800" t="str">
        <f>IFERROR(__xludf.DUMMYFUNCTION("if(REGEXMATCH(AR241,""(all)""),""X"",if(REGEXMATCH(AR241,""arcana""),""X"",""""))"),"X")</f>
        <v>X</v>
      </c>
      <c r="Q241" s="800" t="str">
        <f>IFERROR(__xludf.DUMMYFUNCTION("if(REGEXMATCH(AR241,""(all)""),""X"",if(REGEXMATCH(AR241,""dungeoneering""),""X"",""""))"),"X")</f>
        <v>X</v>
      </c>
      <c r="R241" s="800" t="str">
        <f>IFERROR(__xludf.DUMMYFUNCTION("if(REGEXMATCH(AR241,""(all)""),""X"",if(REGEXMATCH(AR241,""engineering""),""X"",""""))"),"X")</f>
        <v>X</v>
      </c>
      <c r="S241" s="800" t="str">
        <f>IFERROR(__xludf.DUMMYFUNCTION("if(REGEXMATCH(AR241,""(all)""),""X"",if(REGEXMATCH(AR241,""geography""),""X"",""""))"),"X")</f>
        <v>X</v>
      </c>
      <c r="T241" s="800" t="str">
        <f>IFERROR(__xludf.DUMMYFUNCTION("if(REGEXMATCH(AR241,""(all)""),""X"",if(REGEXMATCH(AR241,""history""),""X"",""""))"),"X")</f>
        <v>X</v>
      </c>
      <c r="U241" s="800" t="str">
        <f>IFERROR(__xludf.DUMMYFUNCTION("if(REGEXMATCH(AR241,""(all)""),""X"",if(REGEXMATCH(AR241,""local""),""X"",""""))"),"X")</f>
        <v>X</v>
      </c>
      <c r="V241" s="800" t="str">
        <f>IFERROR(__xludf.DUMMYFUNCTION("if(REGEXMATCH(AR241,""(all)""),""X"",if(REGEXMATCH(AR241,""nature""),""X"",""""))"),"X")</f>
        <v>X</v>
      </c>
      <c r="W241" s="800" t="str">
        <f>IFERROR(__xludf.DUMMYFUNCTION("if(REGEXMATCH(AR241,""(all)""),""X"",if(REGEXMATCH(AR241,""nobility""),""X"",""""))"),"X")</f>
        <v>X</v>
      </c>
      <c r="X241" s="800" t="str">
        <f>IFERROR(__xludf.DUMMYFUNCTION("if(REGEXMATCH(AR241,""(all)""),""X"",if(REGEXMATCH(AR241,""planes""),""X"",""""))"),"X")</f>
        <v>X</v>
      </c>
      <c r="Y241" s="800" t="str">
        <f>IFERROR(__xludf.DUMMYFUNCTION("if(REGEXMATCH(AR241,""(all)""),""X"",if(REGEXMATCH(AR241,""religion""),""X"",""""))"),"X")</f>
        <v>X</v>
      </c>
      <c r="Z241" s="800" t="str">
        <f>IFERROR(__xludf.DUMMYFUNCTION("if(REGEXMATCH(AR241,$Z$168),""X"","""")"),"X")</f>
        <v>X</v>
      </c>
      <c r="AA241" s="800" t="str">
        <f>IFERROR(__xludf.DUMMYFUNCTION("if(REGEXMATCH(AR241,$AA$168),""X"","""")"),"X")</f>
        <v>X</v>
      </c>
      <c r="AB241" s="734" t="str">
        <f>IFERROR(__xludf.DUMMYFUNCTION("if(REGEXMATCH(AR241,""Perform""),""X"","""")"),"X")</f>
        <v>X</v>
      </c>
      <c r="AC241" s="734" t="str">
        <f t="shared" si="19"/>
        <v>X</v>
      </c>
      <c r="AD241" s="734" t="str">
        <f>IFERROR(__xludf.DUMMYFUNCTION("if(REGEXMATCH(AR241,""Profession""),""X"","""")"),"X")</f>
        <v>X</v>
      </c>
      <c r="AE241" s="734" t="str">
        <f t="shared" si="20"/>
        <v>X</v>
      </c>
      <c r="AF241" s="800" t="str">
        <f>IFERROR(__xludf.DUMMYFUNCTION("if(REGEXMATCH(AR241,$AF$168),""X"","""")"),"")</f>
        <v/>
      </c>
      <c r="AG241" s="800" t="str">
        <f>IFERROR(__xludf.DUMMYFUNCTION("if(REGEXMATCH(AR241,$AG$168),""X"","""")"),"X")</f>
        <v>X</v>
      </c>
      <c r="AH241" s="800" t="str">
        <f>IFERROR(__xludf.DUMMYFUNCTION("if(REGEXMATCH(AR241,$AH$168),""X"","""")"),"X")</f>
        <v>X</v>
      </c>
      <c r="AI241" s="800" t="str">
        <f>IFERROR(__xludf.DUMMYFUNCTION("if(REGEXMATCH(AR241,$AI$168),""X"","""")"),"X")</f>
        <v>X</v>
      </c>
      <c r="AJ241" s="739" t="str">
        <f>IFERROR(__xludf.DUMMYFUNCTION("if(REGEXMATCH(AR241,$AJ$168),""X"","""")"),"X")</f>
        <v>X</v>
      </c>
      <c r="AK241" s="800" t="str">
        <f>IFERROR(__xludf.DUMMYFUNCTION("if(REGEXMATCH(AR241,$AK$168),""X"","""")"),"")</f>
        <v/>
      </c>
      <c r="AL241" s="800" t="str">
        <f>IFERROR(__xludf.DUMMYFUNCTION("if(REGEXMATCH(AR241,$AL$168),""X"","""")"),"")</f>
        <v/>
      </c>
      <c r="AM241" s="800" t="str">
        <f>IFERROR(__xludf.DUMMYFUNCTION("if(REGEXMATCH(AR241,$AM$168),""X"","""")"),"X")</f>
        <v>X</v>
      </c>
      <c r="AN241" s="800"/>
      <c r="AO241" s="800"/>
      <c r="AP241" s="800" t="str">
        <f>IFERROR(__xludf.DUMMYFUNCTION("if(REGEXMATCH(AR241,""Craft""),""X"","""")"),"X")</f>
        <v>X</v>
      </c>
      <c r="AQ241" s="800" t="str">
        <f>IFERROR(__xludf.DUMMYFUNCTION("if(REGEXMATCH(AR241,""Knowledge""),""X"","""")"),"X")</f>
        <v>X</v>
      </c>
      <c r="AR241" s="939" t="s">
        <v>1149</v>
      </c>
      <c r="AS241" s="243"/>
      <c r="AT241" s="243"/>
      <c r="AU241" s="243"/>
      <c r="AV241" s="243"/>
      <c r="AW241" s="243"/>
      <c r="AX241" s="243"/>
      <c r="AY241" s="243"/>
      <c r="AZ241" s="243"/>
      <c r="BA241" s="243"/>
      <c r="BB241" s="243"/>
      <c r="BC241" s="243"/>
      <c r="BD241" s="243"/>
      <c r="BE241" s="243"/>
      <c r="BF241" s="243"/>
      <c r="BG241" s="243"/>
      <c r="BH241" s="243"/>
      <c r="BI241" s="243"/>
      <c r="BJ241" s="243"/>
      <c r="BK241" s="243"/>
      <c r="BL241" s="243"/>
    </row>
    <row r="242">
      <c r="A242" s="458" t="s">
        <v>585</v>
      </c>
      <c r="B242" s="734" t="str">
        <f>IFERROR(__xludf.DUMMYFUNCTION("if(REGEXMATCH(AR242,$B$168),""X"","""")"),"X")</f>
        <v>X</v>
      </c>
      <c r="C242" s="734" t="str">
        <f>IFERROR(__xludf.DUMMYFUNCTION("if(REGEXMATCH(AR242,$C$168),""X"","""")"),"")</f>
        <v/>
      </c>
      <c r="D242" s="800" t="str">
        <f>IFERROR(__xludf.DUMMYFUNCTION("if(REGEXMATCH(AR242,$D$168),""X"","""")"),"")</f>
        <v/>
      </c>
      <c r="E242" s="734" t="str">
        <f>IFERROR(__xludf.DUMMYFUNCTION("if(REGEXMATCH(AR242,$E$168),""X"","""")"),"X")</f>
        <v>X</v>
      </c>
      <c r="F242" s="734" t="str">
        <f>IFERROR(__xludf.DUMMYFUNCTION("if(REGEXMATCH(AR242,$F$168),""X"","""")"),"X")</f>
        <v>X</v>
      </c>
      <c r="G242" s="734" t="str">
        <f t="shared" si="18"/>
        <v>X</v>
      </c>
      <c r="H242" s="734" t="str">
        <f>IFERROR(__xludf.DUMMYFUNCTION("if(REGEXMATCH(AR242,$H$168),""X"","""")"),"")</f>
        <v/>
      </c>
      <c r="I242" s="800" t="str">
        <f>IFERROR(__xludf.DUMMYFUNCTION("if(REGEXMATCH(AR242,$I$168),""X"","""")"),"")</f>
        <v/>
      </c>
      <c r="J242" s="800" t="str">
        <f>IFERROR(__xludf.DUMMYFUNCTION("if(REGEXMATCH(AR242,$J$168),""X"","""")"),"")</f>
        <v/>
      </c>
      <c r="K242" s="800" t="str">
        <f>IFERROR(__xludf.DUMMYFUNCTION("if(REGEXMATCH(AR242,$K$168),""X"","""")"),"")</f>
        <v/>
      </c>
      <c r="L242" s="800" t="str">
        <f>IFERROR(__xludf.DUMMYFUNCTION("if(REGEXMATCH(AR242,$L$168),""X"","""")"),"")</f>
        <v/>
      </c>
      <c r="M242" s="800" t="str">
        <f>IFERROR(__xludf.DUMMYFUNCTION("if(REGEXMATCH(AR242,$M$168),""X"","""")"),"X")</f>
        <v>X</v>
      </c>
      <c r="N242" s="800" t="str">
        <f>IFERROR(__xludf.DUMMYFUNCTION("if(REGEXMATCH(AR242,$N$168),""X"","""")"),"X")</f>
        <v>X</v>
      </c>
      <c r="O242" s="800" t="str">
        <f>IFERROR(__xludf.DUMMYFUNCTION("if(REGEXMATCH(AR242,$O$168),""X"","""")"),"X")</f>
        <v>X</v>
      </c>
      <c r="P242" s="800" t="str">
        <f>IFERROR(__xludf.DUMMYFUNCTION("if(REGEXMATCH(AR242,""(all)""),""X"",if(REGEXMATCH(AR242,""arcana""),""X"",""""))"),"")</f>
        <v/>
      </c>
      <c r="Q242" s="800" t="str">
        <f>IFERROR(__xludf.DUMMYFUNCTION("if(REGEXMATCH(AR242,""(all)""),""X"",if(REGEXMATCH(AR242,""dungeoneering""),""X"",""""))"),"")</f>
        <v/>
      </c>
      <c r="R242" s="800" t="str">
        <f>IFERROR(__xludf.DUMMYFUNCTION("if(REGEXMATCH(AR242,""(all)""),""X"",if(REGEXMATCH(AR242,""engineering""),""X"",""""))"),"")</f>
        <v/>
      </c>
      <c r="S242" s="800" t="str">
        <f>IFERROR(__xludf.DUMMYFUNCTION("if(REGEXMATCH(AR242,""(all)""),""X"",if(REGEXMATCH(AR242,""geography""),""X"",""""))"),"")</f>
        <v/>
      </c>
      <c r="T242" s="800" t="str">
        <f>IFERROR(__xludf.DUMMYFUNCTION("if(REGEXMATCH(AR242,""(all)""),""X"",if(REGEXMATCH(AR242,""history""),""X"",""""))"),"")</f>
        <v/>
      </c>
      <c r="U242" s="800" t="str">
        <f>IFERROR(__xludf.DUMMYFUNCTION("if(REGEXMATCH(AR242,""(all)""),""X"",if(REGEXMATCH(AR242,""local""),""X"",""""))"),"")</f>
        <v/>
      </c>
      <c r="V242" s="800" t="str">
        <f>IFERROR(__xludf.DUMMYFUNCTION("if(REGEXMATCH(AR242,""(all)""),""X"",if(REGEXMATCH(AR242,""nature""),""X"",""""))"),"X")</f>
        <v>X</v>
      </c>
      <c r="W242" s="800" t="str">
        <f>IFERROR(__xludf.DUMMYFUNCTION("if(REGEXMATCH(AR242,""(all)""),""X"",if(REGEXMATCH(AR242,""nobility""),""X"",""""))"),"")</f>
        <v/>
      </c>
      <c r="X242" s="800" t="str">
        <f>IFERROR(__xludf.DUMMYFUNCTION("if(REGEXMATCH(AR242,""(all)""),""X"",if(REGEXMATCH(AR242,""planes""),""X"",""""))"),"")</f>
        <v/>
      </c>
      <c r="Y242" s="800" t="str">
        <f>IFERROR(__xludf.DUMMYFUNCTION("if(REGEXMATCH(AR242,""(all)""),""X"",if(REGEXMATCH(AR242,""religion""),""X"",""""))"),"")</f>
        <v/>
      </c>
      <c r="Z242" s="800" t="str">
        <f>IFERROR(__xludf.DUMMYFUNCTION("if(REGEXMATCH(AR242,$Z$168),""X"","""")"),"")</f>
        <v/>
      </c>
      <c r="AA242" s="800" t="str">
        <f>IFERROR(__xludf.DUMMYFUNCTION("if(REGEXMATCH(AR242,$AA$168),""X"","""")"),"X")</f>
        <v>X</v>
      </c>
      <c r="AB242" s="734" t="str">
        <f>IFERROR(__xludf.DUMMYFUNCTION("if(REGEXMATCH(AR242,""Perform""),""X"","""")"),"")</f>
        <v/>
      </c>
      <c r="AC242" s="734" t="str">
        <f t="shared" si="19"/>
        <v/>
      </c>
      <c r="AD242" s="734" t="str">
        <f>IFERROR(__xludf.DUMMYFUNCTION("if(REGEXMATCH(AR242,""Profession""),""X"","""")"),"X")</f>
        <v>X</v>
      </c>
      <c r="AE242" s="734" t="str">
        <f t="shared" si="20"/>
        <v>X</v>
      </c>
      <c r="AF242" s="800" t="str">
        <f>IFERROR(__xludf.DUMMYFUNCTION("if(REGEXMATCH(AR242,$AF$168),""X"","""")"),"X")</f>
        <v>X</v>
      </c>
      <c r="AG242" s="800" t="str">
        <f>IFERROR(__xludf.DUMMYFUNCTION("if(REGEXMATCH(AR242,$AG$168),""X"","""")"),"")</f>
        <v/>
      </c>
      <c r="AH242" s="800" t="str">
        <f>IFERROR(__xludf.DUMMYFUNCTION("if(REGEXMATCH(AR242,$AH$168),""X"","""")"),"")</f>
        <v/>
      </c>
      <c r="AI242" s="800" t="str">
        <f>IFERROR(__xludf.DUMMYFUNCTION("if(REGEXMATCH(AR242,$AI$168),""X"","""")"),"")</f>
        <v/>
      </c>
      <c r="AJ242" s="739" t="str">
        <f>IFERROR(__xludf.DUMMYFUNCTION("if(REGEXMATCH(AR242,$AJ$168),""X"","""")"),"X")</f>
        <v>X</v>
      </c>
      <c r="AK242" s="800" t="str">
        <f>IFERROR(__xludf.DUMMYFUNCTION("if(REGEXMATCH(AR242,$AK$168),""X"","""")"),"X")</f>
        <v>X</v>
      </c>
      <c r="AL242" s="800" t="str">
        <f>IFERROR(__xludf.DUMMYFUNCTION("if(REGEXMATCH(AR242,$AL$168),""X"","""")"),"X")</f>
        <v>X</v>
      </c>
      <c r="AM242" s="800" t="str">
        <f>IFERROR(__xludf.DUMMYFUNCTION("if(REGEXMATCH(AR242,$AM$168),""X"","""")"),"")</f>
        <v/>
      </c>
      <c r="AN242" s="800"/>
      <c r="AO242" s="800"/>
      <c r="AP242" s="800" t="str">
        <f>IFERROR(__xludf.DUMMYFUNCTION("if(REGEXMATCH(AR242,""Craft""),""X"","""")"),"X")</f>
        <v>X</v>
      </c>
      <c r="AQ242" s="800" t="str">
        <f>IFERROR(__xludf.DUMMYFUNCTION("if(REGEXMATCH(AR242,""Knowledge""),""X"","""")"),"X")</f>
        <v>X</v>
      </c>
      <c r="AR242" s="939" t="s">
        <v>1153</v>
      </c>
      <c r="AS242" s="243"/>
      <c r="AT242" s="243"/>
      <c r="AU242" s="243"/>
      <c r="AV242" s="243"/>
      <c r="AW242" s="243"/>
      <c r="AX242" s="243"/>
      <c r="AY242" s="243"/>
      <c r="AZ242" s="243"/>
      <c r="BA242" s="243"/>
      <c r="BB242" s="243"/>
      <c r="BC242" s="243"/>
      <c r="BD242" s="243"/>
      <c r="BE242" s="243"/>
      <c r="BF242" s="243"/>
      <c r="BG242" s="243"/>
      <c r="BH242" s="243"/>
      <c r="BI242" s="243"/>
      <c r="BJ242" s="243"/>
      <c r="BK242" s="243"/>
      <c r="BL242" s="243"/>
    </row>
    <row r="243">
      <c r="A243" s="458" t="s">
        <v>587</v>
      </c>
      <c r="B243" s="734" t="str">
        <f>IFERROR(__xludf.DUMMYFUNCTION("if(REGEXMATCH(AR243,$B$168),""X"","""")"),"")</f>
        <v/>
      </c>
      <c r="C243" s="734" t="str">
        <f>IFERROR(__xludf.DUMMYFUNCTION("if(REGEXMATCH(AR243,$C$168),""X"","""")"),"X")</f>
        <v>X</v>
      </c>
      <c r="D243" s="800" t="str">
        <f>IFERROR(__xludf.DUMMYFUNCTION("if(REGEXMATCH(AR243,$D$168),""X"","""")"),"")</f>
        <v/>
      </c>
      <c r="E243" s="734" t="str">
        <f>IFERROR(__xludf.DUMMYFUNCTION("if(REGEXMATCH(AR243,$E$168),""X"","""")"),"")</f>
        <v/>
      </c>
      <c r="F243" s="734" t="str">
        <f>IFERROR(__xludf.DUMMYFUNCTION("if(REGEXMATCH(AR243,$F$168),""X"","""")"),"X")</f>
        <v>X</v>
      </c>
      <c r="G243" s="734" t="str">
        <f t="shared" si="18"/>
        <v>X</v>
      </c>
      <c r="H243" s="734" t="str">
        <f>IFERROR(__xludf.DUMMYFUNCTION("if(REGEXMATCH(AR243,$H$168),""X"","""")"),"")</f>
        <v/>
      </c>
      <c r="I243" s="800" t="str">
        <f>IFERROR(__xludf.DUMMYFUNCTION("if(REGEXMATCH(AR243,$I$168),""X"","""")"),"")</f>
        <v/>
      </c>
      <c r="J243" s="800" t="str">
        <f>IFERROR(__xludf.DUMMYFUNCTION("if(REGEXMATCH(AR243,$J$168),""X"","""")"),"")</f>
        <v/>
      </c>
      <c r="K243" s="800" t="str">
        <f>IFERROR(__xludf.DUMMYFUNCTION("if(REGEXMATCH(AR243,$K$168),""X"","""")"),"")</f>
        <v/>
      </c>
      <c r="L243" s="800" t="str">
        <f>IFERROR(__xludf.DUMMYFUNCTION("if(REGEXMATCH(AR243,$L$168),""X"","""")"),"X")</f>
        <v>X</v>
      </c>
      <c r="M243" s="800" t="str">
        <f>IFERROR(__xludf.DUMMYFUNCTION("if(REGEXMATCH(AR243,$M$168),""X"","""")"),"")</f>
        <v/>
      </c>
      <c r="N243" s="800" t="str">
        <f>IFERROR(__xludf.DUMMYFUNCTION("if(REGEXMATCH(AR243,$N$168),""X"","""")"),"")</f>
        <v/>
      </c>
      <c r="O243" s="800" t="str">
        <f>IFERROR(__xludf.DUMMYFUNCTION("if(REGEXMATCH(AR243,$O$168),""X"","""")"),"")</f>
        <v/>
      </c>
      <c r="P243" s="800" t="str">
        <f>IFERROR(__xludf.DUMMYFUNCTION("if(REGEXMATCH(AR243,""(all)""),""X"",if(REGEXMATCH(AR243,""arcana""),""X"",""""))"),"X")</f>
        <v>X</v>
      </c>
      <c r="Q243" s="800" t="str">
        <f>IFERROR(__xludf.DUMMYFUNCTION("if(REGEXMATCH(AR243,""(all)""),""X"",if(REGEXMATCH(AR243,""dungeoneering""),""X"",""""))"),"X")</f>
        <v>X</v>
      </c>
      <c r="R243" s="800" t="str">
        <f>IFERROR(__xludf.DUMMYFUNCTION("if(REGEXMATCH(AR243,""(all)""),""X"",if(REGEXMATCH(AR243,""engineering""),""X"",""""))"),"X")</f>
        <v>X</v>
      </c>
      <c r="S243" s="800" t="str">
        <f>IFERROR(__xludf.DUMMYFUNCTION("if(REGEXMATCH(AR243,""(all)""),""X"",if(REGEXMATCH(AR243,""geography""),""X"",""""))"),"X")</f>
        <v>X</v>
      </c>
      <c r="T243" s="800" t="str">
        <f>IFERROR(__xludf.DUMMYFUNCTION("if(REGEXMATCH(AR243,""(all)""),""X"",if(REGEXMATCH(AR243,""history""),""X"",""""))"),"X")</f>
        <v>X</v>
      </c>
      <c r="U243" s="800" t="str">
        <f>IFERROR(__xludf.DUMMYFUNCTION("if(REGEXMATCH(AR243,""(all)""),""X"",if(REGEXMATCH(AR243,""local""),""X"",""""))"),"X")</f>
        <v>X</v>
      </c>
      <c r="V243" s="800" t="str">
        <f>IFERROR(__xludf.DUMMYFUNCTION("if(REGEXMATCH(AR243,""(all)""),""X"",if(REGEXMATCH(AR243,""nature""),""X"",""""))"),"X")</f>
        <v>X</v>
      </c>
      <c r="W243" s="800" t="str">
        <f>IFERROR(__xludf.DUMMYFUNCTION("if(REGEXMATCH(AR243,""(all)""),""X"",if(REGEXMATCH(AR243,""nobility""),""X"",""""))"),"X")</f>
        <v>X</v>
      </c>
      <c r="X243" s="800" t="str">
        <f>IFERROR(__xludf.DUMMYFUNCTION("if(REGEXMATCH(AR243,""(all)""),""X"",if(REGEXMATCH(AR243,""planes""),""X"",""""))"),"X")</f>
        <v>X</v>
      </c>
      <c r="Y243" s="800" t="str">
        <f>IFERROR(__xludf.DUMMYFUNCTION("if(REGEXMATCH(AR243,""(all)""),""X"",if(REGEXMATCH(AR243,""religion""),""X"",""""))"),"X")</f>
        <v>X</v>
      </c>
      <c r="Z243" s="800" t="str">
        <f>IFERROR(__xludf.DUMMYFUNCTION("if(REGEXMATCH(AR243,$Z$168),""X"","""")"),"X")</f>
        <v>X</v>
      </c>
      <c r="AA243" s="800" t="str">
        <f>IFERROR(__xludf.DUMMYFUNCTION("if(REGEXMATCH(AR243,$AA$168),""X"","""")"),"")</f>
        <v/>
      </c>
      <c r="AB243" s="734" t="str">
        <f>IFERROR(__xludf.DUMMYFUNCTION("if(REGEXMATCH(AR243,""Perform""),""X"","""")"),"")</f>
        <v/>
      </c>
      <c r="AC243" s="734" t="str">
        <f t="shared" si="19"/>
        <v/>
      </c>
      <c r="AD243" s="734" t="str">
        <f>IFERROR(__xludf.DUMMYFUNCTION("if(REGEXMATCH(AR243,""Profession""),""X"","""")"),"X")</f>
        <v>X</v>
      </c>
      <c r="AE243" s="734" t="str">
        <f t="shared" si="20"/>
        <v>X</v>
      </c>
      <c r="AF243" s="800" t="str">
        <f>IFERROR(__xludf.DUMMYFUNCTION("if(REGEXMATCH(AR243,$AF$168),""X"","""")"),"")</f>
        <v/>
      </c>
      <c r="AG243" s="800" t="str">
        <f>IFERROR(__xludf.DUMMYFUNCTION("if(REGEXMATCH(AR243,$AG$168),""X"","""")"),"")</f>
        <v/>
      </c>
      <c r="AH243" s="800" t="str">
        <f>IFERROR(__xludf.DUMMYFUNCTION("if(REGEXMATCH(AR243,$AH$168),""X"","""")"),"")</f>
        <v/>
      </c>
      <c r="AI243" s="800" t="str">
        <f>IFERROR(__xludf.DUMMYFUNCTION("if(REGEXMATCH(AR243,$AI$168),""X"","""")"),"X")</f>
        <v>X</v>
      </c>
      <c r="AJ243" s="739" t="str">
        <f>IFERROR(__xludf.DUMMYFUNCTION("if(REGEXMATCH(AR243,$AJ$168),""X"","""")"),"")</f>
        <v/>
      </c>
      <c r="AK243" s="800" t="str">
        <f>IFERROR(__xludf.DUMMYFUNCTION("if(REGEXMATCH(AR243,$AK$168),""X"","""")"),"")</f>
        <v/>
      </c>
      <c r="AL243" s="800" t="str">
        <f>IFERROR(__xludf.DUMMYFUNCTION("if(REGEXMATCH(AR243,$AL$168),""X"","""")"),"")</f>
        <v/>
      </c>
      <c r="AM243" s="800" t="str">
        <f>IFERROR(__xludf.DUMMYFUNCTION("if(REGEXMATCH(AR243,$AM$168),""X"","""")"),"")</f>
        <v/>
      </c>
      <c r="AN243" s="800"/>
      <c r="AO243" s="800"/>
      <c r="AP243" s="800" t="str">
        <f>IFERROR(__xludf.DUMMYFUNCTION("if(REGEXMATCH(AR243,""Craft""),""X"","""")"),"X")</f>
        <v>X</v>
      </c>
      <c r="AQ243" s="800" t="str">
        <f>IFERROR(__xludf.DUMMYFUNCTION("if(REGEXMATCH(AR243,""Knowledge""),""X"","""")"),"X")</f>
        <v>X</v>
      </c>
      <c r="AR243" s="939" t="s">
        <v>840</v>
      </c>
      <c r="AS243" s="243"/>
      <c r="AT243" s="243"/>
      <c r="AU243" s="243"/>
      <c r="AV243" s="243"/>
      <c r="AW243" s="243"/>
      <c r="AX243" s="243"/>
      <c r="AY243" s="243"/>
      <c r="AZ243" s="243"/>
      <c r="BA243" s="243"/>
      <c r="BB243" s="243"/>
      <c r="BC243" s="243"/>
      <c r="BD243" s="243"/>
      <c r="BE243" s="243"/>
      <c r="BF243" s="243"/>
      <c r="BG243" s="243"/>
      <c r="BH243" s="243"/>
      <c r="BI243" s="243"/>
      <c r="BJ243" s="243"/>
      <c r="BK243" s="243"/>
      <c r="BL243" s="243"/>
    </row>
    <row r="244">
      <c r="A244" s="458" t="s">
        <v>495</v>
      </c>
      <c r="B244" s="734" t="str">
        <f>IFERROR(__xludf.DUMMYFUNCTION("if(REGEXMATCH(AR244,$B$168),""X"","""")"),"X")</f>
        <v>X</v>
      </c>
      <c r="C244" s="734" t="str">
        <f>IFERROR(__xludf.DUMMYFUNCTION("if(REGEXMATCH(AR244,$C$168),""X"","""")"),"")</f>
        <v/>
      </c>
      <c r="D244" s="800" t="str">
        <f>IFERROR(__xludf.DUMMYFUNCTION("if(REGEXMATCH(AR244,$D$168),""X"","""")"),"")</f>
        <v/>
      </c>
      <c r="E244" s="734" t="str">
        <f>IFERROR(__xludf.DUMMYFUNCTION("if(REGEXMATCH(AR244,$E$168),""X"","""")"),"X")</f>
        <v>X</v>
      </c>
      <c r="F244" s="734" t="str">
        <f>IFERROR(__xludf.DUMMYFUNCTION("if(REGEXMATCH(AR244,$F$168),""X"","""")"),"X")</f>
        <v>X</v>
      </c>
      <c r="G244" s="734" t="str">
        <f t="shared" si="18"/>
        <v>X</v>
      </c>
      <c r="H244" s="734" t="str">
        <f>IFERROR(__xludf.DUMMYFUNCTION("if(REGEXMATCH(AR244,$H$168),""X"","""")"),"")</f>
        <v/>
      </c>
      <c r="I244" s="800" t="str">
        <f>IFERROR(__xludf.DUMMYFUNCTION("if(REGEXMATCH(AR244,$I$168),""X"","""")"),"")</f>
        <v/>
      </c>
      <c r="J244" s="800" t="str">
        <f>IFERROR(__xludf.DUMMYFUNCTION("if(REGEXMATCH(AR244,$J$168),""X"","""")"),"")</f>
        <v/>
      </c>
      <c r="K244" s="800" t="str">
        <f>IFERROR(__xludf.DUMMYFUNCTION("if(REGEXMATCH(AR244,$K$168),""X"","""")"),"")</f>
        <v/>
      </c>
      <c r="L244" s="800" t="str">
        <f>IFERROR(__xludf.DUMMYFUNCTION("if(REGEXMATCH(AR244,$L$168),""X"","""")"),"")</f>
        <v/>
      </c>
      <c r="M244" s="800" t="str">
        <f>IFERROR(__xludf.DUMMYFUNCTION("if(REGEXMATCH(AR244,$M$168),""X"","""")"),"X")</f>
        <v>X</v>
      </c>
      <c r="N244" s="800" t="str">
        <f>IFERROR(__xludf.DUMMYFUNCTION("if(REGEXMATCH(AR244,$N$168),""X"","""")"),"")</f>
        <v/>
      </c>
      <c r="O244" s="800" t="str">
        <f>IFERROR(__xludf.DUMMYFUNCTION("if(REGEXMATCH(AR244,$O$168),""X"","""")"),"X")</f>
        <v>X</v>
      </c>
      <c r="P244" s="800" t="str">
        <f>IFERROR(__xludf.DUMMYFUNCTION("if(REGEXMATCH(AR244,""(all)""),""X"",if(REGEXMATCH(AR244,""arcana""),""X"",""""))"),"X")</f>
        <v>X</v>
      </c>
      <c r="Q244" s="800" t="str">
        <f>IFERROR(__xludf.DUMMYFUNCTION("if(REGEXMATCH(AR244,""(all)""),""X"",if(REGEXMATCH(AR244,""dungeoneering""),""X"",""""))"),"")</f>
        <v/>
      </c>
      <c r="R244" s="800" t="str">
        <f>IFERROR(__xludf.DUMMYFUNCTION("if(REGEXMATCH(AR244,""(all)""),""X"",if(REGEXMATCH(AR244,""engineering""),""X"",""""))"),"")</f>
        <v/>
      </c>
      <c r="S244" s="800" t="str">
        <f>IFERROR(__xludf.DUMMYFUNCTION("if(REGEXMATCH(AR244,""(all)""),""X"",if(REGEXMATCH(AR244,""geography""),""X"",""""))"),"")</f>
        <v/>
      </c>
      <c r="T244" s="800" t="str">
        <f>IFERROR(__xludf.DUMMYFUNCTION("if(REGEXMATCH(AR244,""(all)""),""X"",if(REGEXMATCH(AR244,""history""),""X"",""""))"),"")</f>
        <v/>
      </c>
      <c r="U244" s="800" t="str">
        <f>IFERROR(__xludf.DUMMYFUNCTION("if(REGEXMATCH(AR244,""(all)""),""X"",if(REGEXMATCH(AR244,""local""),""X"",""""))"),"X")</f>
        <v>X</v>
      </c>
      <c r="V244" s="800" t="str">
        <f>IFERROR(__xludf.DUMMYFUNCTION("if(REGEXMATCH(AR244,""(all)""),""X"",if(REGEXMATCH(AR244,""nature""),""X"",""""))"),"")</f>
        <v/>
      </c>
      <c r="W244" s="800" t="str">
        <f>IFERROR(__xludf.DUMMYFUNCTION("if(REGEXMATCH(AR244,""(all)""),""X"",if(REGEXMATCH(AR244,""nobility""),""X"",""""))"),"")</f>
        <v/>
      </c>
      <c r="X244" s="800" t="str">
        <f>IFERROR(__xludf.DUMMYFUNCTION("if(REGEXMATCH(AR244,""(all)""),""X"",if(REGEXMATCH(AR244,""planes""),""X"",""""))"),"")</f>
        <v/>
      </c>
      <c r="Y244" s="800" t="str">
        <f>IFERROR(__xludf.DUMMYFUNCTION("if(REGEXMATCH(AR244,""(all)""),""X"",if(REGEXMATCH(AR244,""religion""),""X"",""""))"),"")</f>
        <v/>
      </c>
      <c r="Z244" s="800" t="str">
        <f>IFERROR(__xludf.DUMMYFUNCTION("if(REGEXMATCH(AR244,$Z$168),""X"","""")"),"")</f>
        <v/>
      </c>
      <c r="AA244" s="800" t="str">
        <f>IFERROR(__xludf.DUMMYFUNCTION("if(REGEXMATCH(AR244,$AA$168),""X"","""")"),"X")</f>
        <v>X</v>
      </c>
      <c r="AB244" s="734" t="str">
        <f>IFERROR(__xludf.DUMMYFUNCTION("if(REGEXMATCH(AR244,""Perform""),""X"","""")"),"X")</f>
        <v>X</v>
      </c>
      <c r="AC244" s="734" t="str">
        <f t="shared" si="19"/>
        <v>X</v>
      </c>
      <c r="AD244" s="734" t="str">
        <f>IFERROR(__xludf.DUMMYFUNCTION("if(REGEXMATCH(AR244,""Profession""),""X"","""")"),"X")</f>
        <v>X</v>
      </c>
      <c r="AE244" s="734" t="str">
        <f t="shared" si="20"/>
        <v>X</v>
      </c>
      <c r="AF244" s="800" t="str">
        <f>IFERROR(__xludf.DUMMYFUNCTION("if(REGEXMATCH(AR244,$AF$168),""X"","""")"),"X")</f>
        <v>X</v>
      </c>
      <c r="AG244" s="800" t="str">
        <f>IFERROR(__xludf.DUMMYFUNCTION("if(REGEXMATCH(AR244,$AG$168),""X"","""")"),"")</f>
        <v/>
      </c>
      <c r="AH244" s="800" t="str">
        <f>IFERROR(__xludf.DUMMYFUNCTION("if(REGEXMATCH(AR244,$AH$168),""X"","""")"),"")</f>
        <v/>
      </c>
      <c r="AI244" s="800" t="str">
        <f>IFERROR(__xludf.DUMMYFUNCTION("if(REGEXMATCH(AR244,$AI$168),""X"","""")"),"")</f>
        <v/>
      </c>
      <c r="AJ244" s="739" t="str">
        <f>IFERROR(__xludf.DUMMYFUNCTION("if(REGEXMATCH(AR244,$AJ$168),""X"","""")"),"")</f>
        <v/>
      </c>
      <c r="AK244" s="800" t="str">
        <f>IFERROR(__xludf.DUMMYFUNCTION("if(REGEXMATCH(AR244,$AK$168),""X"","""")"),"X")</f>
        <v>X</v>
      </c>
      <c r="AL244" s="800" t="str">
        <f>IFERROR(__xludf.DUMMYFUNCTION("if(REGEXMATCH(AR244,$AL$168),""X"","""")"),"X")</f>
        <v>X</v>
      </c>
      <c r="AM244" s="800" t="str">
        <f>IFERROR(__xludf.DUMMYFUNCTION("if(REGEXMATCH(AR244,$AM$168),""X"","""")"),"")</f>
        <v/>
      </c>
      <c r="AN244" s="800"/>
      <c r="AO244" s="800"/>
      <c r="AP244" s="800" t="str">
        <f>IFERROR(__xludf.DUMMYFUNCTION("if(REGEXMATCH(AR244,""Craft""),""X"","""")"),"X")</f>
        <v>X</v>
      </c>
      <c r="AQ244" s="800" t="str">
        <f>IFERROR(__xludf.DUMMYFUNCTION("if(REGEXMATCH(AR244,""Knowledge""),""X"","""")"),"X")</f>
        <v>X</v>
      </c>
      <c r="AR244" s="939" t="s">
        <v>1158</v>
      </c>
      <c r="AS244" s="243"/>
      <c r="AT244" s="243"/>
      <c r="AU244" s="243"/>
      <c r="AV244" s="243"/>
      <c r="AW244" s="243"/>
      <c r="AX244" s="243"/>
      <c r="AY244" s="243"/>
      <c r="AZ244" s="243"/>
      <c r="BA244" s="243"/>
      <c r="BB244" s="243"/>
      <c r="BC244" s="243"/>
      <c r="BD244" s="243"/>
      <c r="BE244" s="243"/>
      <c r="BF244" s="243"/>
      <c r="BG244" s="243"/>
      <c r="BH244" s="243"/>
      <c r="BI244" s="243"/>
      <c r="BJ244" s="243"/>
      <c r="BK244" s="243"/>
      <c r="BL244" s="243"/>
    </row>
    <row r="245">
      <c r="A245" s="458" t="s">
        <v>590</v>
      </c>
      <c r="B245" s="734" t="str">
        <f>IFERROR(__xludf.DUMMYFUNCTION("if(REGEXMATCH(AR245,$B$168),""X"","""")"),"")</f>
        <v/>
      </c>
      <c r="C245" s="734" t="str">
        <f>IFERROR(__xludf.DUMMYFUNCTION("if(REGEXMATCH(AR245,$C$168),""X"","""")"),"")</f>
        <v/>
      </c>
      <c r="D245" s="800" t="str">
        <f>IFERROR(__xludf.DUMMYFUNCTION("if(REGEXMATCH(AR245,$D$168),""X"","""")"),"")</f>
        <v/>
      </c>
      <c r="E245" s="734" t="str">
        <f>IFERROR(__xludf.DUMMYFUNCTION("if(REGEXMATCH(AR245,$E$168),""X"","""")"),"X")</f>
        <v>X</v>
      </c>
      <c r="F245" s="734" t="str">
        <f>IFERROR(__xludf.DUMMYFUNCTION("if(REGEXMATCH(AR245,$F$168),""X"","""")"),"X")</f>
        <v>X</v>
      </c>
      <c r="G245" s="734" t="str">
        <f t="shared" si="18"/>
        <v>X</v>
      </c>
      <c r="H245" s="734" t="str">
        <f>IFERROR(__xludf.DUMMYFUNCTION("if(REGEXMATCH(AR245,$H$168),""X"","""")"),"X")</f>
        <v>X</v>
      </c>
      <c r="I245" s="800" t="str">
        <f>IFERROR(__xludf.DUMMYFUNCTION("if(REGEXMATCH(AR245,$I$168),""X"","""")"),"")</f>
        <v/>
      </c>
      <c r="J245" s="800" t="str">
        <f>IFERROR(__xludf.DUMMYFUNCTION("if(REGEXMATCH(AR245,$J$168),""X"","""")"),"")</f>
        <v/>
      </c>
      <c r="K245" s="800" t="str">
        <f>IFERROR(__xludf.DUMMYFUNCTION("if(REGEXMATCH(AR245,$K$168),""X"","""")"),"")</f>
        <v/>
      </c>
      <c r="L245" s="800" t="str">
        <f>IFERROR(__xludf.DUMMYFUNCTION("if(REGEXMATCH(AR245,$L$168),""X"","""")"),"")</f>
        <v/>
      </c>
      <c r="M245" s="800" t="str">
        <f>IFERROR(__xludf.DUMMYFUNCTION("if(REGEXMATCH(AR245,$M$168),""X"","""")"),"X")</f>
        <v>X</v>
      </c>
      <c r="N245" s="800" t="str">
        <f>IFERROR(__xludf.DUMMYFUNCTION("if(REGEXMATCH(AR245,$N$168),""X"","""")"),"")</f>
        <v/>
      </c>
      <c r="O245" s="800" t="str">
        <f>IFERROR(__xludf.DUMMYFUNCTION("if(REGEXMATCH(AR245,$O$168),""X"","""")"),"X")</f>
        <v>X</v>
      </c>
      <c r="P245" s="800" t="str">
        <f>IFERROR(__xludf.DUMMYFUNCTION("if(REGEXMATCH(AR245,""(all)""),""X"",if(REGEXMATCH(AR245,""arcana""),""X"",""""))"),"")</f>
        <v/>
      </c>
      <c r="Q245" s="800" t="str">
        <f>IFERROR(__xludf.DUMMYFUNCTION("if(REGEXMATCH(AR245,""(all)""),""X"",if(REGEXMATCH(AR245,""dungeoneering""),""X"",""""))"),"")</f>
        <v/>
      </c>
      <c r="R245" s="800" t="str">
        <f>IFERROR(__xludf.DUMMYFUNCTION("if(REGEXMATCH(AR245,""(all)""),""X"",if(REGEXMATCH(AR245,""engineering""),""X"",""""))"),"")</f>
        <v/>
      </c>
      <c r="S245" s="800" t="str">
        <f>IFERROR(__xludf.DUMMYFUNCTION("if(REGEXMATCH(AR245,""(all)""),""X"",if(REGEXMATCH(AR245,""geography""),""X"",""""))"),"")</f>
        <v/>
      </c>
      <c r="T245" s="800" t="str">
        <f>IFERROR(__xludf.DUMMYFUNCTION("if(REGEXMATCH(AR245,""(all)""),""X"",if(REGEXMATCH(AR245,""history""),""X"",""""))"),"")</f>
        <v/>
      </c>
      <c r="U245" s="800" t="str">
        <f>IFERROR(__xludf.DUMMYFUNCTION("if(REGEXMATCH(AR245,""(all)""),""X"",if(REGEXMATCH(AR245,""local""),""X"",""""))"),"")</f>
        <v/>
      </c>
      <c r="V245" s="800" t="str">
        <f>IFERROR(__xludf.DUMMYFUNCTION("if(REGEXMATCH(AR245,""(all)""),""X"",if(REGEXMATCH(AR245,""nature""),""X"",""""))"),"")</f>
        <v/>
      </c>
      <c r="W245" s="800" t="str">
        <f>IFERROR(__xludf.DUMMYFUNCTION("if(REGEXMATCH(AR245,""(all)""),""X"",if(REGEXMATCH(AR245,""nobility""),""X"",""""))"),"X")</f>
        <v>X</v>
      </c>
      <c r="X245" s="800" t="str">
        <f>IFERROR(__xludf.DUMMYFUNCTION("if(REGEXMATCH(AR245,""(all)""),""X"",if(REGEXMATCH(AR245,""planes""),""X"",""""))"),"")</f>
        <v/>
      </c>
      <c r="Y245" s="800" t="str">
        <f>IFERROR(__xludf.DUMMYFUNCTION("if(REGEXMATCH(AR245,""(all)""),""X"",if(REGEXMATCH(AR245,""religion""),""X"",""""))"),"")</f>
        <v/>
      </c>
      <c r="Z245" s="800" t="str">
        <f>IFERROR(__xludf.DUMMYFUNCTION("if(REGEXMATCH(AR245,$Z$168),""X"","""")"),"")</f>
        <v/>
      </c>
      <c r="AA245" s="800" t="str">
        <f>IFERROR(__xludf.DUMMYFUNCTION("if(REGEXMATCH(AR245,$AA$168),""X"","""")"),"X")</f>
        <v>X</v>
      </c>
      <c r="AB245" s="734" t="str">
        <f>IFERROR(__xludf.DUMMYFUNCTION("if(REGEXMATCH(AR245,""Perform""),""X"","""")"),"")</f>
        <v/>
      </c>
      <c r="AC245" s="734" t="str">
        <f t="shared" si="19"/>
        <v/>
      </c>
      <c r="AD245" s="734" t="str">
        <f>IFERROR(__xludf.DUMMYFUNCTION("if(REGEXMATCH(AR245,""Profession""),""X"","""")"),"X")</f>
        <v>X</v>
      </c>
      <c r="AE245" s="734" t="str">
        <f t="shared" si="20"/>
        <v>X</v>
      </c>
      <c r="AF245" s="800" t="str">
        <f>IFERROR(__xludf.DUMMYFUNCTION("if(REGEXMATCH(AR245,$AF$168),""X"","""")"),"X")</f>
        <v>X</v>
      </c>
      <c r="AG245" s="800" t="str">
        <f>IFERROR(__xludf.DUMMYFUNCTION("if(REGEXMATCH(AR245,$AG$168),""X"","""")"),"X")</f>
        <v>X</v>
      </c>
      <c r="AH245" s="800" t="str">
        <f>IFERROR(__xludf.DUMMYFUNCTION("if(REGEXMATCH(AR245,$AH$168),""X"","""")"),"")</f>
        <v/>
      </c>
      <c r="AI245" s="800" t="str">
        <f>IFERROR(__xludf.DUMMYFUNCTION("if(REGEXMATCH(AR245,$AI$168),""X"","""")"),"")</f>
        <v/>
      </c>
      <c r="AJ245" s="739" t="str">
        <f>IFERROR(__xludf.DUMMYFUNCTION("if(REGEXMATCH(AR245,$AJ$168),""X"","""")"),"")</f>
        <v/>
      </c>
      <c r="AK245" s="800" t="str">
        <f>IFERROR(__xludf.DUMMYFUNCTION("if(REGEXMATCH(AR245,$AK$168),""X"","""")"),"")</f>
        <v/>
      </c>
      <c r="AL245" s="800" t="str">
        <f>IFERROR(__xludf.DUMMYFUNCTION("if(REGEXMATCH(AR245,$AL$168),""X"","""")"),"X")</f>
        <v>X</v>
      </c>
      <c r="AM245" s="800" t="str">
        <f>IFERROR(__xludf.DUMMYFUNCTION("if(REGEXMATCH(AR245,$AM$168),""X"","""")"),"")</f>
        <v/>
      </c>
      <c r="AN245" s="800"/>
      <c r="AO245" s="800"/>
      <c r="AP245" s="800" t="str">
        <f>IFERROR(__xludf.DUMMYFUNCTION("if(REGEXMATCH(AR245,""Craft""),""X"","""")"),"X")</f>
        <v>X</v>
      </c>
      <c r="AQ245" s="800" t="str">
        <f>IFERROR(__xludf.DUMMYFUNCTION("if(REGEXMATCH(AR245,""Knowledge""),""X"","""")"),"X")</f>
        <v>X</v>
      </c>
      <c r="AR245" s="939" t="s">
        <v>1161</v>
      </c>
      <c r="AS245" s="243"/>
      <c r="AT245" s="243"/>
      <c r="AU245" s="243"/>
      <c r="AV245" s="243"/>
      <c r="AW245" s="243"/>
      <c r="AX245" s="243"/>
      <c r="AY245" s="243"/>
      <c r="AZ245" s="243"/>
      <c r="BA245" s="243"/>
      <c r="BB245" s="243"/>
      <c r="BC245" s="243"/>
      <c r="BD245" s="243"/>
      <c r="BE245" s="243"/>
      <c r="BF245" s="243"/>
      <c r="BG245" s="243"/>
      <c r="BH245" s="243"/>
      <c r="BI245" s="243"/>
      <c r="BJ245" s="243"/>
      <c r="BK245" s="243"/>
      <c r="BL245" s="243"/>
    </row>
    <row r="246">
      <c r="A246" s="458" t="s">
        <v>219</v>
      </c>
      <c r="B246" s="734" t="str">
        <f>IFERROR(__xludf.DUMMYFUNCTION("if(REGEXMATCH(AR246,$B$168),""X"","""")"),"X")</f>
        <v>X</v>
      </c>
      <c r="C246" s="734" t="str">
        <f>IFERROR(__xludf.DUMMYFUNCTION("if(REGEXMATCH(AR246,$C$168),""X"","""")"),"")</f>
        <v/>
      </c>
      <c r="D246" s="800" t="str">
        <f>IFERROR(__xludf.DUMMYFUNCTION("if(REGEXMATCH(AR246,$D$168),""X"","""")"),"")</f>
        <v/>
      </c>
      <c r="E246" s="734" t="str">
        <f>IFERROR(__xludf.DUMMYFUNCTION("if(REGEXMATCH(AR246,$E$168),""X"","""")"),"X")</f>
        <v>X</v>
      </c>
      <c r="F246" s="734" t="str">
        <f>IFERROR(__xludf.DUMMYFUNCTION("if(REGEXMATCH(AR246,$F$168),""X"","""")"),"X")</f>
        <v>X</v>
      </c>
      <c r="G246" s="734" t="str">
        <f t="shared" si="18"/>
        <v>X</v>
      </c>
      <c r="H246" s="734" t="str">
        <f>IFERROR(__xludf.DUMMYFUNCTION("if(REGEXMATCH(AR246,$H$168),""X"","""")"),"")</f>
        <v/>
      </c>
      <c r="I246" s="800" t="str">
        <f>IFERROR(__xludf.DUMMYFUNCTION("if(REGEXMATCH(AR246,$I$168),""X"","""")"),"")</f>
        <v/>
      </c>
      <c r="J246" s="800" t="str">
        <f>IFERROR(__xludf.DUMMYFUNCTION("if(REGEXMATCH(AR246,$J$168),""X"","""")"),"")</f>
        <v/>
      </c>
      <c r="K246" s="800" t="str">
        <f>IFERROR(__xludf.DUMMYFUNCTION("if(REGEXMATCH(AR246,$K$168),""X"","""")"),"X")</f>
        <v>X</v>
      </c>
      <c r="L246" s="800" t="str">
        <f>IFERROR(__xludf.DUMMYFUNCTION("if(REGEXMATCH(AR246,$L$168),""X"","""")"),"")</f>
        <v/>
      </c>
      <c r="M246" s="800" t="str">
        <f>IFERROR(__xludf.DUMMYFUNCTION("if(REGEXMATCH(AR246,$M$168),""X"","""")"),"")</f>
        <v/>
      </c>
      <c r="N246" s="800" t="str">
        <f>IFERROR(__xludf.DUMMYFUNCTION("if(REGEXMATCH(AR246,$N$168),""X"","""")"),"")</f>
        <v/>
      </c>
      <c r="O246" s="800" t="str">
        <f>IFERROR(__xludf.DUMMYFUNCTION("if(REGEXMATCH(AR246,$O$168),""X"","""")"),"X")</f>
        <v>X</v>
      </c>
      <c r="P246" s="800" t="str">
        <f>IFERROR(__xludf.DUMMYFUNCTION("if(REGEXMATCH(AR246,""(all)""),""X"",if(REGEXMATCH(AR246,""arcana""),""X"",""""))"),"")</f>
        <v/>
      </c>
      <c r="Q246" s="800" t="str">
        <f>IFERROR(__xludf.DUMMYFUNCTION("if(REGEXMATCH(AR246,""(all)""),""X"",if(REGEXMATCH(AR246,""dungeoneering""),""X"",""""))"),"")</f>
        <v/>
      </c>
      <c r="R246" s="800" t="str">
        <f>IFERROR(__xludf.DUMMYFUNCTION("if(REGEXMATCH(AR246,""(all)""),""X"",if(REGEXMATCH(AR246,""engineering""),""X"",""""))"),"")</f>
        <v/>
      </c>
      <c r="S246" s="800" t="str">
        <f>IFERROR(__xludf.DUMMYFUNCTION("if(REGEXMATCH(AR246,""(all)""),""X"",if(REGEXMATCH(AR246,""geography""),""X"",""""))"),"")</f>
        <v/>
      </c>
      <c r="T246" s="800" t="str">
        <f>IFERROR(__xludf.DUMMYFUNCTION("if(REGEXMATCH(AR246,""(all)""),""X"",if(REGEXMATCH(AR246,""history""),""X"",""""))"),"X")</f>
        <v>X</v>
      </c>
      <c r="U246" s="800" t="str">
        <f>IFERROR(__xludf.DUMMYFUNCTION("if(REGEXMATCH(AR246,""(all)""),""X"",if(REGEXMATCH(AR246,""local""),""X"",""""))"),"")</f>
        <v/>
      </c>
      <c r="V246" s="800" t="str">
        <f>IFERROR(__xludf.DUMMYFUNCTION("if(REGEXMATCH(AR246,""(all)""),""X"",if(REGEXMATCH(AR246,""nature""),""X"",""""))"),"")</f>
        <v/>
      </c>
      <c r="W246" s="800" t="str">
        <f>IFERROR(__xludf.DUMMYFUNCTION("if(REGEXMATCH(AR246,""(all)""),""X"",if(REGEXMATCH(AR246,""nobility""),""X"",""""))"),"")</f>
        <v/>
      </c>
      <c r="X246" s="800" t="str">
        <f>IFERROR(__xludf.DUMMYFUNCTION("if(REGEXMATCH(AR246,""(all)""),""X"",if(REGEXMATCH(AR246,""planes""),""X"",""""))"),"")</f>
        <v/>
      </c>
      <c r="Y246" s="800" t="str">
        <f>IFERROR(__xludf.DUMMYFUNCTION("if(REGEXMATCH(AR246,""(all)""),""X"",if(REGEXMATCH(AR246,""religion""),""X"",""""))"),"X")</f>
        <v>X</v>
      </c>
      <c r="Z246" s="800" t="str">
        <f>IFERROR(__xludf.DUMMYFUNCTION("if(REGEXMATCH(AR246,$Z$168),""X"","""")"),"")</f>
        <v/>
      </c>
      <c r="AA246" s="800" t="str">
        <f>IFERROR(__xludf.DUMMYFUNCTION("if(REGEXMATCH(AR246,$AA$168),""X"","""")"),"X")</f>
        <v>X</v>
      </c>
      <c r="AB246" s="734" t="str">
        <f>IFERROR(__xludf.DUMMYFUNCTION("if(REGEXMATCH(AR246,""Perform""),""X"","""")"),"X")</f>
        <v>X</v>
      </c>
      <c r="AC246" s="734" t="str">
        <f t="shared" si="19"/>
        <v>X</v>
      </c>
      <c r="AD246" s="734" t="str">
        <f>IFERROR(__xludf.DUMMYFUNCTION("if(REGEXMATCH(AR246,""Profession""),""X"","""")"),"X")</f>
        <v>X</v>
      </c>
      <c r="AE246" s="734" t="str">
        <f t="shared" si="20"/>
        <v>X</v>
      </c>
      <c r="AF246" s="800" t="str">
        <f>IFERROR(__xludf.DUMMYFUNCTION("if(REGEXMATCH(AR246,$AF$168),""X"","""")"),"X")</f>
        <v>X</v>
      </c>
      <c r="AG246" s="800" t="str">
        <f>IFERROR(__xludf.DUMMYFUNCTION("if(REGEXMATCH(AR246,$AG$168),""X"","""")"),"X")</f>
        <v>X</v>
      </c>
      <c r="AH246" s="800" t="str">
        <f>IFERROR(__xludf.DUMMYFUNCTION("if(REGEXMATCH(AR246,$AH$168),""X"","""")"),"")</f>
        <v/>
      </c>
      <c r="AI246" s="800" t="str">
        <f>IFERROR(__xludf.DUMMYFUNCTION("if(REGEXMATCH(AR246,$AI$168),""X"","""")"),"")</f>
        <v/>
      </c>
      <c r="AJ246" s="739" t="str">
        <f>IFERROR(__xludf.DUMMYFUNCTION("if(REGEXMATCH(AR246,$AJ$168),""X"","""")"),"X")</f>
        <v>X</v>
      </c>
      <c r="AK246" s="800" t="str">
        <f>IFERROR(__xludf.DUMMYFUNCTION("if(REGEXMATCH(AR246,$AK$168),""X"","""")"),"")</f>
        <v/>
      </c>
      <c r="AL246" s="800" t="str">
        <f>IFERROR(__xludf.DUMMYFUNCTION("if(REGEXMATCH(AR246,$AL$168),""X"","""")"),"X")</f>
        <v>X</v>
      </c>
      <c r="AM246" s="800" t="str">
        <f>IFERROR(__xludf.DUMMYFUNCTION("if(REGEXMATCH(AR246,$AM$168),""X"","""")"),"")</f>
        <v/>
      </c>
      <c r="AN246" s="800"/>
      <c r="AO246" s="800"/>
      <c r="AP246" s="800" t="str">
        <f>IFERROR(__xludf.DUMMYFUNCTION("if(REGEXMATCH(AR246,""Craft""),""X"","""")"),"X")</f>
        <v>X</v>
      </c>
      <c r="AQ246" s="800" t="str">
        <f>IFERROR(__xludf.DUMMYFUNCTION("if(REGEXMATCH(AR246,""Knowledge""),""X"","""")"),"X")</f>
        <v>X</v>
      </c>
      <c r="AR246" s="939" t="s">
        <v>1163</v>
      </c>
      <c r="AS246" s="243"/>
      <c r="AT246" s="243"/>
      <c r="AU246" s="243"/>
      <c r="AV246" s="243"/>
      <c r="AW246" s="243"/>
      <c r="AX246" s="243"/>
      <c r="AY246" s="243"/>
      <c r="AZ246" s="243"/>
      <c r="BA246" s="243"/>
      <c r="BB246" s="243"/>
      <c r="BC246" s="243"/>
      <c r="BD246" s="243"/>
      <c r="BE246" s="243"/>
      <c r="BF246" s="243"/>
      <c r="BG246" s="243"/>
      <c r="BH246" s="243"/>
      <c r="BI246" s="243"/>
      <c r="BJ246" s="243"/>
      <c r="BK246" s="243"/>
      <c r="BL246" s="243"/>
    </row>
    <row r="247">
      <c r="A247" s="458" t="s">
        <v>593</v>
      </c>
      <c r="B247" s="734" t="str">
        <f>IFERROR(__xludf.DUMMYFUNCTION("if(REGEXMATCH(AR247,$B$168),""X"","""")"),"X")</f>
        <v>X</v>
      </c>
      <c r="C247" s="734" t="str">
        <f>IFERROR(__xludf.DUMMYFUNCTION("if(REGEXMATCH(AR247,$C$168),""X"","""")"),"")</f>
        <v/>
      </c>
      <c r="D247" s="800" t="str">
        <f>IFERROR(__xludf.DUMMYFUNCTION("if(REGEXMATCH(AR247,$D$168),""X"","""")"),"X")</f>
        <v>X</v>
      </c>
      <c r="E247" s="734" t="str">
        <f>IFERROR(__xludf.DUMMYFUNCTION("if(REGEXMATCH(AR247,$E$168),""X"","""")"),"X")</f>
        <v>X</v>
      </c>
      <c r="F247" s="734" t="str">
        <f>IFERROR(__xludf.DUMMYFUNCTION("if(REGEXMATCH(AR247,$F$168),""X"","""")"),"X")</f>
        <v>X</v>
      </c>
      <c r="G247" s="734" t="str">
        <f t="shared" si="18"/>
        <v>X</v>
      </c>
      <c r="H247" s="734" t="str">
        <f>IFERROR(__xludf.DUMMYFUNCTION("if(REGEXMATCH(AR247,$H$168),""X"","""")"),"X")</f>
        <v>X</v>
      </c>
      <c r="I247" s="800" t="str">
        <f>IFERROR(__xludf.DUMMYFUNCTION("if(REGEXMATCH(AR247,$I$168),""X"","""")"),"")</f>
        <v/>
      </c>
      <c r="J247" s="800" t="str">
        <f>IFERROR(__xludf.DUMMYFUNCTION("if(REGEXMATCH(AR247,$J$168),""X"","""")"),"")</f>
        <v/>
      </c>
      <c r="K247" s="800" t="str">
        <f>IFERROR(__xludf.DUMMYFUNCTION("if(REGEXMATCH(AR247,$K$168),""X"","""")"),"")</f>
        <v/>
      </c>
      <c r="L247" s="800" t="str">
        <f>IFERROR(__xludf.DUMMYFUNCTION("if(REGEXMATCH(AR247,$L$168),""X"","""")"),"X")</f>
        <v>X</v>
      </c>
      <c r="M247" s="800" t="str">
        <f>IFERROR(__xludf.DUMMYFUNCTION("if(REGEXMATCH(AR247,$M$168),""X"","""")"),"")</f>
        <v/>
      </c>
      <c r="N247" s="800" t="str">
        <f>IFERROR(__xludf.DUMMYFUNCTION("if(REGEXMATCH(AR247,$N$168),""X"","""")"),"")</f>
        <v/>
      </c>
      <c r="O247" s="800" t="str">
        <f>IFERROR(__xludf.DUMMYFUNCTION("if(REGEXMATCH(AR247,$O$168),""X"","""")"),"X")</f>
        <v>X</v>
      </c>
      <c r="P247" s="800" t="str">
        <f>IFERROR(__xludf.DUMMYFUNCTION("if(REGEXMATCH(AR247,""(all)""),""X"",if(REGEXMATCH(AR247,""arcana""),""X"",""""))"),"X")</f>
        <v>X</v>
      </c>
      <c r="Q247" s="800" t="str">
        <f>IFERROR(__xludf.DUMMYFUNCTION("if(REGEXMATCH(AR247,""(all)""),""X"",if(REGEXMATCH(AR247,""dungeoneering""),""X"",""""))"),"")</f>
        <v/>
      </c>
      <c r="R247" s="800" t="str">
        <f>IFERROR(__xludf.DUMMYFUNCTION("if(REGEXMATCH(AR247,""(all)""),""X"",if(REGEXMATCH(AR247,""engineering""),""X"",""""))"),"")</f>
        <v/>
      </c>
      <c r="S247" s="800" t="str">
        <f>IFERROR(__xludf.DUMMYFUNCTION("if(REGEXMATCH(AR247,""(all)""),""X"",if(REGEXMATCH(AR247,""geography""),""X"",""""))"),"")</f>
        <v/>
      </c>
      <c r="T247" s="800" t="str">
        <f>IFERROR(__xludf.DUMMYFUNCTION("if(REGEXMATCH(AR247,""(all)""),""X"",if(REGEXMATCH(AR247,""history""),""X"",""""))"),"")</f>
        <v/>
      </c>
      <c r="U247" s="800" t="str">
        <f>IFERROR(__xludf.DUMMYFUNCTION("if(REGEXMATCH(AR247,""(all)""),""X"",if(REGEXMATCH(AR247,""local""),""X"",""""))"),"")</f>
        <v/>
      </c>
      <c r="V247" s="800" t="str">
        <f>IFERROR(__xludf.DUMMYFUNCTION("if(REGEXMATCH(AR247,""(all)""),""X"",if(REGEXMATCH(AR247,""nature""),""X"",""""))"),"")</f>
        <v/>
      </c>
      <c r="W247" s="800" t="str">
        <f>IFERROR(__xludf.DUMMYFUNCTION("if(REGEXMATCH(AR247,""(all)""),""X"",if(REGEXMATCH(AR247,""nobility""),""X"",""""))"),"")</f>
        <v/>
      </c>
      <c r="X247" s="800" t="str">
        <f>IFERROR(__xludf.DUMMYFUNCTION("if(REGEXMATCH(AR247,""(all)""),""X"",if(REGEXMATCH(AR247,""planes""),""X"",""""))"),"X")</f>
        <v>X</v>
      </c>
      <c r="Y247" s="800" t="str">
        <f>IFERROR(__xludf.DUMMYFUNCTION("if(REGEXMATCH(AR247,""(all)""),""X"",if(REGEXMATCH(AR247,""religion""),""X"",""""))"),"")</f>
        <v/>
      </c>
      <c r="Z247" s="800" t="str">
        <f>IFERROR(__xludf.DUMMYFUNCTION("if(REGEXMATCH(AR247,$Z$168),""X"","""")"),"")</f>
        <v/>
      </c>
      <c r="AA247" s="800" t="str">
        <f>IFERROR(__xludf.DUMMYFUNCTION("if(REGEXMATCH(AR247,$AA$168),""X"","""")"),"X")</f>
        <v>X</v>
      </c>
      <c r="AB247" s="734" t="str">
        <f>IFERROR(__xludf.DUMMYFUNCTION("if(REGEXMATCH(AR247,""Perform""),""X"","""")"),"")</f>
        <v/>
      </c>
      <c r="AC247" s="734" t="str">
        <f t="shared" si="19"/>
        <v/>
      </c>
      <c r="AD247" s="734" t="str">
        <f>IFERROR(__xludf.DUMMYFUNCTION("if(REGEXMATCH(AR247,""Profession""),""X"","""")"),"X")</f>
        <v>X</v>
      </c>
      <c r="AE247" s="734" t="str">
        <f t="shared" si="20"/>
        <v>X</v>
      </c>
      <c r="AF247" s="800" t="str">
        <f>IFERROR(__xludf.DUMMYFUNCTION("if(REGEXMATCH(AR247,$AF$168),""X"","""")"),"X")</f>
        <v>X</v>
      </c>
      <c r="AG247" s="800" t="str">
        <f>IFERROR(__xludf.DUMMYFUNCTION("if(REGEXMATCH(AR247,$AG$168),""X"","""")"),"")</f>
        <v/>
      </c>
      <c r="AH247" s="800" t="str">
        <f>IFERROR(__xludf.DUMMYFUNCTION("if(REGEXMATCH(AR247,$AH$168),""X"","""")"),"")</f>
        <v/>
      </c>
      <c r="AI247" s="800" t="str">
        <f>IFERROR(__xludf.DUMMYFUNCTION("if(REGEXMATCH(AR247,$AI$168),""X"","""")"),"X")</f>
        <v>X</v>
      </c>
      <c r="AJ247" s="739" t="str">
        <f>IFERROR(__xludf.DUMMYFUNCTION("if(REGEXMATCH(AR247,$AJ$168),""X"","""")"),"")</f>
        <v/>
      </c>
      <c r="AK247" s="800" t="str">
        <f>IFERROR(__xludf.DUMMYFUNCTION("if(REGEXMATCH(AR247,$AK$168),""X"","""")"),"")</f>
        <v/>
      </c>
      <c r="AL247" s="800" t="str">
        <f>IFERROR(__xludf.DUMMYFUNCTION("if(REGEXMATCH(AR247,$AL$168),""X"","""")"),"X")</f>
        <v>X</v>
      </c>
      <c r="AM247" s="800" t="str">
        <f>IFERROR(__xludf.DUMMYFUNCTION("if(REGEXMATCH(AR247,$AM$168),""X"","""")"),"X")</f>
        <v>X</v>
      </c>
      <c r="AN247" s="800"/>
      <c r="AO247" s="800"/>
      <c r="AP247" s="800" t="str">
        <f>IFERROR(__xludf.DUMMYFUNCTION("if(REGEXMATCH(AR247,""Craft""),""X"","""")"),"X")</f>
        <v>X</v>
      </c>
      <c r="AQ247" s="800" t="str">
        <f>IFERROR(__xludf.DUMMYFUNCTION("if(REGEXMATCH(AR247,""Knowledge""),""X"","""")"),"X")</f>
        <v>X</v>
      </c>
      <c r="AR247" s="939" t="s">
        <v>1165</v>
      </c>
      <c r="AS247" s="243"/>
      <c r="AT247" s="243"/>
      <c r="AU247" s="243"/>
      <c r="AV247" s="243"/>
      <c r="AW247" s="243"/>
      <c r="AX247" s="243"/>
      <c r="AY247" s="243"/>
      <c r="AZ247" s="243"/>
      <c r="BA247" s="243"/>
      <c r="BB247" s="243"/>
      <c r="BC247" s="243"/>
      <c r="BD247" s="243"/>
      <c r="BE247" s="243"/>
      <c r="BF247" s="243"/>
      <c r="BG247" s="243"/>
      <c r="BH247" s="243"/>
      <c r="BI247" s="243"/>
      <c r="BJ247" s="243"/>
      <c r="BK247" s="243"/>
      <c r="BL247" s="243"/>
    </row>
    <row r="248">
      <c r="A248" s="458" t="s">
        <v>594</v>
      </c>
      <c r="B248" s="734" t="str">
        <f>IFERROR(__xludf.DUMMYFUNCTION("if(REGEXMATCH(AR248,$B$168),""X"","""")"),"X")</f>
        <v>X</v>
      </c>
      <c r="C248" s="734" t="str">
        <f>IFERROR(__xludf.DUMMYFUNCTION("if(REGEXMATCH(AR248,$C$168),""X"","""")"),"X")</f>
        <v>X</v>
      </c>
      <c r="D248" s="800" t="str">
        <f>IFERROR(__xludf.DUMMYFUNCTION("if(REGEXMATCH(AR248,$D$168),""X"","""")"),"X")</f>
        <v>X</v>
      </c>
      <c r="E248" s="734" t="str">
        <f>IFERROR(__xludf.DUMMYFUNCTION("if(REGEXMATCH(AR248,$E$168),""X"","""")"),"X")</f>
        <v>X</v>
      </c>
      <c r="F248" s="734" t="str">
        <f>IFERROR(__xludf.DUMMYFUNCTION("if(REGEXMATCH(AR248,$F$168),""X"","""")"),"X")</f>
        <v>X</v>
      </c>
      <c r="G248" s="734" t="str">
        <f t="shared" si="18"/>
        <v>X</v>
      </c>
      <c r="H248" s="734" t="str">
        <f>IFERROR(__xludf.DUMMYFUNCTION("if(REGEXMATCH(AR248,$H$168),""X"","""")"),"X")</f>
        <v>X</v>
      </c>
      <c r="I248" s="800" t="str">
        <f>IFERROR(__xludf.DUMMYFUNCTION("if(REGEXMATCH(AR248,$I$168),""X"","""")"),"X")</f>
        <v>X</v>
      </c>
      <c r="J248" s="800" t="str">
        <f>IFERROR(__xludf.DUMMYFUNCTION("if(REGEXMATCH(AR248,$J$168),""X"","""")"),"X")</f>
        <v>X</v>
      </c>
      <c r="K248" s="800" t="str">
        <f>IFERROR(__xludf.DUMMYFUNCTION("if(REGEXMATCH(AR248,$K$168),""X"","""")"),"X")</f>
        <v>X</v>
      </c>
      <c r="L248" s="800" t="str">
        <f>IFERROR(__xludf.DUMMYFUNCTION("if(REGEXMATCH(AR248,$L$168),""X"","""")"),"")</f>
        <v/>
      </c>
      <c r="M248" s="800" t="str">
        <f>IFERROR(__xludf.DUMMYFUNCTION("if(REGEXMATCH(AR248,$M$168),""X"","""")"),"")</f>
        <v/>
      </c>
      <c r="N248" s="800" t="str">
        <f>IFERROR(__xludf.DUMMYFUNCTION("if(REGEXMATCH(AR248,$N$168),""X"","""")"),"")</f>
        <v/>
      </c>
      <c r="O248" s="800" t="str">
        <f>IFERROR(__xludf.DUMMYFUNCTION("if(REGEXMATCH(AR248,$O$168),""X"","""")"),"X")</f>
        <v>X</v>
      </c>
      <c r="P248" s="800" t="str">
        <f>IFERROR(__xludf.DUMMYFUNCTION("if(REGEXMATCH(AR248,""(all)""),""X"",if(REGEXMATCH(AR248,""arcana""),""X"",""""))"),"")</f>
        <v/>
      </c>
      <c r="Q248" s="800" t="str">
        <f>IFERROR(__xludf.DUMMYFUNCTION("if(REGEXMATCH(AR248,""(all)""),""X"",if(REGEXMATCH(AR248,""dungeoneering""),""X"",""""))"),"X")</f>
        <v>X</v>
      </c>
      <c r="R248" s="800" t="str">
        <f>IFERROR(__xludf.DUMMYFUNCTION("if(REGEXMATCH(AR248,""(all)""),""X"",if(REGEXMATCH(AR248,""engineering""),""X"",""""))"),"")</f>
        <v/>
      </c>
      <c r="S248" s="800" t="str">
        <f>IFERROR(__xludf.DUMMYFUNCTION("if(REGEXMATCH(AR248,""(all)""),""X"",if(REGEXMATCH(AR248,""geography""),""X"",""""))"),"")</f>
        <v/>
      </c>
      <c r="T248" s="800" t="str">
        <f>IFERROR(__xludf.DUMMYFUNCTION("if(REGEXMATCH(AR248,""(all)""),""X"",if(REGEXMATCH(AR248,""history""),""X"",""""))"),"")</f>
        <v/>
      </c>
      <c r="U248" s="800" t="str">
        <f>IFERROR(__xludf.DUMMYFUNCTION("if(REGEXMATCH(AR248,""(all)""),""X"",if(REGEXMATCH(AR248,""local""),""X"",""""))"),"X")</f>
        <v>X</v>
      </c>
      <c r="V248" s="800" t="str">
        <f>IFERROR(__xludf.DUMMYFUNCTION("if(REGEXMATCH(AR248,""(all)""),""X"",if(REGEXMATCH(AR248,""nature""),""X"",""""))"),"")</f>
        <v/>
      </c>
      <c r="W248" s="800" t="str">
        <f>IFERROR(__xludf.DUMMYFUNCTION("if(REGEXMATCH(AR248,""(all)""),""X"",if(REGEXMATCH(AR248,""nobility""),""X"",""""))"),"")</f>
        <v/>
      </c>
      <c r="X248" s="800" t="str">
        <f>IFERROR(__xludf.DUMMYFUNCTION("if(REGEXMATCH(AR248,""(all)""),""X"",if(REGEXMATCH(AR248,""planes""),""X"",""""))"),"")</f>
        <v/>
      </c>
      <c r="Y248" s="800" t="str">
        <f>IFERROR(__xludf.DUMMYFUNCTION("if(REGEXMATCH(AR248,""(all)""),""X"",if(REGEXMATCH(AR248,""religion""),""X"",""""))"),"")</f>
        <v/>
      </c>
      <c r="Z248" s="800" t="str">
        <f>IFERROR(__xludf.DUMMYFUNCTION("if(REGEXMATCH(AR248,$Z$168),""X"","""")"),"X")</f>
        <v>X</v>
      </c>
      <c r="AA248" s="800" t="str">
        <f>IFERROR(__xludf.DUMMYFUNCTION("if(REGEXMATCH(AR248,$AA$168),""X"","""")"),"X")</f>
        <v>X</v>
      </c>
      <c r="AB248" s="734" t="str">
        <f>IFERROR(__xludf.DUMMYFUNCTION("if(REGEXMATCH(AR248,""Perform""),""X"","""")"),"X")</f>
        <v>X</v>
      </c>
      <c r="AC248" s="734" t="str">
        <f t="shared" si="19"/>
        <v>X</v>
      </c>
      <c r="AD248" s="734" t="str">
        <f>IFERROR(__xludf.DUMMYFUNCTION("if(REGEXMATCH(AR248,""Profession""),""X"","""")"),"X")</f>
        <v>X</v>
      </c>
      <c r="AE248" s="734" t="str">
        <f t="shared" si="20"/>
        <v>X</v>
      </c>
      <c r="AF248" s="800" t="str">
        <f>IFERROR(__xludf.DUMMYFUNCTION("if(REGEXMATCH(AR248,$AF$168),""X"","""")"),"")</f>
        <v/>
      </c>
      <c r="AG248" s="800" t="str">
        <f>IFERROR(__xludf.DUMMYFUNCTION("if(REGEXMATCH(AR248,$AG$168),""X"","""")"),"X")</f>
        <v>X</v>
      </c>
      <c r="AH248" s="800" t="str">
        <f>IFERROR(__xludf.DUMMYFUNCTION("if(REGEXMATCH(AR248,$AH$168),""X"","""")"),"X")</f>
        <v>X</v>
      </c>
      <c r="AI248" s="800" t="str">
        <f>IFERROR(__xludf.DUMMYFUNCTION("if(REGEXMATCH(AR248,$AI$168),""X"","""")"),"")</f>
        <v/>
      </c>
      <c r="AJ248" s="739" t="str">
        <f>IFERROR(__xludf.DUMMYFUNCTION("if(REGEXMATCH(AR248,$AJ$168),""X"","""")"),"X")</f>
        <v>X</v>
      </c>
      <c r="AK248" s="800" t="str">
        <f>IFERROR(__xludf.DUMMYFUNCTION("if(REGEXMATCH(AR248,$AK$168),""X"","""")"),"")</f>
        <v/>
      </c>
      <c r="AL248" s="800" t="str">
        <f>IFERROR(__xludf.DUMMYFUNCTION("if(REGEXMATCH(AR248,$AL$168),""X"","""")"),"X")</f>
        <v>X</v>
      </c>
      <c r="AM248" s="800" t="str">
        <f>IFERROR(__xludf.DUMMYFUNCTION("if(REGEXMATCH(AR248,$AM$168),""X"","""")"),"X")</f>
        <v>X</v>
      </c>
      <c r="AN248" s="800"/>
      <c r="AO248" s="800"/>
      <c r="AP248" s="800" t="str">
        <f>IFERROR(__xludf.DUMMYFUNCTION("if(REGEXMATCH(AR248,""Craft""),""X"","""")"),"X")</f>
        <v>X</v>
      </c>
      <c r="AQ248" s="800" t="str">
        <f>IFERROR(__xludf.DUMMYFUNCTION("if(REGEXMATCH(AR248,""Knowledge""),""X"","""")"),"X")</f>
        <v>X</v>
      </c>
      <c r="AR248" s="939" t="s">
        <v>1169</v>
      </c>
      <c r="AS248" s="243"/>
      <c r="AT248" s="243"/>
      <c r="AU248" s="243"/>
      <c r="AV248" s="243"/>
      <c r="AW248" s="243"/>
      <c r="AX248" s="243"/>
      <c r="AY248" s="243"/>
      <c r="AZ248" s="243"/>
      <c r="BA248" s="243"/>
      <c r="BB248" s="243"/>
      <c r="BC248" s="243"/>
      <c r="BD248" s="243"/>
      <c r="BE248" s="243"/>
      <c r="BF248" s="243"/>
      <c r="BG248" s="243"/>
      <c r="BH248" s="243"/>
      <c r="BI248" s="243"/>
      <c r="BJ248" s="243"/>
      <c r="BK248" s="243"/>
      <c r="BL248" s="243"/>
    </row>
    <row r="249">
      <c r="A249" s="458" t="s">
        <v>533</v>
      </c>
      <c r="B249" s="734" t="str">
        <f>IFERROR(__xludf.DUMMYFUNCTION("if(REGEXMATCH(AR249,$B$168),""X"","""")"),"X")</f>
        <v>X</v>
      </c>
      <c r="C249" s="734" t="str">
        <f>IFERROR(__xludf.DUMMYFUNCTION("if(REGEXMATCH(AR249,$C$168),""X"","""")"),"")</f>
        <v/>
      </c>
      <c r="D249" s="800" t="str">
        <f>IFERROR(__xludf.DUMMYFUNCTION("if(REGEXMATCH(AR249,$D$168),""X"","""")"),"")</f>
        <v/>
      </c>
      <c r="E249" s="734" t="str">
        <f>IFERROR(__xludf.DUMMYFUNCTION("if(REGEXMATCH(AR249,$E$168),""X"","""")"),"X")</f>
        <v>X</v>
      </c>
      <c r="F249" s="734" t="str">
        <f>IFERROR(__xludf.DUMMYFUNCTION("if(REGEXMATCH(AR249,$F$168),""X"","""")"),"X")</f>
        <v>X</v>
      </c>
      <c r="G249" s="734" t="str">
        <f t="shared" si="18"/>
        <v>X</v>
      </c>
      <c r="H249" s="734" t="str">
        <f>IFERROR(__xludf.DUMMYFUNCTION("if(REGEXMATCH(AR249,$H$168),""X"","""")"),"")</f>
        <v/>
      </c>
      <c r="I249" s="800" t="str">
        <f>IFERROR(__xludf.DUMMYFUNCTION("if(REGEXMATCH(AR249,$I$168),""X"","""")"),"")</f>
        <v/>
      </c>
      <c r="J249" s="800" t="str">
        <f>IFERROR(__xludf.DUMMYFUNCTION("if(REGEXMATCH(AR249,$J$168),""X"","""")"),"")</f>
        <v/>
      </c>
      <c r="K249" s="800" t="str">
        <f>IFERROR(__xludf.DUMMYFUNCTION("if(REGEXMATCH(AR249,$K$168),""X"","""")"),"")</f>
        <v/>
      </c>
      <c r="L249" s="800" t="str">
        <f>IFERROR(__xludf.DUMMYFUNCTION("if(REGEXMATCH(AR249,$L$168),""X"","""")"),"")</f>
        <v/>
      </c>
      <c r="M249" s="800" t="str">
        <f>IFERROR(__xludf.DUMMYFUNCTION("if(REGEXMATCH(AR249,$M$168),""X"","""")"),"X")</f>
        <v>X</v>
      </c>
      <c r="N249" s="800" t="str">
        <f>IFERROR(__xludf.DUMMYFUNCTION("if(REGEXMATCH(AR249,$N$168),""X"","""")"),"")</f>
        <v/>
      </c>
      <c r="O249" s="800" t="str">
        <f>IFERROR(__xludf.DUMMYFUNCTION("if(REGEXMATCH(AR249,$O$168),""X"","""")"),"X")</f>
        <v>X</v>
      </c>
      <c r="P249" s="800" t="str">
        <f>IFERROR(__xludf.DUMMYFUNCTION("if(REGEXMATCH(AR249,""(all)""),""X"",if(REGEXMATCH(AR249,""arcana""),""X"",""""))"),"")</f>
        <v/>
      </c>
      <c r="Q249" s="800" t="str">
        <f>IFERROR(__xludf.DUMMYFUNCTION("if(REGEXMATCH(AR249,""(all)""),""X"",if(REGEXMATCH(AR249,""dungeoneering""),""X"",""""))"),"X")</f>
        <v>X</v>
      </c>
      <c r="R249" s="800" t="str">
        <f>IFERROR(__xludf.DUMMYFUNCTION("if(REGEXMATCH(AR249,""(all)""),""X"",if(REGEXMATCH(AR249,""engineering""),""X"",""""))"),"")</f>
        <v/>
      </c>
      <c r="S249" s="800" t="str">
        <f>IFERROR(__xludf.DUMMYFUNCTION("if(REGEXMATCH(AR249,""(all)""),""X"",if(REGEXMATCH(AR249,""geography""),""X"",""""))"),"")</f>
        <v/>
      </c>
      <c r="T249" s="800" t="str">
        <f>IFERROR(__xludf.DUMMYFUNCTION("if(REGEXMATCH(AR249,""(all)""),""X"",if(REGEXMATCH(AR249,""history""),""X"",""""))"),"")</f>
        <v/>
      </c>
      <c r="U249" s="800" t="str">
        <f>IFERROR(__xludf.DUMMYFUNCTION("if(REGEXMATCH(AR249,""(all)""),""X"",if(REGEXMATCH(AR249,""local""),""X"",""""))"),"")</f>
        <v/>
      </c>
      <c r="V249" s="800" t="str">
        <f>IFERROR(__xludf.DUMMYFUNCTION("if(REGEXMATCH(AR249,""(all)""),""X"",if(REGEXMATCH(AR249,""nature""),""X"",""""))"),"")</f>
        <v/>
      </c>
      <c r="W249" s="800" t="str">
        <f>IFERROR(__xludf.DUMMYFUNCTION("if(REGEXMATCH(AR249,""(all)""),""X"",if(REGEXMATCH(AR249,""nobility""),""X"",""""))"),"")</f>
        <v/>
      </c>
      <c r="X249" s="800" t="str">
        <f>IFERROR(__xludf.DUMMYFUNCTION("if(REGEXMATCH(AR249,""(all)""),""X"",if(REGEXMATCH(AR249,""planes""),""X"",""""))"),"")</f>
        <v/>
      </c>
      <c r="Y249" s="800" t="str">
        <f>IFERROR(__xludf.DUMMYFUNCTION("if(REGEXMATCH(AR249,""(all)""),""X"",if(REGEXMATCH(AR249,""religion""),""X"",""""))"),"")</f>
        <v/>
      </c>
      <c r="Z249" s="800" t="str">
        <f>IFERROR(__xludf.DUMMYFUNCTION("if(REGEXMATCH(AR249,$Z$168),""X"","""")"),"")</f>
        <v/>
      </c>
      <c r="AA249" s="800" t="str">
        <f>IFERROR(__xludf.DUMMYFUNCTION("if(REGEXMATCH(AR249,$AA$168),""X"","""")"),"")</f>
        <v/>
      </c>
      <c r="AB249" s="734" t="str">
        <f>IFERROR(__xludf.DUMMYFUNCTION("if(REGEXMATCH(AR249,""Perform""),""X"","""")"),"")</f>
        <v/>
      </c>
      <c r="AC249" s="734" t="str">
        <f t="shared" si="19"/>
        <v/>
      </c>
      <c r="AD249" s="734" t="str">
        <f>IFERROR(__xludf.DUMMYFUNCTION("if(REGEXMATCH(AR249,""Profession""),""X"","""")"),"X")</f>
        <v>X</v>
      </c>
      <c r="AE249" s="734" t="str">
        <f t="shared" si="20"/>
        <v>X</v>
      </c>
      <c r="AF249" s="800" t="str">
        <f>IFERROR(__xludf.DUMMYFUNCTION("if(REGEXMATCH(AR249,$AF$168),""X"","""")"),"X")</f>
        <v>X</v>
      </c>
      <c r="AG249" s="800" t="str">
        <f>IFERROR(__xludf.DUMMYFUNCTION("if(REGEXMATCH(AR249,$AG$168),""X"","""")"),"")</f>
        <v/>
      </c>
      <c r="AH249" s="800" t="str">
        <f>IFERROR(__xludf.DUMMYFUNCTION("if(REGEXMATCH(AR249,$AH$168),""X"","""")"),"")</f>
        <v/>
      </c>
      <c r="AI249" s="800" t="str">
        <f>IFERROR(__xludf.DUMMYFUNCTION("if(REGEXMATCH(AR249,$AI$168),""X"","""")"),"")</f>
        <v/>
      </c>
      <c r="AJ249" s="739" t="str">
        <f>IFERROR(__xludf.DUMMYFUNCTION("if(REGEXMATCH(AR249,$AJ$168),""X"","""")"),"")</f>
        <v/>
      </c>
      <c r="AK249" s="800" t="str">
        <f>IFERROR(__xludf.DUMMYFUNCTION("if(REGEXMATCH(AR249,$AK$168),""X"","""")"),"X")</f>
        <v>X</v>
      </c>
      <c r="AL249" s="800" t="str">
        <f>IFERROR(__xludf.DUMMYFUNCTION("if(REGEXMATCH(AR249,$AL$168),""X"","""")"),"X")</f>
        <v>X</v>
      </c>
      <c r="AM249" s="800" t="str">
        <f>IFERROR(__xludf.DUMMYFUNCTION("if(REGEXMATCH(AR249,$AM$168),""X"","""")"),"")</f>
        <v/>
      </c>
      <c r="AN249" s="800"/>
      <c r="AO249" s="800"/>
      <c r="AP249" s="800" t="str">
        <f>IFERROR(__xludf.DUMMYFUNCTION("if(REGEXMATCH(AR249,""Craft""),""X"","""")"),"X")</f>
        <v>X</v>
      </c>
      <c r="AQ249" s="800" t="str">
        <f>IFERROR(__xludf.DUMMYFUNCTION("if(REGEXMATCH(AR249,""Knowledge""),""X"","""")"),"X")</f>
        <v>X</v>
      </c>
      <c r="AR249" s="939" t="s">
        <v>1172</v>
      </c>
      <c r="AS249" s="243"/>
      <c r="AT249" s="243"/>
      <c r="AU249" s="243"/>
      <c r="AV249" s="243"/>
      <c r="AW249" s="243"/>
      <c r="AX249" s="243"/>
      <c r="AY249" s="243"/>
      <c r="AZ249" s="243"/>
      <c r="BA249" s="243"/>
      <c r="BB249" s="243"/>
      <c r="BC249" s="243"/>
      <c r="BD249" s="243"/>
      <c r="BE249" s="243"/>
      <c r="BF249" s="243"/>
      <c r="BG249" s="243"/>
      <c r="BH249" s="243"/>
      <c r="BI249" s="243"/>
      <c r="BJ249" s="243"/>
      <c r="BK249" s="243"/>
      <c r="BL249" s="243"/>
    </row>
    <row r="250">
      <c r="A250" s="458" t="s">
        <v>598</v>
      </c>
      <c r="B250" s="734" t="str">
        <f>IFERROR(__xludf.DUMMYFUNCTION("if(REGEXMATCH(AR250,$B$168),""X"","""")"),"")</f>
        <v/>
      </c>
      <c r="C250" s="734" t="str">
        <f>IFERROR(__xludf.DUMMYFUNCTION("if(REGEXMATCH(AR250,$C$168),""X"","""")"),"X")</f>
        <v>X</v>
      </c>
      <c r="D250" s="800" t="str">
        <f>IFERROR(__xludf.DUMMYFUNCTION("if(REGEXMATCH(AR250,$D$168),""X"","""")"),"")</f>
        <v/>
      </c>
      <c r="E250" s="734" t="str">
        <f>IFERROR(__xludf.DUMMYFUNCTION("if(REGEXMATCH(AR250,$E$168),""X"","""")"),"")</f>
        <v/>
      </c>
      <c r="F250" s="734" t="str">
        <f>IFERROR(__xludf.DUMMYFUNCTION("if(REGEXMATCH(AR250,$F$168),""X"","""")"),"X")</f>
        <v>X</v>
      </c>
      <c r="G250" s="734" t="str">
        <f t="shared" si="18"/>
        <v>X</v>
      </c>
      <c r="H250" s="734" t="str">
        <f>IFERROR(__xludf.DUMMYFUNCTION("if(REGEXMATCH(AR250,$H$168),""X"","""")"),"")</f>
        <v/>
      </c>
      <c r="I250" s="800" t="str">
        <f>IFERROR(__xludf.DUMMYFUNCTION("if(REGEXMATCH(AR250,$I$168),""X"","""")"),"")</f>
        <v/>
      </c>
      <c r="J250" s="800" t="str">
        <f>IFERROR(__xludf.DUMMYFUNCTION("if(REGEXMATCH(AR250,$J$168),""X"","""")"),"")</f>
        <v/>
      </c>
      <c r="K250" s="800" t="str">
        <f>IFERROR(__xludf.DUMMYFUNCTION("if(REGEXMATCH(AR250,$K$168),""X"","""")"),"")</f>
        <v/>
      </c>
      <c r="L250" s="800" t="str">
        <f>IFERROR(__xludf.DUMMYFUNCTION("if(REGEXMATCH(AR250,$L$168),""X"","""")"),"X")</f>
        <v>X</v>
      </c>
      <c r="M250" s="800" t="str">
        <f>IFERROR(__xludf.DUMMYFUNCTION("if(REGEXMATCH(AR250,$M$168),""X"","""")"),"")</f>
        <v/>
      </c>
      <c r="N250" s="800" t="str">
        <f>IFERROR(__xludf.DUMMYFUNCTION("if(REGEXMATCH(AR250,$N$168),""X"","""")"),"X")</f>
        <v>X</v>
      </c>
      <c r="O250" s="800" t="str">
        <f>IFERROR(__xludf.DUMMYFUNCTION("if(REGEXMATCH(AR250,$O$168),""X"","""")"),"")</f>
        <v/>
      </c>
      <c r="P250" s="800" t="str">
        <f>IFERROR(__xludf.DUMMYFUNCTION("if(REGEXMATCH(AR250,""(all)""),""X"",if(REGEXMATCH(AR250,""arcana""),""X"",""""))"),"X")</f>
        <v>X</v>
      </c>
      <c r="Q250" s="800" t="str">
        <f>IFERROR(__xludf.DUMMYFUNCTION("if(REGEXMATCH(AR250,""(all)""),""X"",if(REGEXMATCH(AR250,""dungeoneering""),""X"",""""))"),"X")</f>
        <v>X</v>
      </c>
      <c r="R250" s="800" t="str">
        <f>IFERROR(__xludf.DUMMYFUNCTION("if(REGEXMATCH(AR250,""(all)""),""X"",if(REGEXMATCH(AR250,""engineering""),""X"",""""))"),"X")</f>
        <v>X</v>
      </c>
      <c r="S250" s="800" t="str">
        <f>IFERROR(__xludf.DUMMYFUNCTION("if(REGEXMATCH(AR250,""(all)""),""X"",if(REGEXMATCH(AR250,""geography""),""X"",""""))"),"X")</f>
        <v>X</v>
      </c>
      <c r="T250" s="800" t="str">
        <f>IFERROR(__xludf.DUMMYFUNCTION("if(REGEXMATCH(AR250,""(all)""),""X"",if(REGEXMATCH(AR250,""history""),""X"",""""))"),"X")</f>
        <v>X</v>
      </c>
      <c r="U250" s="800" t="str">
        <f>IFERROR(__xludf.DUMMYFUNCTION("if(REGEXMATCH(AR250,""(all)""),""X"",if(REGEXMATCH(AR250,""local""),""X"",""""))"),"X")</f>
        <v>X</v>
      </c>
      <c r="V250" s="800" t="str">
        <f>IFERROR(__xludf.DUMMYFUNCTION("if(REGEXMATCH(AR250,""(all)""),""X"",if(REGEXMATCH(AR250,""nature""),""X"",""""))"),"X")</f>
        <v>X</v>
      </c>
      <c r="W250" s="800" t="str">
        <f>IFERROR(__xludf.DUMMYFUNCTION("if(REGEXMATCH(AR250,""(all)""),""X"",if(REGEXMATCH(AR250,""nobility""),""X"",""""))"),"X")</f>
        <v>X</v>
      </c>
      <c r="X250" s="800" t="str">
        <f>IFERROR(__xludf.DUMMYFUNCTION("if(REGEXMATCH(AR250,""(all)""),""X"",if(REGEXMATCH(AR250,""planes""),""X"",""""))"),"X")</f>
        <v>X</v>
      </c>
      <c r="Y250" s="800" t="str">
        <f>IFERROR(__xludf.DUMMYFUNCTION("if(REGEXMATCH(AR250,""(all)""),""X"",if(REGEXMATCH(AR250,""religion""),""X"",""""))"),"X")</f>
        <v>X</v>
      </c>
      <c r="Z250" s="800" t="str">
        <f>IFERROR(__xludf.DUMMYFUNCTION("if(REGEXMATCH(AR250,$Z$168),""X"","""")"),"X")</f>
        <v>X</v>
      </c>
      <c r="AA250" s="800" t="str">
        <f>IFERROR(__xludf.DUMMYFUNCTION("if(REGEXMATCH(AR250,$AA$168),""X"","""")"),"X")</f>
        <v>X</v>
      </c>
      <c r="AB250" s="734" t="str">
        <f>IFERROR(__xludf.DUMMYFUNCTION("if(REGEXMATCH(AR250,""Perform""),""X"","""")"),"")</f>
        <v/>
      </c>
      <c r="AC250" s="734" t="str">
        <f t="shared" si="19"/>
        <v/>
      </c>
      <c r="AD250" s="734" t="str">
        <f>IFERROR(__xludf.DUMMYFUNCTION("if(REGEXMATCH(AR250,""Profession""),""X"","""")"),"X")</f>
        <v>X</v>
      </c>
      <c r="AE250" s="734" t="str">
        <f t="shared" si="20"/>
        <v>X</v>
      </c>
      <c r="AF250" s="800" t="str">
        <f>IFERROR(__xludf.DUMMYFUNCTION("if(REGEXMATCH(AR250,$AF$168),""X"","""")"),"")</f>
        <v/>
      </c>
      <c r="AG250" s="800" t="str">
        <f>IFERROR(__xludf.DUMMYFUNCTION("if(REGEXMATCH(AR250,$AG$168),""X"","""")"),"")</f>
        <v/>
      </c>
      <c r="AH250" s="800" t="str">
        <f>IFERROR(__xludf.DUMMYFUNCTION("if(REGEXMATCH(AR250,$AH$168),""X"","""")"),"")</f>
        <v/>
      </c>
      <c r="AI250" s="800" t="str">
        <f>IFERROR(__xludf.DUMMYFUNCTION("if(REGEXMATCH(AR250,$AI$168),""X"","""")"),"X")</f>
        <v>X</v>
      </c>
      <c r="AJ250" s="739" t="str">
        <f>IFERROR(__xludf.DUMMYFUNCTION("if(REGEXMATCH(AR250,$AJ$168),""X"","""")"),"")</f>
        <v/>
      </c>
      <c r="AK250" s="800" t="str">
        <f>IFERROR(__xludf.DUMMYFUNCTION("if(REGEXMATCH(AR250,$AK$168),""X"","""")"),"")</f>
        <v/>
      </c>
      <c r="AL250" s="800" t="str">
        <f>IFERROR(__xludf.DUMMYFUNCTION("if(REGEXMATCH(AR250,$AL$168),""X"","""")"),"")</f>
        <v/>
      </c>
      <c r="AM250" s="800" t="str">
        <f>IFERROR(__xludf.DUMMYFUNCTION("if(REGEXMATCH(AR250,$AM$168),""X"","""")"),"")</f>
        <v/>
      </c>
      <c r="AN250" s="800"/>
      <c r="AO250" s="800"/>
      <c r="AP250" s="800" t="str">
        <f>IFERROR(__xludf.DUMMYFUNCTION("if(REGEXMATCH(AR250,""Craft""),""X"","""")"),"X")</f>
        <v>X</v>
      </c>
      <c r="AQ250" s="800" t="str">
        <f>IFERROR(__xludf.DUMMYFUNCTION("if(REGEXMATCH(AR250,""Knowledge""),""X"","""")"),"X")</f>
        <v>X</v>
      </c>
      <c r="AR250" s="939" t="s">
        <v>1175</v>
      </c>
      <c r="AS250" s="243"/>
      <c r="AT250" s="243"/>
      <c r="AU250" s="243"/>
      <c r="AV250" s="243"/>
      <c r="AW250" s="243"/>
      <c r="AX250" s="243"/>
      <c r="AY250" s="243"/>
      <c r="AZ250" s="243"/>
      <c r="BA250" s="243"/>
      <c r="BB250" s="243"/>
      <c r="BC250" s="243"/>
      <c r="BD250" s="243"/>
      <c r="BE250" s="243"/>
      <c r="BF250" s="243"/>
      <c r="BG250" s="243"/>
      <c r="BH250" s="243"/>
      <c r="BI250" s="243"/>
      <c r="BJ250" s="243"/>
      <c r="BK250" s="243"/>
      <c r="BL250" s="243"/>
    </row>
    <row r="251">
      <c r="A251" s="458" t="s">
        <v>599</v>
      </c>
      <c r="B251" s="734" t="str">
        <f>IFERROR(__xludf.DUMMYFUNCTION("if(REGEXMATCH(AR251,$B$168),""X"","""")"),"")</f>
        <v/>
      </c>
      <c r="C251" s="734" t="str">
        <f>IFERROR(__xludf.DUMMYFUNCTION("if(REGEXMATCH(AR251,$C$168),""X"","""")"),"X")</f>
        <v>X</v>
      </c>
      <c r="D251" s="800" t="str">
        <f>IFERROR(__xludf.DUMMYFUNCTION("if(REGEXMATCH(AR251,$D$168),""X"","""")"),"")</f>
        <v/>
      </c>
      <c r="E251" s="734" t="str">
        <f>IFERROR(__xludf.DUMMYFUNCTION("if(REGEXMATCH(AR251,$E$168),""X"","""")"),"")</f>
        <v/>
      </c>
      <c r="F251" s="734" t="str">
        <f>IFERROR(__xludf.DUMMYFUNCTION("if(REGEXMATCH(AR251,$F$168),""X"","""")"),"X")</f>
        <v>X</v>
      </c>
      <c r="G251" s="734" t="str">
        <f t="shared" si="18"/>
        <v>X</v>
      </c>
      <c r="H251" s="734" t="str">
        <f>IFERROR(__xludf.DUMMYFUNCTION("if(REGEXMATCH(AR251,$H$168),""X"","""")"),"")</f>
        <v/>
      </c>
      <c r="I251" s="800" t="str">
        <f>IFERROR(__xludf.DUMMYFUNCTION("if(REGEXMATCH(AR251,$I$168),""X"","""")"),"")</f>
        <v/>
      </c>
      <c r="J251" s="800" t="str">
        <f>IFERROR(__xludf.DUMMYFUNCTION("if(REGEXMATCH(AR251,$J$168),""X"","""")"),"")</f>
        <v/>
      </c>
      <c r="K251" s="800" t="str">
        <f>IFERROR(__xludf.DUMMYFUNCTION("if(REGEXMATCH(AR251,$K$168),""X"","""")"),"")</f>
        <v/>
      </c>
      <c r="L251" s="800" t="str">
        <f>IFERROR(__xludf.DUMMYFUNCTION("if(REGEXMATCH(AR251,$L$168),""X"","""")"),"X")</f>
        <v>X</v>
      </c>
      <c r="M251" s="800" t="str">
        <f>IFERROR(__xludf.DUMMYFUNCTION("if(REGEXMATCH(AR251,$M$168),""X"","""")"),"")</f>
        <v/>
      </c>
      <c r="N251" s="800" t="str">
        <f>IFERROR(__xludf.DUMMYFUNCTION("if(REGEXMATCH(AR251,$N$168),""X"","""")"),"X")</f>
        <v>X</v>
      </c>
      <c r="O251" s="800" t="str">
        <f>IFERROR(__xludf.DUMMYFUNCTION("if(REGEXMATCH(AR251,$O$168),""X"","""")"),"")</f>
        <v/>
      </c>
      <c r="P251" s="800" t="str">
        <f>IFERROR(__xludf.DUMMYFUNCTION("if(REGEXMATCH(AR251,""(all)""),""X"",if(REGEXMATCH(AR251,""arcana""),""X"",""""))"),"X")</f>
        <v>X</v>
      </c>
      <c r="Q251" s="800" t="str">
        <f>IFERROR(__xludf.DUMMYFUNCTION("if(REGEXMATCH(AR251,""(all)""),""X"",if(REGEXMATCH(AR251,""dungeoneering""),""X"",""""))"),"X")</f>
        <v>X</v>
      </c>
      <c r="R251" s="800" t="str">
        <f>IFERROR(__xludf.DUMMYFUNCTION("if(REGEXMATCH(AR251,""(all)""),""X"",if(REGEXMATCH(AR251,""engineering""),""X"",""""))"),"X")</f>
        <v>X</v>
      </c>
      <c r="S251" s="800" t="str">
        <f>IFERROR(__xludf.DUMMYFUNCTION("if(REGEXMATCH(AR251,""(all)""),""X"",if(REGEXMATCH(AR251,""geography""),""X"",""""))"),"X")</f>
        <v>X</v>
      </c>
      <c r="T251" s="800" t="str">
        <f>IFERROR(__xludf.DUMMYFUNCTION("if(REGEXMATCH(AR251,""(all)""),""X"",if(REGEXMATCH(AR251,""history""),""X"",""""))"),"X")</f>
        <v>X</v>
      </c>
      <c r="U251" s="800" t="str">
        <f>IFERROR(__xludf.DUMMYFUNCTION("if(REGEXMATCH(AR251,""(all)""),""X"",if(REGEXMATCH(AR251,""local""),""X"",""""))"),"X")</f>
        <v>X</v>
      </c>
      <c r="V251" s="800" t="str">
        <f>IFERROR(__xludf.DUMMYFUNCTION("if(REGEXMATCH(AR251,""(all)""),""X"",if(REGEXMATCH(AR251,""nature""),""X"",""""))"),"X")</f>
        <v>X</v>
      </c>
      <c r="W251" s="800" t="str">
        <f>IFERROR(__xludf.DUMMYFUNCTION("if(REGEXMATCH(AR251,""(all)""),""X"",if(REGEXMATCH(AR251,""nobility""),""X"",""""))"),"X")</f>
        <v>X</v>
      </c>
      <c r="X251" s="800" t="str">
        <f>IFERROR(__xludf.DUMMYFUNCTION("if(REGEXMATCH(AR251,""(all)""),""X"",if(REGEXMATCH(AR251,""planes""),""X"",""""))"),"X")</f>
        <v>X</v>
      </c>
      <c r="Y251" s="800" t="str">
        <f>IFERROR(__xludf.DUMMYFUNCTION("if(REGEXMATCH(AR251,""(all)""),""X"",if(REGEXMATCH(AR251,""religion""),""X"",""""))"),"X")</f>
        <v>X</v>
      </c>
      <c r="Z251" s="800" t="str">
        <f>IFERROR(__xludf.DUMMYFUNCTION("if(REGEXMATCH(AR251,$Z$168),""X"","""")"),"X")</f>
        <v>X</v>
      </c>
      <c r="AA251" s="800" t="str">
        <f>IFERROR(__xludf.DUMMYFUNCTION("if(REGEXMATCH(AR251,$AA$168),""X"","""")"),"X")</f>
        <v>X</v>
      </c>
      <c r="AB251" s="734" t="str">
        <f>IFERROR(__xludf.DUMMYFUNCTION("if(REGEXMATCH(AR251,""Perform""),""X"","""")"),"")</f>
        <v/>
      </c>
      <c r="AC251" s="734" t="str">
        <f t="shared" si="19"/>
        <v/>
      </c>
      <c r="AD251" s="734" t="str">
        <f>IFERROR(__xludf.DUMMYFUNCTION("if(REGEXMATCH(AR251,""Profession""),""X"","""")"),"X")</f>
        <v>X</v>
      </c>
      <c r="AE251" s="734" t="str">
        <f t="shared" si="20"/>
        <v>X</v>
      </c>
      <c r="AF251" s="800" t="str">
        <f>IFERROR(__xludf.DUMMYFUNCTION("if(REGEXMATCH(AR251,$AF$168),""X"","""")"),"")</f>
        <v/>
      </c>
      <c r="AG251" s="800" t="str">
        <f>IFERROR(__xludf.DUMMYFUNCTION("if(REGEXMATCH(AR251,$AG$168),""X"","""")"),"")</f>
        <v/>
      </c>
      <c r="AH251" s="800" t="str">
        <f>IFERROR(__xludf.DUMMYFUNCTION("if(REGEXMATCH(AR251,$AH$168),""X"","""")"),"")</f>
        <v/>
      </c>
      <c r="AI251" s="800" t="str">
        <f>IFERROR(__xludf.DUMMYFUNCTION("if(REGEXMATCH(AR251,$AI$168),""X"","""")"),"X")</f>
        <v>X</v>
      </c>
      <c r="AJ251" s="739" t="str">
        <f>IFERROR(__xludf.DUMMYFUNCTION("if(REGEXMATCH(AR251,$AJ$168),""X"","""")"),"")</f>
        <v/>
      </c>
      <c r="AK251" s="800" t="str">
        <f>IFERROR(__xludf.DUMMYFUNCTION("if(REGEXMATCH(AR251,$AK$168),""X"","""")"),"")</f>
        <v/>
      </c>
      <c r="AL251" s="800" t="str">
        <f>IFERROR(__xludf.DUMMYFUNCTION("if(REGEXMATCH(AR251,$AL$168),""X"","""")"),"")</f>
        <v/>
      </c>
      <c r="AM251" s="800" t="str">
        <f>IFERROR(__xludf.DUMMYFUNCTION("if(REGEXMATCH(AR251,$AM$168),""X"","""")"),"")</f>
        <v/>
      </c>
      <c r="AN251" s="800"/>
      <c r="AO251" s="800"/>
      <c r="AP251" s="800" t="str">
        <f>IFERROR(__xludf.DUMMYFUNCTION("if(REGEXMATCH(AR251,""Craft""),""X"","""")"),"X")</f>
        <v>X</v>
      </c>
      <c r="AQ251" s="800" t="str">
        <f>IFERROR(__xludf.DUMMYFUNCTION("if(REGEXMATCH(AR251,""Knowledge""),""X"","""")"),"X")</f>
        <v>X</v>
      </c>
      <c r="AR251" s="939" t="s">
        <v>1175</v>
      </c>
      <c r="AS251" s="243"/>
      <c r="AT251" s="243"/>
      <c r="AU251" s="243"/>
      <c r="AV251" s="243"/>
      <c r="AW251" s="243"/>
      <c r="AX251" s="243"/>
      <c r="AY251" s="243"/>
      <c r="AZ251" s="243"/>
      <c r="BA251" s="243"/>
      <c r="BB251" s="243"/>
      <c r="BC251" s="243"/>
      <c r="BD251" s="243"/>
      <c r="BE251" s="243"/>
      <c r="BF251" s="243"/>
      <c r="BG251" s="243"/>
      <c r="BH251" s="243"/>
      <c r="BI251" s="243"/>
      <c r="BJ251" s="243"/>
      <c r="BK251" s="243"/>
      <c r="BL251" s="243"/>
    </row>
    <row r="252">
      <c r="A252" s="458" t="s">
        <v>601</v>
      </c>
      <c r="B252" s="734" t="str">
        <f>IFERROR(__xludf.DUMMYFUNCTION("if(REGEXMATCH(AR252,$B$168),""X"","""")"),"X")</f>
        <v>X</v>
      </c>
      <c r="C252" s="734" t="str">
        <f>IFERROR(__xludf.DUMMYFUNCTION("if(REGEXMATCH(AR252,$C$168),""X"","""")"),"")</f>
        <v/>
      </c>
      <c r="D252" s="800" t="str">
        <f>IFERROR(__xludf.DUMMYFUNCTION("if(REGEXMATCH(AR252,$D$168),""X"","""")"),"")</f>
        <v/>
      </c>
      <c r="E252" s="734" t="str">
        <f>IFERROR(__xludf.DUMMYFUNCTION("if(REGEXMATCH(AR252,$E$168),""X"","""")"),"X")</f>
        <v>X</v>
      </c>
      <c r="F252" s="734" t="str">
        <f>IFERROR(__xludf.DUMMYFUNCTION("if(REGEXMATCH(AR252,$F$168),""X"","""")"),"X")</f>
        <v>X</v>
      </c>
      <c r="G252" s="734" t="str">
        <f t="shared" si="18"/>
        <v>X</v>
      </c>
      <c r="H252" s="734" t="str">
        <f>IFERROR(__xludf.DUMMYFUNCTION("if(REGEXMATCH(AR252,$H$168),""X"","""")"),"")</f>
        <v/>
      </c>
      <c r="I252" s="800" t="str">
        <f>IFERROR(__xludf.DUMMYFUNCTION("if(REGEXMATCH(AR252,$I$168),""X"","""")"),"")</f>
        <v/>
      </c>
      <c r="J252" s="800" t="str">
        <f>IFERROR(__xludf.DUMMYFUNCTION("if(REGEXMATCH(AR252,$J$168),""X"","""")"),"")</f>
        <v/>
      </c>
      <c r="K252" s="800" t="str">
        <f>IFERROR(__xludf.DUMMYFUNCTION("if(REGEXMATCH(AR252,$K$168),""X"","""")"),"")</f>
        <v/>
      </c>
      <c r="L252" s="800" t="str">
        <f>IFERROR(__xludf.DUMMYFUNCTION("if(REGEXMATCH(AR252,$L$168),""X"","""")"),"")</f>
        <v/>
      </c>
      <c r="M252" s="800" t="str">
        <f>IFERROR(__xludf.DUMMYFUNCTION("if(REGEXMATCH(AR252,$M$168),""X"","""")"),"")</f>
        <v/>
      </c>
      <c r="N252" s="800" t="str">
        <f>IFERROR(__xludf.DUMMYFUNCTION("if(REGEXMATCH(AR252,$N$168),""X"","""")"),"")</f>
        <v/>
      </c>
      <c r="O252" s="800" t="str">
        <f>IFERROR(__xludf.DUMMYFUNCTION("if(REGEXMATCH(AR252,$O$168),""X"","""")"),"X")</f>
        <v>X</v>
      </c>
      <c r="P252" s="800" t="str">
        <f>IFERROR(__xludf.DUMMYFUNCTION("if(REGEXMATCH(AR252,""(all)""),""X"",if(REGEXMATCH(AR252,""arcana""),""X"",""""))"),"")</f>
        <v/>
      </c>
      <c r="Q252" s="800" t="str">
        <f>IFERROR(__xludf.DUMMYFUNCTION("if(REGEXMATCH(AR252,""(all)""),""X"",if(REGEXMATCH(AR252,""dungeoneering""),""X"",""""))"),"X")</f>
        <v>X</v>
      </c>
      <c r="R252" s="800" t="str">
        <f>IFERROR(__xludf.DUMMYFUNCTION("if(REGEXMATCH(AR252,""(all)""),""X"",if(REGEXMATCH(AR252,""engineering""),""X"",""""))"),"")</f>
        <v/>
      </c>
      <c r="S252" s="800" t="str">
        <f>IFERROR(__xludf.DUMMYFUNCTION("if(REGEXMATCH(AR252,""(all)""),""X"",if(REGEXMATCH(AR252,""geography""),""X"",""""))"),"")</f>
        <v/>
      </c>
      <c r="T252" s="800" t="str">
        <f>IFERROR(__xludf.DUMMYFUNCTION("if(REGEXMATCH(AR252,""(all)""),""X"",if(REGEXMATCH(AR252,""history""),""X"",""""))"),"")</f>
        <v/>
      </c>
      <c r="U252" s="800" t="str">
        <f>IFERROR(__xludf.DUMMYFUNCTION("if(REGEXMATCH(AR252,""(all)""),""X"",if(REGEXMATCH(AR252,""local""),""X"",""""))"),"")</f>
        <v/>
      </c>
      <c r="V252" s="800" t="str">
        <f>IFERROR(__xludf.DUMMYFUNCTION("if(REGEXMATCH(AR252,""(all)""),""X"",if(REGEXMATCH(AR252,""nature""),""X"",""""))"),"")</f>
        <v/>
      </c>
      <c r="W252" s="800" t="str">
        <f>IFERROR(__xludf.DUMMYFUNCTION("if(REGEXMATCH(AR252,""(all)""),""X"",if(REGEXMATCH(AR252,""nobility""),""X"",""""))"),"")</f>
        <v/>
      </c>
      <c r="X252" s="800" t="str">
        <f>IFERROR(__xludf.DUMMYFUNCTION("if(REGEXMATCH(AR252,""(all)""),""X"",if(REGEXMATCH(AR252,""planes""),""X"",""""))"),"")</f>
        <v/>
      </c>
      <c r="Y252" s="800" t="str">
        <f>IFERROR(__xludf.DUMMYFUNCTION("if(REGEXMATCH(AR252,""(all)""),""X"",if(REGEXMATCH(AR252,""religion""),""X"",""""))"),"")</f>
        <v/>
      </c>
      <c r="Z252" s="800" t="str">
        <f>IFERROR(__xludf.DUMMYFUNCTION("if(REGEXMATCH(AR252,$Z$168),""X"","""")"),"")</f>
        <v/>
      </c>
      <c r="AA252" s="800" t="str">
        <f>IFERROR(__xludf.DUMMYFUNCTION("if(REGEXMATCH(AR252,$AA$168),""X"","""")"),"X")</f>
        <v>X</v>
      </c>
      <c r="AB252" s="734" t="str">
        <f>IFERROR(__xludf.DUMMYFUNCTION("if(REGEXMATCH(AR252,""Perform""),""X"","""")"),"")</f>
        <v/>
      </c>
      <c r="AC252" s="734" t="str">
        <f t="shared" si="19"/>
        <v/>
      </c>
      <c r="AD252" s="734" t="str">
        <f>IFERROR(__xludf.DUMMYFUNCTION("if(REGEXMATCH(AR252,""Profession""),""X"","""")"),"")</f>
        <v/>
      </c>
      <c r="AE252" s="734" t="str">
        <f t="shared" si="20"/>
        <v/>
      </c>
      <c r="AF252" s="800" t="str">
        <f>IFERROR(__xludf.DUMMYFUNCTION("if(REGEXMATCH(AR252,$AF$168),""X"","""")"),"X")</f>
        <v>X</v>
      </c>
      <c r="AG252" s="800" t="str">
        <f>IFERROR(__xludf.DUMMYFUNCTION("if(REGEXMATCH(AR252,$AG$168),""X"","""")"),"")</f>
        <v/>
      </c>
      <c r="AH252" s="800" t="str">
        <f>IFERROR(__xludf.DUMMYFUNCTION("if(REGEXMATCH(AR252,$AH$168),""X"","""")"),"")</f>
        <v/>
      </c>
      <c r="AI252" s="800" t="str">
        <f>IFERROR(__xludf.DUMMYFUNCTION("if(REGEXMATCH(AR252,$AI$168),""X"","""")"),"")</f>
        <v/>
      </c>
      <c r="AJ252" s="739" t="str">
        <f>IFERROR(__xludf.DUMMYFUNCTION("if(REGEXMATCH(AR252,$AJ$168),""X"","""")"),"")</f>
        <v/>
      </c>
      <c r="AK252" s="800" t="str">
        <f>IFERROR(__xludf.DUMMYFUNCTION("if(REGEXMATCH(AR252,$AK$168),""X"","""")"),"X")</f>
        <v>X</v>
      </c>
      <c r="AL252" s="800" t="str">
        <f>IFERROR(__xludf.DUMMYFUNCTION("if(REGEXMATCH(AR252,$AL$168),""X"","""")"),"X")</f>
        <v>X</v>
      </c>
      <c r="AM252" s="800" t="str">
        <f>IFERROR(__xludf.DUMMYFUNCTION("if(REGEXMATCH(AR252,$AM$168),""X"","""")"),"")</f>
        <v/>
      </c>
      <c r="AN252" s="800"/>
      <c r="AO252" s="800"/>
      <c r="AP252" s="800" t="str">
        <f>IFERROR(__xludf.DUMMYFUNCTION("if(REGEXMATCH(AR252,""Craft""),""X"","""")"),"X")</f>
        <v>X</v>
      </c>
      <c r="AQ252" s="800" t="str">
        <f>IFERROR(__xludf.DUMMYFUNCTION("if(REGEXMATCH(AR252,""Knowledge""),""X"","""")"),"X")</f>
        <v>X</v>
      </c>
      <c r="AR252" s="939" t="s">
        <v>1179</v>
      </c>
      <c r="AS252" s="243"/>
      <c r="AT252" s="243"/>
      <c r="AU252" s="243"/>
      <c r="AV252" s="243"/>
      <c r="AW252" s="243"/>
      <c r="AX252" s="243"/>
      <c r="AY252" s="243"/>
      <c r="AZ252" s="243"/>
      <c r="BA252" s="243"/>
      <c r="BB252" s="243"/>
      <c r="BC252" s="243"/>
      <c r="BD252" s="243"/>
      <c r="BE252" s="243"/>
      <c r="BF252" s="243"/>
      <c r="BG252" s="243"/>
      <c r="BH252" s="243"/>
      <c r="BI252" s="243"/>
      <c r="BJ252" s="243"/>
      <c r="BK252" s="243"/>
      <c r="BL252" s="243"/>
    </row>
    <row r="253">
      <c r="A253" s="458" t="s">
        <v>604</v>
      </c>
      <c r="B253" s="734" t="str">
        <f>IFERROR(__xludf.DUMMYFUNCTION("if(REGEXMATCH(AR253,$B$168),""X"","""")"),"X")</f>
        <v>X</v>
      </c>
      <c r="C253" s="734" t="str">
        <f>IFERROR(__xludf.DUMMYFUNCTION("if(REGEXMATCH(AR253,$C$168),""X"","""")"),"X")</f>
        <v>X</v>
      </c>
      <c r="D253" s="800" t="str">
        <f>IFERROR(__xludf.DUMMYFUNCTION("if(REGEXMATCH(AR253,$D$168),""X"","""")"),"")</f>
        <v/>
      </c>
      <c r="E253" s="734" t="str">
        <f>IFERROR(__xludf.DUMMYFUNCTION("if(REGEXMATCH(AR253,$E$168),""X"","""")"),"")</f>
        <v/>
      </c>
      <c r="F253" s="734" t="str">
        <f>IFERROR(__xludf.DUMMYFUNCTION("if(REGEXMATCH(AR253,$F$168),""X"","""")"),"X")</f>
        <v>X</v>
      </c>
      <c r="G253" s="734" t="str">
        <f t="shared" si="18"/>
        <v>X</v>
      </c>
      <c r="H253" s="734" t="str">
        <f>IFERROR(__xludf.DUMMYFUNCTION("if(REGEXMATCH(AR253,$H$168),""X"","""")"),"")</f>
        <v/>
      </c>
      <c r="I253" s="800" t="str">
        <f>IFERROR(__xludf.DUMMYFUNCTION("if(REGEXMATCH(AR253,$I$168),""X"","""")"),"")</f>
        <v/>
      </c>
      <c r="J253" s="800" t="str">
        <f>IFERROR(__xludf.DUMMYFUNCTION("if(REGEXMATCH(AR253,$J$168),""X"","""")"),"")</f>
        <v/>
      </c>
      <c r="K253" s="800" t="str">
        <f>IFERROR(__xludf.DUMMYFUNCTION("if(REGEXMATCH(AR253,$K$168),""X"","""")"),"")</f>
        <v/>
      </c>
      <c r="L253" s="800" t="str">
        <f>IFERROR(__xludf.DUMMYFUNCTION("if(REGEXMATCH(AR253,$L$168),""X"","""")"),"X")</f>
        <v>X</v>
      </c>
      <c r="M253" s="800" t="str">
        <f>IFERROR(__xludf.DUMMYFUNCTION("if(REGEXMATCH(AR253,$M$168),""X"","""")"),"")</f>
        <v/>
      </c>
      <c r="N253" s="800" t="str">
        <f>IFERROR(__xludf.DUMMYFUNCTION("if(REGEXMATCH(AR253,$N$168),""X"","""")"),"")</f>
        <v/>
      </c>
      <c r="O253" s="800" t="str">
        <f>IFERROR(__xludf.DUMMYFUNCTION("if(REGEXMATCH(AR253,$O$168),""X"","""")"),"")</f>
        <v/>
      </c>
      <c r="P253" s="800" t="str">
        <f>IFERROR(__xludf.DUMMYFUNCTION("if(REGEXMATCH(AR253,""(all)""),""X"",if(REGEXMATCH(AR253,""arcana""),""X"",""""))"),"X")</f>
        <v>X</v>
      </c>
      <c r="Q253" s="800" t="str">
        <f>IFERROR(__xludf.DUMMYFUNCTION("if(REGEXMATCH(AR253,""(all)""),""X"",if(REGEXMATCH(AR253,""dungeoneering""),""X"",""""))"),"X")</f>
        <v>X</v>
      </c>
      <c r="R253" s="800" t="str">
        <f>IFERROR(__xludf.DUMMYFUNCTION("if(REGEXMATCH(AR253,""(all)""),""X"",if(REGEXMATCH(AR253,""engineering""),""X"",""""))"),"X")</f>
        <v>X</v>
      </c>
      <c r="S253" s="800" t="str">
        <f>IFERROR(__xludf.DUMMYFUNCTION("if(REGEXMATCH(AR253,""(all)""),""X"",if(REGEXMATCH(AR253,""geography""),""X"",""""))"),"X")</f>
        <v>X</v>
      </c>
      <c r="T253" s="800" t="str">
        <f>IFERROR(__xludf.DUMMYFUNCTION("if(REGEXMATCH(AR253,""(all)""),""X"",if(REGEXMATCH(AR253,""history""),""X"",""""))"),"X")</f>
        <v>X</v>
      </c>
      <c r="U253" s="800" t="str">
        <f>IFERROR(__xludf.DUMMYFUNCTION("if(REGEXMATCH(AR253,""(all)""),""X"",if(REGEXMATCH(AR253,""local""),""X"",""""))"),"X")</f>
        <v>X</v>
      </c>
      <c r="V253" s="800" t="str">
        <f>IFERROR(__xludf.DUMMYFUNCTION("if(REGEXMATCH(AR253,""(all)""),""X"",if(REGEXMATCH(AR253,""nature""),""X"",""""))"),"X")</f>
        <v>X</v>
      </c>
      <c r="W253" s="800" t="str">
        <f>IFERROR(__xludf.DUMMYFUNCTION("if(REGEXMATCH(AR253,""(all)""),""X"",if(REGEXMATCH(AR253,""nobility""),""X"",""""))"),"X")</f>
        <v>X</v>
      </c>
      <c r="X253" s="800" t="str">
        <f>IFERROR(__xludf.DUMMYFUNCTION("if(REGEXMATCH(AR253,""(all)""),""X"",if(REGEXMATCH(AR253,""planes""),""X"",""""))"),"X")</f>
        <v>X</v>
      </c>
      <c r="Y253" s="800" t="str">
        <f>IFERROR(__xludf.DUMMYFUNCTION("if(REGEXMATCH(AR253,""(all)""),""X"",if(REGEXMATCH(AR253,""religion""),""X"",""""))"),"X")</f>
        <v>X</v>
      </c>
      <c r="Z253" s="800" t="str">
        <f>IFERROR(__xludf.DUMMYFUNCTION("if(REGEXMATCH(AR253,$Z$168),""X"","""")"),"X")</f>
        <v>X</v>
      </c>
      <c r="AA253" s="800" t="str">
        <f>IFERROR(__xludf.DUMMYFUNCTION("if(REGEXMATCH(AR253,$AA$168),""X"","""")"),"X")</f>
        <v>X</v>
      </c>
      <c r="AB253" s="734" t="str">
        <f>IFERROR(__xludf.DUMMYFUNCTION("if(REGEXMATCH(AR253,""Perform""),""X"","""")"),"")</f>
        <v/>
      </c>
      <c r="AC253" s="734" t="str">
        <f t="shared" si="19"/>
        <v/>
      </c>
      <c r="AD253" s="734" t="str">
        <f>IFERROR(__xludf.DUMMYFUNCTION("if(REGEXMATCH(AR253,""Profession""),""X"","""")"),"X")</f>
        <v>X</v>
      </c>
      <c r="AE253" s="734" t="str">
        <f t="shared" si="20"/>
        <v>X</v>
      </c>
      <c r="AF253" s="800" t="str">
        <f>IFERROR(__xludf.DUMMYFUNCTION("if(REGEXMATCH(AR253,$AF$168),""X"","""")"),"")</f>
        <v/>
      </c>
      <c r="AG253" s="800" t="str">
        <f>IFERROR(__xludf.DUMMYFUNCTION("if(REGEXMATCH(AR253,$AG$168),""X"","""")"),"X")</f>
        <v>X</v>
      </c>
      <c r="AH253" s="800" t="str">
        <f>IFERROR(__xludf.DUMMYFUNCTION("if(REGEXMATCH(AR253,$AH$168),""X"","""")"),"")</f>
        <v/>
      </c>
      <c r="AI253" s="800" t="str">
        <f>IFERROR(__xludf.DUMMYFUNCTION("if(REGEXMATCH(AR253,$AI$168),""X"","""")"),"X")</f>
        <v>X</v>
      </c>
      <c r="AJ253" s="739" t="str">
        <f>IFERROR(__xludf.DUMMYFUNCTION("if(REGEXMATCH(AR253,$AJ$168),""X"","""")"),"")</f>
        <v/>
      </c>
      <c r="AK253" s="800" t="str">
        <f>IFERROR(__xludf.DUMMYFUNCTION("if(REGEXMATCH(AR253,$AK$168),""X"","""")"),"X")</f>
        <v>X</v>
      </c>
      <c r="AL253" s="800" t="str">
        <f>IFERROR(__xludf.DUMMYFUNCTION("if(REGEXMATCH(AR253,$AL$168),""X"","""")"),"")</f>
        <v/>
      </c>
      <c r="AM253" s="800" t="str">
        <f>IFERROR(__xludf.DUMMYFUNCTION("if(REGEXMATCH(AR253,$AM$168),""X"","""")"),"")</f>
        <v/>
      </c>
      <c r="AN253" s="800"/>
      <c r="AO253" s="800"/>
      <c r="AP253" s="800" t="str">
        <f>IFERROR(__xludf.DUMMYFUNCTION("if(REGEXMATCH(AR253,""Craft""),""X"","""")"),"X")</f>
        <v>X</v>
      </c>
      <c r="AQ253" s="800" t="str">
        <f>IFERROR(__xludf.DUMMYFUNCTION("if(REGEXMATCH(AR253,""Knowledge""),""X"","""")"),"X")</f>
        <v>X</v>
      </c>
      <c r="AR253" s="939" t="s">
        <v>1182</v>
      </c>
      <c r="AS253" s="243"/>
      <c r="AT253" s="243"/>
      <c r="AU253" s="243"/>
      <c r="AV253" s="243"/>
      <c r="AW253" s="243"/>
      <c r="AX253" s="243"/>
      <c r="AY253" s="243"/>
      <c r="AZ253" s="243"/>
      <c r="BA253" s="243"/>
      <c r="BB253" s="243"/>
      <c r="BC253" s="243"/>
      <c r="BD253" s="243"/>
      <c r="BE253" s="243"/>
      <c r="BF253" s="243"/>
      <c r="BG253" s="243"/>
      <c r="BH253" s="243"/>
      <c r="BI253" s="243"/>
      <c r="BJ253" s="243"/>
      <c r="BK253" s="243"/>
      <c r="BL253" s="243"/>
    </row>
    <row r="254">
      <c r="A254" s="458" t="s">
        <v>606</v>
      </c>
      <c r="B254" s="734" t="str">
        <f>IFERROR(__xludf.DUMMYFUNCTION("if(REGEXMATCH(AR254,$B$168),""X"","""")"),"")</f>
        <v/>
      </c>
      <c r="C254" s="734" t="str">
        <f>IFERROR(__xludf.DUMMYFUNCTION("if(REGEXMATCH(AR254,$C$168),""X"","""")"),"X")</f>
        <v>X</v>
      </c>
      <c r="D254" s="800" t="str">
        <f>IFERROR(__xludf.DUMMYFUNCTION("if(REGEXMATCH(AR254,$D$168),""X"","""")"),"")</f>
        <v/>
      </c>
      <c r="E254" s="734" t="str">
        <f>IFERROR(__xludf.DUMMYFUNCTION("if(REGEXMATCH(AR254,$E$168),""X"","""")"),"")</f>
        <v/>
      </c>
      <c r="F254" s="734" t="str">
        <f>IFERROR(__xludf.DUMMYFUNCTION("if(REGEXMATCH(AR254,$F$168),""X"","""")"),"X")</f>
        <v>X</v>
      </c>
      <c r="G254" s="734" t="str">
        <f t="shared" si="18"/>
        <v>X</v>
      </c>
      <c r="H254" s="734" t="str">
        <f>IFERROR(__xludf.DUMMYFUNCTION("if(REGEXMATCH(AR254,$H$168),""X"","""")"),"")</f>
        <v/>
      </c>
      <c r="I254" s="800" t="str">
        <f>IFERROR(__xludf.DUMMYFUNCTION("if(REGEXMATCH(AR254,$I$168),""X"","""")"),"X")</f>
        <v>X</v>
      </c>
      <c r="J254" s="800" t="str">
        <f>IFERROR(__xludf.DUMMYFUNCTION("if(REGEXMATCH(AR254,$J$168),""X"","""")"),"")</f>
        <v/>
      </c>
      <c r="K254" s="800" t="str">
        <f>IFERROR(__xludf.DUMMYFUNCTION("if(REGEXMATCH(AR254,$K$168),""X"","""")"),"")</f>
        <v/>
      </c>
      <c r="L254" s="800" t="str">
        <f>IFERROR(__xludf.DUMMYFUNCTION("if(REGEXMATCH(AR254,$L$168),""X"","""")"),"X")</f>
        <v>X</v>
      </c>
      <c r="M254" s="800" t="str">
        <f>IFERROR(__xludf.DUMMYFUNCTION("if(REGEXMATCH(AR254,$M$168),""X"","""")"),"")</f>
        <v/>
      </c>
      <c r="N254" s="800" t="str">
        <f>IFERROR(__xludf.DUMMYFUNCTION("if(REGEXMATCH(AR254,$N$168),""X"","""")"),"X")</f>
        <v>X</v>
      </c>
      <c r="O254" s="800" t="str">
        <f>IFERROR(__xludf.DUMMYFUNCTION("if(REGEXMATCH(AR254,$O$168),""X"","""")"),"")</f>
        <v/>
      </c>
      <c r="P254" s="800" t="str">
        <f>IFERROR(__xludf.DUMMYFUNCTION("if(REGEXMATCH(AR254,""(all)""),""X"",if(REGEXMATCH(AR254,""arcana""),""X"",""""))"),"X")</f>
        <v>X</v>
      </c>
      <c r="Q254" s="800" t="str">
        <f>IFERROR(__xludf.DUMMYFUNCTION("if(REGEXMATCH(AR254,""(all)""),""X"",if(REGEXMATCH(AR254,""dungeoneering""),""X"",""""))"),"")</f>
        <v/>
      </c>
      <c r="R254" s="800" t="str">
        <f>IFERROR(__xludf.DUMMYFUNCTION("if(REGEXMATCH(AR254,""(all)""),""X"",if(REGEXMATCH(AR254,""engineering""),""X"",""""))"),"")</f>
        <v/>
      </c>
      <c r="S254" s="800" t="str">
        <f>IFERROR(__xludf.DUMMYFUNCTION("if(REGEXMATCH(AR254,""(all)""),""X"",if(REGEXMATCH(AR254,""geography""),""X"",""""))"),"")</f>
        <v/>
      </c>
      <c r="T254" s="800" t="str">
        <f>IFERROR(__xludf.DUMMYFUNCTION("if(REGEXMATCH(AR254,""(all)""),""X"",if(REGEXMATCH(AR254,""history""),""X"",""""))"),"")</f>
        <v/>
      </c>
      <c r="U254" s="800" t="str">
        <f>IFERROR(__xludf.DUMMYFUNCTION("if(REGEXMATCH(AR254,""(all)""),""X"",if(REGEXMATCH(AR254,""local""),""X"",""""))"),"")</f>
        <v/>
      </c>
      <c r="V254" s="800" t="str">
        <f>IFERROR(__xludf.DUMMYFUNCTION("if(REGEXMATCH(AR254,""(all)""),""X"",if(REGEXMATCH(AR254,""nature""),""X"",""""))"),"X")</f>
        <v>X</v>
      </c>
      <c r="W254" s="800" t="str">
        <f>IFERROR(__xludf.DUMMYFUNCTION("if(REGEXMATCH(AR254,""(all)""),""X"",if(REGEXMATCH(AR254,""nobility""),""X"",""""))"),"")</f>
        <v/>
      </c>
      <c r="X254" s="800" t="str">
        <f>IFERROR(__xludf.DUMMYFUNCTION("if(REGEXMATCH(AR254,""(all)""),""X"",if(REGEXMATCH(AR254,""planes""),""X"",""""))"),"")</f>
        <v/>
      </c>
      <c r="Y254" s="800" t="str">
        <f>IFERROR(__xludf.DUMMYFUNCTION("if(REGEXMATCH(AR254,""(all)""),""X"",if(REGEXMATCH(AR254,""religion""),""X"",""""))"),"")</f>
        <v/>
      </c>
      <c r="Z254" s="800" t="str">
        <f>IFERROR(__xludf.DUMMYFUNCTION("if(REGEXMATCH(AR254,$Z$168),""X"","""")"),"")</f>
        <v/>
      </c>
      <c r="AA254" s="800" t="str">
        <f>IFERROR(__xludf.DUMMYFUNCTION("if(REGEXMATCH(AR254,$AA$168),""X"","""")"),"X")</f>
        <v>X</v>
      </c>
      <c r="AB254" s="734" t="str">
        <f>IFERROR(__xludf.DUMMYFUNCTION("if(REGEXMATCH(AR254,""Perform""),""X"","""")"),"")</f>
        <v/>
      </c>
      <c r="AC254" s="734" t="str">
        <f t="shared" si="19"/>
        <v/>
      </c>
      <c r="AD254" s="734" t="str">
        <f>IFERROR(__xludf.DUMMYFUNCTION("if(REGEXMATCH(AR254,""Profession""),""X"","""")"),"X")</f>
        <v>X</v>
      </c>
      <c r="AE254" s="734" t="str">
        <f t="shared" si="20"/>
        <v>X</v>
      </c>
      <c r="AF254" s="800" t="str">
        <f>IFERROR(__xludf.DUMMYFUNCTION("if(REGEXMATCH(AR254,$AF$168),""X"","""")"),"")</f>
        <v/>
      </c>
      <c r="AG254" s="800" t="str">
        <f>IFERROR(__xludf.DUMMYFUNCTION("if(REGEXMATCH(AR254,$AG$168),""X"","""")"),"")</f>
        <v/>
      </c>
      <c r="AH254" s="800" t="str">
        <f>IFERROR(__xludf.DUMMYFUNCTION("if(REGEXMATCH(AR254,$AH$168),""X"","""")"),"X")</f>
        <v>X</v>
      </c>
      <c r="AI254" s="800" t="str">
        <f>IFERROR(__xludf.DUMMYFUNCTION("if(REGEXMATCH(AR254,$AI$168),""X"","""")"),"X")</f>
        <v>X</v>
      </c>
      <c r="AJ254" s="739" t="str">
        <f>IFERROR(__xludf.DUMMYFUNCTION("if(REGEXMATCH(AR254,$AJ$168),""X"","""")"),"")</f>
        <v/>
      </c>
      <c r="AK254" s="800" t="str">
        <f>IFERROR(__xludf.DUMMYFUNCTION("if(REGEXMATCH(AR254,$AK$168),""X"","""")"),"X")</f>
        <v>X</v>
      </c>
      <c r="AL254" s="800" t="str">
        <f>IFERROR(__xludf.DUMMYFUNCTION("if(REGEXMATCH(AR254,$AL$168),""X"","""")"),"")</f>
        <v/>
      </c>
      <c r="AM254" s="800" t="str">
        <f>IFERROR(__xludf.DUMMYFUNCTION("if(REGEXMATCH(AR254,$AM$168),""X"","""")"),"X")</f>
        <v>X</v>
      </c>
      <c r="AN254" s="800"/>
      <c r="AO254" s="800"/>
      <c r="AP254" s="800" t="str">
        <f>IFERROR(__xludf.DUMMYFUNCTION("if(REGEXMATCH(AR254,""Craft""),""X"","""")"),"X")</f>
        <v>X</v>
      </c>
      <c r="AQ254" s="800" t="str">
        <f>IFERROR(__xludf.DUMMYFUNCTION("if(REGEXMATCH(AR254,""Knowledge""),""X"","""")"),"X")</f>
        <v>X</v>
      </c>
      <c r="AR254" s="939" t="s">
        <v>1185</v>
      </c>
      <c r="AS254" s="243"/>
      <c r="AT254" s="243"/>
      <c r="AU254" s="243"/>
      <c r="AV254" s="243"/>
      <c r="AW254" s="243"/>
      <c r="AX254" s="243"/>
      <c r="AY254" s="243"/>
      <c r="AZ254" s="243"/>
      <c r="BA254" s="243"/>
      <c r="BB254" s="243"/>
      <c r="BC254" s="243"/>
      <c r="BD254" s="243"/>
      <c r="BE254" s="243"/>
      <c r="BF254" s="243"/>
      <c r="BG254" s="243"/>
      <c r="BH254" s="243"/>
      <c r="BI254" s="243"/>
      <c r="BJ254" s="243"/>
      <c r="BK254" s="243"/>
      <c r="BL254" s="243"/>
    </row>
    <row r="255">
      <c r="A255" s="458" t="s">
        <v>607</v>
      </c>
      <c r="B255" s="734" t="str">
        <f>IFERROR(__xludf.DUMMYFUNCTION("if(REGEXMATCH(AR255,$B$168),""X"","""")"),"")</f>
        <v/>
      </c>
      <c r="C255" s="734" t="str">
        <f>IFERROR(__xludf.DUMMYFUNCTION("if(REGEXMATCH(AR255,$C$168),""X"","""")"),"")</f>
        <v/>
      </c>
      <c r="D255" s="800" t="str">
        <f>IFERROR(__xludf.DUMMYFUNCTION("if(REGEXMATCH(AR255,$D$168),""X"","""")"),"X")</f>
        <v>X</v>
      </c>
      <c r="E255" s="734" t="str">
        <f>IFERROR(__xludf.DUMMYFUNCTION("if(REGEXMATCH(AR255,$E$168),""X"","""")"),"X")</f>
        <v>X</v>
      </c>
      <c r="F255" s="734" t="str">
        <f>IFERROR(__xludf.DUMMYFUNCTION("if(REGEXMATCH(AR255,$F$168),""X"","""")"),"X")</f>
        <v>X</v>
      </c>
      <c r="G255" s="734" t="str">
        <f t="shared" si="18"/>
        <v>X</v>
      </c>
      <c r="H255" s="734" t="str">
        <f>IFERROR(__xludf.DUMMYFUNCTION("if(REGEXMATCH(AR255,$H$168),""X"","""")"),"X")</f>
        <v>X</v>
      </c>
      <c r="I255" s="800" t="str">
        <f>IFERROR(__xludf.DUMMYFUNCTION("if(REGEXMATCH(AR255,$I$168),""X"","""")"),"")</f>
        <v/>
      </c>
      <c r="J255" s="800" t="str">
        <f>IFERROR(__xludf.DUMMYFUNCTION("if(REGEXMATCH(AR255,$J$168),""X"","""")"),"")</f>
        <v/>
      </c>
      <c r="K255" s="800" t="str">
        <f>IFERROR(__xludf.DUMMYFUNCTION("if(REGEXMATCH(AR255,$K$168),""X"","""")"),"")</f>
        <v/>
      </c>
      <c r="L255" s="800" t="str">
        <f>IFERROR(__xludf.DUMMYFUNCTION("if(REGEXMATCH(AR255,$L$168),""X"","""")"),"")</f>
        <v/>
      </c>
      <c r="M255" s="800" t="str">
        <f>IFERROR(__xludf.DUMMYFUNCTION("if(REGEXMATCH(AR255,$M$168),""X"","""")"),"X")</f>
        <v>X</v>
      </c>
      <c r="N255" s="800" t="str">
        <f>IFERROR(__xludf.DUMMYFUNCTION("if(REGEXMATCH(AR255,$N$168),""X"","""")"),"")</f>
        <v/>
      </c>
      <c r="O255" s="800" t="str">
        <f>IFERROR(__xludf.DUMMYFUNCTION("if(REGEXMATCH(AR255,$O$168),""X"","""")"),"X")</f>
        <v>X</v>
      </c>
      <c r="P255" s="800" t="str">
        <f>IFERROR(__xludf.DUMMYFUNCTION("if(REGEXMATCH(AR255,""(all)""),""X"",if(REGEXMATCH(AR255,""arcana""),""X"",""""))"),"")</f>
        <v/>
      </c>
      <c r="Q255" s="800" t="str">
        <f>IFERROR(__xludf.DUMMYFUNCTION("if(REGEXMATCH(AR255,""(all)""),""X"",if(REGEXMATCH(AR255,""dungeoneering""),""X"",""""))"),"")</f>
        <v/>
      </c>
      <c r="R255" s="800" t="str">
        <f>IFERROR(__xludf.DUMMYFUNCTION("if(REGEXMATCH(AR255,""(all)""),""X"",if(REGEXMATCH(AR255,""engineering""),""X"",""""))"),"")</f>
        <v/>
      </c>
      <c r="S255" s="800" t="str">
        <f>IFERROR(__xludf.DUMMYFUNCTION("if(REGEXMATCH(AR255,""(all)""),""X"",if(REGEXMATCH(AR255,""geography""),""X"",""""))"),"")</f>
        <v/>
      </c>
      <c r="T255" s="800" t="str">
        <f>IFERROR(__xludf.DUMMYFUNCTION("if(REGEXMATCH(AR255,""(all)""),""X"",if(REGEXMATCH(AR255,""history""),""X"",""""))"),"")</f>
        <v/>
      </c>
      <c r="U255" s="800" t="str">
        <f>IFERROR(__xludf.DUMMYFUNCTION("if(REGEXMATCH(AR255,""(all)""),""X"",if(REGEXMATCH(AR255,""local""),""X"",""""))"),"")</f>
        <v/>
      </c>
      <c r="V255" s="800" t="str">
        <f>IFERROR(__xludf.DUMMYFUNCTION("if(REGEXMATCH(AR255,""(all)""),""X"",if(REGEXMATCH(AR255,""nature""),""X"",""""))"),"")</f>
        <v/>
      </c>
      <c r="W255" s="800" t="str">
        <f>IFERROR(__xludf.DUMMYFUNCTION("if(REGEXMATCH(AR255,""(all)""),""X"",if(REGEXMATCH(AR255,""nobility""),""X"",""""))"),"X")</f>
        <v>X</v>
      </c>
      <c r="X255" s="800" t="str">
        <f>IFERROR(__xludf.DUMMYFUNCTION("if(REGEXMATCH(AR255,""(all)""),""X"",if(REGEXMATCH(AR255,""planes""),""X"",""""))"),"")</f>
        <v/>
      </c>
      <c r="Y255" s="800" t="str">
        <f>IFERROR(__xludf.DUMMYFUNCTION("if(REGEXMATCH(AR255,""(all)""),""X"",if(REGEXMATCH(AR255,""religion""),""X"",""""))"),"")</f>
        <v/>
      </c>
      <c r="Z255" s="800" t="str">
        <f>IFERROR(__xludf.DUMMYFUNCTION("if(REGEXMATCH(AR255,$Z$168),""X"","""")"),"")</f>
        <v/>
      </c>
      <c r="AA255" s="800" t="str">
        <f>IFERROR(__xludf.DUMMYFUNCTION("if(REGEXMATCH(AR255,$AA$168),""X"","""")"),"")</f>
        <v/>
      </c>
      <c r="AB255" s="734" t="str">
        <f>IFERROR(__xludf.DUMMYFUNCTION("if(REGEXMATCH(AR255,""Perform""),""X"","""")"),"")</f>
        <v/>
      </c>
      <c r="AC255" s="734" t="str">
        <f t="shared" si="19"/>
        <v/>
      </c>
      <c r="AD255" s="734" t="str">
        <f>IFERROR(__xludf.DUMMYFUNCTION("if(REGEXMATCH(AR255,""Profession""),""X"","""")"),"X")</f>
        <v>X</v>
      </c>
      <c r="AE255" s="734" t="str">
        <f t="shared" si="20"/>
        <v>X</v>
      </c>
      <c r="AF255" s="800" t="str">
        <f>IFERROR(__xludf.DUMMYFUNCTION("if(REGEXMATCH(AR255,$AF$168),""X"","""")"),"X")</f>
        <v>X</v>
      </c>
      <c r="AG255" s="800" t="str">
        <f>IFERROR(__xludf.DUMMYFUNCTION("if(REGEXMATCH(AR255,$AG$168),""X"","""")"),"X")</f>
        <v>X</v>
      </c>
      <c r="AH255" s="800" t="str">
        <f>IFERROR(__xludf.DUMMYFUNCTION("if(REGEXMATCH(AR255,$AH$168),""X"","""")"),"")</f>
        <v/>
      </c>
      <c r="AI255" s="800" t="str">
        <f>IFERROR(__xludf.DUMMYFUNCTION("if(REGEXMATCH(AR255,$AI$168),""X"","""")"),"")</f>
        <v/>
      </c>
      <c r="AJ255" s="739" t="str">
        <f>IFERROR(__xludf.DUMMYFUNCTION("if(REGEXMATCH(AR255,$AJ$168),""X"","""")"),"")</f>
        <v/>
      </c>
      <c r="AK255" s="800" t="str">
        <f>IFERROR(__xludf.DUMMYFUNCTION("if(REGEXMATCH(AR255,$AK$168),""X"","""")"),"")</f>
        <v/>
      </c>
      <c r="AL255" s="800" t="str">
        <f>IFERROR(__xludf.DUMMYFUNCTION("if(REGEXMATCH(AR255,$AL$168),""X"","""")"),"X")</f>
        <v>X</v>
      </c>
      <c r="AM255" s="800" t="str">
        <f>IFERROR(__xludf.DUMMYFUNCTION("if(REGEXMATCH(AR255,$AM$168),""X"","""")"),"")</f>
        <v/>
      </c>
      <c r="AN255" s="800"/>
      <c r="AO255" s="800"/>
      <c r="AP255" s="800" t="str">
        <f>IFERROR(__xludf.DUMMYFUNCTION("if(REGEXMATCH(AR255,""Craft""),""X"","""")"),"X")</f>
        <v>X</v>
      </c>
      <c r="AQ255" s="800" t="str">
        <f>IFERROR(__xludf.DUMMYFUNCTION("if(REGEXMATCH(AR255,""Knowledge""),""X"","""")"),"X")</f>
        <v>X</v>
      </c>
      <c r="AR255" s="939" t="s">
        <v>1189</v>
      </c>
      <c r="AS255" s="243"/>
      <c r="AT255" s="243"/>
      <c r="AU255" s="243"/>
      <c r="AV255" s="243"/>
      <c r="AW255" s="243"/>
      <c r="AX255" s="243"/>
      <c r="AY255" s="243"/>
      <c r="AZ255" s="243"/>
      <c r="BA255" s="243"/>
      <c r="BB255" s="243"/>
      <c r="BC255" s="243"/>
      <c r="BD255" s="243"/>
      <c r="BE255" s="243"/>
      <c r="BF255" s="243"/>
      <c r="BG255" s="243"/>
      <c r="BH255" s="243"/>
      <c r="BI255" s="243"/>
      <c r="BJ255" s="243"/>
      <c r="BK255" s="243"/>
      <c r="BL255" s="243"/>
    </row>
    <row r="256">
      <c r="A256" s="458" t="s">
        <v>182</v>
      </c>
      <c r="B256" s="734" t="str">
        <f>IFERROR(__xludf.DUMMYFUNCTION("if(REGEXMATCH(AR256,$B$168),""X"","""")"),"")</f>
        <v/>
      </c>
      <c r="C256" s="734" t="str">
        <f>IFERROR(__xludf.DUMMYFUNCTION("if(REGEXMATCH(AR256,$C$168),""X"","""")"),"X")</f>
        <v>X</v>
      </c>
      <c r="D256" s="800" t="str">
        <f>IFERROR(__xludf.DUMMYFUNCTION("if(REGEXMATCH(AR256,$D$168),""X"","""")"),"")</f>
        <v/>
      </c>
      <c r="E256" s="734" t="str">
        <f>IFERROR(__xludf.DUMMYFUNCTION("if(REGEXMATCH(AR256,$E$168),""X"","""")"),"")</f>
        <v/>
      </c>
      <c r="F256" s="734" t="str">
        <f>IFERROR(__xludf.DUMMYFUNCTION("if(REGEXMATCH(AR256,$F$168),""X"","""")"),"X")</f>
        <v>X</v>
      </c>
      <c r="G256" s="734" t="str">
        <f t="shared" si="18"/>
        <v>X</v>
      </c>
      <c r="H256" s="734" t="str">
        <f>IFERROR(__xludf.DUMMYFUNCTION("if(REGEXMATCH(AR256,$H$168),""X"","""")"),"X")</f>
        <v>X</v>
      </c>
      <c r="I256" s="800" t="str">
        <f>IFERROR(__xludf.DUMMYFUNCTION("if(REGEXMATCH(AR256,$I$168),""X"","""")"),"")</f>
        <v/>
      </c>
      <c r="J256" s="800" t="str">
        <f>IFERROR(__xludf.DUMMYFUNCTION("if(REGEXMATCH(AR256,$J$168),""X"","""")"),"")</f>
        <v/>
      </c>
      <c r="K256" s="800" t="str">
        <f>IFERROR(__xludf.DUMMYFUNCTION("if(REGEXMATCH(AR256,$K$168),""X"","""")"),"")</f>
        <v/>
      </c>
      <c r="L256" s="800" t="str">
        <f>IFERROR(__xludf.DUMMYFUNCTION("if(REGEXMATCH(AR256,$L$168),""X"","""")"),"")</f>
        <v/>
      </c>
      <c r="M256" s="800" t="str">
        <f>IFERROR(__xludf.DUMMYFUNCTION("if(REGEXMATCH(AR256,$M$168),""X"","""")"),"")</f>
        <v/>
      </c>
      <c r="N256" s="800" t="str">
        <f>IFERROR(__xludf.DUMMYFUNCTION("if(REGEXMATCH(AR256,$N$168),""X"","""")"),"X")</f>
        <v>X</v>
      </c>
      <c r="O256" s="800" t="str">
        <f>IFERROR(__xludf.DUMMYFUNCTION("if(REGEXMATCH(AR256,$O$168),""X"","""")"),"")</f>
        <v/>
      </c>
      <c r="P256" s="800" t="str">
        <f>IFERROR(__xludf.DUMMYFUNCTION("if(REGEXMATCH(AR256,""(all)""),""X"",if(REGEXMATCH(AR256,""arcana""),""X"",""""))"),"X")</f>
        <v>X</v>
      </c>
      <c r="Q256" s="800" t="str">
        <f>IFERROR(__xludf.DUMMYFUNCTION("if(REGEXMATCH(AR256,""(all)""),""X"",if(REGEXMATCH(AR256,""dungeoneering""),""X"",""""))"),"")</f>
        <v/>
      </c>
      <c r="R256" s="800" t="str">
        <f>IFERROR(__xludf.DUMMYFUNCTION("if(REGEXMATCH(AR256,""(all)""),""X"",if(REGEXMATCH(AR256,""engineering""),""X"",""""))"),"")</f>
        <v/>
      </c>
      <c r="S256" s="800" t="str">
        <f>IFERROR(__xludf.DUMMYFUNCTION("if(REGEXMATCH(AR256,""(all)""),""X"",if(REGEXMATCH(AR256,""geography""),""X"",""""))"),"")</f>
        <v/>
      </c>
      <c r="T256" s="800" t="str">
        <f>IFERROR(__xludf.DUMMYFUNCTION("if(REGEXMATCH(AR256,""(all)""),""X"",if(REGEXMATCH(AR256,""history""),""X"",""""))"),"X")</f>
        <v>X</v>
      </c>
      <c r="U256" s="800" t="str">
        <f>IFERROR(__xludf.DUMMYFUNCTION("if(REGEXMATCH(AR256,""(all)""),""X"",if(REGEXMATCH(AR256,""local""),""X"",""""))"),"")</f>
        <v/>
      </c>
      <c r="V256" s="800" t="str">
        <f>IFERROR(__xludf.DUMMYFUNCTION("if(REGEXMATCH(AR256,""(all)""),""X"",if(REGEXMATCH(AR256,""nature""),""X"",""""))"),"")</f>
        <v/>
      </c>
      <c r="W256" s="800" t="str">
        <f>IFERROR(__xludf.DUMMYFUNCTION("if(REGEXMATCH(AR256,""(all)""),""X"",if(REGEXMATCH(AR256,""nobility""),""X"",""""))"),"X")</f>
        <v>X</v>
      </c>
      <c r="X256" s="800" t="str">
        <f>IFERROR(__xludf.DUMMYFUNCTION("if(REGEXMATCH(AR256,""(all)""),""X"",if(REGEXMATCH(AR256,""planes""),""X"",""""))"),"X")</f>
        <v>X</v>
      </c>
      <c r="Y256" s="800" t="str">
        <f>IFERROR(__xludf.DUMMYFUNCTION("if(REGEXMATCH(AR256,""(all)""),""X"",if(REGEXMATCH(AR256,""religion""),""X"",""""))"),"X")</f>
        <v>X</v>
      </c>
      <c r="Z256" s="800" t="str">
        <f>IFERROR(__xludf.DUMMYFUNCTION("if(REGEXMATCH(AR256,$Z$168),""X"","""")"),"X")</f>
        <v>X</v>
      </c>
      <c r="AA256" s="800" t="str">
        <f>IFERROR(__xludf.DUMMYFUNCTION("if(REGEXMATCH(AR256,$AA$168),""X"","""")"),"")</f>
        <v/>
      </c>
      <c r="AB256" s="734" t="str">
        <f>IFERROR(__xludf.DUMMYFUNCTION("if(REGEXMATCH(AR256,""Perform""),""X"","""")"),"")</f>
        <v/>
      </c>
      <c r="AC256" s="734" t="str">
        <f t="shared" si="19"/>
        <v/>
      </c>
      <c r="AD256" s="734" t="str">
        <f>IFERROR(__xludf.DUMMYFUNCTION("if(REGEXMATCH(AR256,""Profession""),""X"","""")"),"X")</f>
        <v>X</v>
      </c>
      <c r="AE256" s="734" t="str">
        <f t="shared" si="20"/>
        <v>X</v>
      </c>
      <c r="AF256" s="800" t="str">
        <f>IFERROR(__xludf.DUMMYFUNCTION("if(REGEXMATCH(AR256,$AF$168),""X"","""")"),"")</f>
        <v/>
      </c>
      <c r="AG256" s="800" t="str">
        <f>IFERROR(__xludf.DUMMYFUNCTION("if(REGEXMATCH(AR256,$AG$168),""X"","""")"),"X")</f>
        <v>X</v>
      </c>
      <c r="AH256" s="800" t="str">
        <f>IFERROR(__xludf.DUMMYFUNCTION("if(REGEXMATCH(AR256,$AH$168),""X"","""")"),"")</f>
        <v/>
      </c>
      <c r="AI256" s="800" t="str">
        <f>IFERROR(__xludf.DUMMYFUNCTION("if(REGEXMATCH(AR256,$AI$168),""X"","""")"),"X")</f>
        <v>X</v>
      </c>
      <c r="AJ256" s="739" t="str">
        <f>IFERROR(__xludf.DUMMYFUNCTION("if(REGEXMATCH(AR256,$AJ$168),""X"","""")"),"")</f>
        <v/>
      </c>
      <c r="AK256" s="800" t="str">
        <f>IFERROR(__xludf.DUMMYFUNCTION("if(REGEXMATCH(AR256,$AK$168),""X"","""")"),"")</f>
        <v/>
      </c>
      <c r="AL256" s="800" t="str">
        <f>IFERROR(__xludf.DUMMYFUNCTION("if(REGEXMATCH(AR256,$AL$168),""X"","""")"),"")</f>
        <v/>
      </c>
      <c r="AM256" s="800" t="str">
        <f>IFERROR(__xludf.DUMMYFUNCTION("if(REGEXMATCH(AR256,$AM$168),""X"","""")"),"")</f>
        <v/>
      </c>
      <c r="AN256" s="800"/>
      <c r="AO256" s="800"/>
      <c r="AP256" s="800" t="str">
        <f>IFERROR(__xludf.DUMMYFUNCTION("if(REGEXMATCH(AR256,""Craft""),""X"","""")"),"X")</f>
        <v>X</v>
      </c>
      <c r="AQ256" s="800" t="str">
        <f>IFERROR(__xludf.DUMMYFUNCTION("if(REGEXMATCH(AR256,""Knowledge""),""X"","""")"),"X")</f>
        <v>X</v>
      </c>
      <c r="AR256" s="939" t="s">
        <v>1190</v>
      </c>
      <c r="AS256" s="243"/>
      <c r="AT256" s="243"/>
      <c r="AU256" s="243"/>
      <c r="AV256" s="243"/>
      <c r="AW256" s="243"/>
      <c r="AX256" s="243"/>
      <c r="AY256" s="243"/>
      <c r="AZ256" s="243"/>
      <c r="BA256" s="243"/>
      <c r="BB256" s="243"/>
      <c r="BC256" s="243"/>
      <c r="BD256" s="243"/>
      <c r="BE256" s="243"/>
      <c r="BF256" s="243"/>
      <c r="BG256" s="243"/>
      <c r="BH256" s="243"/>
      <c r="BI256" s="243"/>
      <c r="BJ256" s="243"/>
      <c r="BK256" s="243"/>
      <c r="BL256" s="243"/>
    </row>
    <row r="257">
      <c r="A257" s="458" t="s">
        <v>610</v>
      </c>
      <c r="B257" s="734" t="str">
        <f>IFERROR(__xludf.DUMMYFUNCTION("if(REGEXMATCH(AR257,$B$168),""X"","""")"),"")</f>
        <v/>
      </c>
      <c r="C257" s="734" t="str">
        <f>IFERROR(__xludf.DUMMYFUNCTION("if(REGEXMATCH(AR257,$C$168),""X"","""")"),"")</f>
        <v/>
      </c>
      <c r="D257" s="800" t="str">
        <f>IFERROR(__xludf.DUMMYFUNCTION("if(REGEXMATCH(AR257,$D$168),""X"","""")"),"X")</f>
        <v>X</v>
      </c>
      <c r="E257" s="734" t="str">
        <f>IFERROR(__xludf.DUMMYFUNCTION("if(REGEXMATCH(AR257,$E$168),""X"","""")"),"")</f>
        <v/>
      </c>
      <c r="F257" s="734" t="str">
        <f>IFERROR(__xludf.DUMMYFUNCTION("if(REGEXMATCH(AR257,$F$168),""X"","""")"),"X")</f>
        <v>X</v>
      </c>
      <c r="G257" s="734" t="str">
        <f t="shared" si="18"/>
        <v>X</v>
      </c>
      <c r="H257" s="734" t="str">
        <f>IFERROR(__xludf.DUMMYFUNCTION("if(REGEXMATCH(AR257,$H$168),""X"","""")"),"")</f>
        <v/>
      </c>
      <c r="I257" s="800" t="str">
        <f>IFERROR(__xludf.DUMMYFUNCTION("if(REGEXMATCH(AR257,$I$168),""X"","""")"),"")</f>
        <v/>
      </c>
      <c r="J257" s="800" t="str">
        <f>IFERROR(__xludf.DUMMYFUNCTION("if(REGEXMATCH(AR257,$J$168),""X"","""")"),"X")</f>
        <v>X</v>
      </c>
      <c r="K257" s="800" t="str">
        <f>IFERROR(__xludf.DUMMYFUNCTION("if(REGEXMATCH(AR257,$K$168),""X"","""")"),"")</f>
        <v/>
      </c>
      <c r="L257" s="800" t="str">
        <f>IFERROR(__xludf.DUMMYFUNCTION("if(REGEXMATCH(AR257,$L$168),""X"","""")"),"")</f>
        <v/>
      </c>
      <c r="M257" s="800" t="str">
        <f>IFERROR(__xludf.DUMMYFUNCTION("if(REGEXMATCH(AR257,$M$168),""X"","""")"),"X")</f>
        <v>X</v>
      </c>
      <c r="N257" s="800" t="str">
        <f>IFERROR(__xludf.DUMMYFUNCTION("if(REGEXMATCH(AR257,$N$168),""X"","""")"),"")</f>
        <v/>
      </c>
      <c r="O257" s="800" t="str">
        <f>IFERROR(__xludf.DUMMYFUNCTION("if(REGEXMATCH(AR257,$O$168),""X"","""")"),"X")</f>
        <v>X</v>
      </c>
      <c r="P257" s="800" t="str">
        <f>IFERROR(__xludf.DUMMYFUNCTION("if(REGEXMATCH(AR257,""(all)""),""X"",if(REGEXMATCH(AR257,""arcana""),""X"",""""))"),"")</f>
        <v/>
      </c>
      <c r="Q257" s="800" t="str">
        <f>IFERROR(__xludf.DUMMYFUNCTION("if(REGEXMATCH(AR257,""(all)""),""X"",if(REGEXMATCH(AR257,""dungeoneering""),""X"",""""))"),"")</f>
        <v/>
      </c>
      <c r="R257" s="800" t="str">
        <f>IFERROR(__xludf.DUMMYFUNCTION("if(REGEXMATCH(AR257,""(all)""),""X"",if(REGEXMATCH(AR257,""engineering""),""X"",""""))"),"")</f>
        <v/>
      </c>
      <c r="S257" s="800" t="str">
        <f>IFERROR(__xludf.DUMMYFUNCTION("if(REGEXMATCH(AR257,""(all)""),""X"",if(REGEXMATCH(AR257,""geography""),""X"",""""))"),"")</f>
        <v/>
      </c>
      <c r="T257" s="800" t="str">
        <f>IFERROR(__xludf.DUMMYFUNCTION("if(REGEXMATCH(AR257,""(all)""),""X"",if(REGEXMATCH(AR257,""history""),""X"",""""))"),"")</f>
        <v/>
      </c>
      <c r="U257" s="800" t="str">
        <f>IFERROR(__xludf.DUMMYFUNCTION("if(REGEXMATCH(AR257,""(all)""),""X"",if(REGEXMATCH(AR257,""local""),""X"",""""))"),"")</f>
        <v/>
      </c>
      <c r="V257" s="800" t="str">
        <f>IFERROR(__xludf.DUMMYFUNCTION("if(REGEXMATCH(AR257,""(all)""),""X"",if(REGEXMATCH(AR257,""nature""),""X"",""""))"),"")</f>
        <v/>
      </c>
      <c r="W257" s="800" t="str">
        <f>IFERROR(__xludf.DUMMYFUNCTION("if(REGEXMATCH(AR257,""(all)""),""X"",if(REGEXMATCH(AR257,""nobility""),""X"",""""))"),"X")</f>
        <v>X</v>
      </c>
      <c r="X257" s="800" t="str">
        <f>IFERROR(__xludf.DUMMYFUNCTION("if(REGEXMATCH(AR257,""(all)""),""X"",if(REGEXMATCH(AR257,""planes""),""X"",""""))"),"")</f>
        <v/>
      </c>
      <c r="Y257" s="800" t="str">
        <f>IFERROR(__xludf.DUMMYFUNCTION("if(REGEXMATCH(AR257,""(all)""),""X"",if(REGEXMATCH(AR257,""religion""),""X"",""""))"),"X")</f>
        <v>X</v>
      </c>
      <c r="Z257" s="800" t="str">
        <f>IFERROR(__xludf.DUMMYFUNCTION("if(REGEXMATCH(AR257,$Z$168),""X"","""")"),"")</f>
        <v/>
      </c>
      <c r="AA257" s="800" t="str">
        <f>IFERROR(__xludf.DUMMYFUNCTION("if(REGEXMATCH(AR257,$AA$168),""X"","""")"),"")</f>
        <v/>
      </c>
      <c r="AB257" s="734" t="str">
        <f>IFERROR(__xludf.DUMMYFUNCTION("if(REGEXMATCH(AR257,""Perform""),""X"","""")"),"")</f>
        <v/>
      </c>
      <c r="AC257" s="734" t="str">
        <f t="shared" si="19"/>
        <v/>
      </c>
      <c r="AD257" s="734" t="str">
        <f>IFERROR(__xludf.DUMMYFUNCTION("if(REGEXMATCH(AR257,""Profession""),""X"","""")"),"X")</f>
        <v>X</v>
      </c>
      <c r="AE257" s="734" t="str">
        <f t="shared" si="20"/>
        <v>X</v>
      </c>
      <c r="AF257" s="800" t="str">
        <f>IFERROR(__xludf.DUMMYFUNCTION("if(REGEXMATCH(AR257,$AF$168),""X"","""")"),"X")</f>
        <v>X</v>
      </c>
      <c r="AG257" s="800" t="str">
        <f>IFERROR(__xludf.DUMMYFUNCTION("if(REGEXMATCH(AR257,$AG$168),""X"","""")"),"X")</f>
        <v>X</v>
      </c>
      <c r="AH257" s="800" t="str">
        <f>IFERROR(__xludf.DUMMYFUNCTION("if(REGEXMATCH(AR257,$AH$168),""X"","""")"),"")</f>
        <v/>
      </c>
      <c r="AI257" s="800" t="str">
        <f>IFERROR(__xludf.DUMMYFUNCTION("if(REGEXMATCH(AR257,$AI$168),""X"","""")"),"X")</f>
        <v>X</v>
      </c>
      <c r="AJ257" s="739" t="str">
        <f>IFERROR(__xludf.DUMMYFUNCTION("if(REGEXMATCH(AR257,$AJ$168),""X"","""")"),"X")</f>
        <v>X</v>
      </c>
      <c r="AK257" s="800" t="str">
        <f>IFERROR(__xludf.DUMMYFUNCTION("if(REGEXMATCH(AR257,$AK$168),""X"","""")"),"")</f>
        <v/>
      </c>
      <c r="AL257" s="800" t="str">
        <f>IFERROR(__xludf.DUMMYFUNCTION("if(REGEXMATCH(AR257,$AL$168),""X"","""")"),"")</f>
        <v/>
      </c>
      <c r="AM257" s="800" t="str">
        <f>IFERROR(__xludf.DUMMYFUNCTION("if(REGEXMATCH(AR257,$AM$168),""X"","""")"),"")</f>
        <v/>
      </c>
      <c r="AN257" s="800"/>
      <c r="AO257" s="800"/>
      <c r="AP257" s="800" t="str">
        <f>IFERROR(__xludf.DUMMYFUNCTION("if(REGEXMATCH(AR257,""Craft""),""X"","""")"),"X")</f>
        <v>X</v>
      </c>
      <c r="AQ257" s="800" t="str">
        <f>IFERROR(__xludf.DUMMYFUNCTION("if(REGEXMATCH(AR257,""Knowledge""),""X"","""")"),"X")</f>
        <v>X</v>
      </c>
      <c r="AR257" s="939" t="s">
        <v>1193</v>
      </c>
      <c r="AS257" s="243"/>
      <c r="AT257" s="243"/>
      <c r="AU257" s="243"/>
      <c r="AV257" s="243"/>
      <c r="AW257" s="243"/>
      <c r="AX257" s="243"/>
      <c r="AY257" s="243"/>
      <c r="AZ257" s="243"/>
      <c r="BA257" s="243"/>
      <c r="BB257" s="243"/>
      <c r="BC257" s="243"/>
      <c r="BD257" s="243"/>
      <c r="BE257" s="243"/>
      <c r="BF257" s="243"/>
      <c r="BG257" s="243"/>
      <c r="BH257" s="243"/>
      <c r="BI257" s="243"/>
      <c r="BJ257" s="243"/>
      <c r="BK257" s="243"/>
      <c r="BL257" s="243"/>
    </row>
    <row r="258">
      <c r="A258" s="458" t="s">
        <v>611</v>
      </c>
      <c r="B258" s="734" t="str">
        <f>IFERROR(__xludf.DUMMYFUNCTION("if(REGEXMATCH(AR258,$B$168),""X"","""")"),"")</f>
        <v/>
      </c>
      <c r="C258" s="734" t="str">
        <f>IFERROR(__xludf.DUMMYFUNCTION("if(REGEXMATCH(AR258,$C$168),""X"","""")"),"X")</f>
        <v>X</v>
      </c>
      <c r="D258" s="800" t="str">
        <f>IFERROR(__xludf.DUMMYFUNCTION("if(REGEXMATCH(AR258,$D$168),""X"","""")"),"")</f>
        <v/>
      </c>
      <c r="E258" s="734" t="str">
        <f>IFERROR(__xludf.DUMMYFUNCTION("if(REGEXMATCH(AR258,$E$168),""X"","""")"),"")</f>
        <v/>
      </c>
      <c r="F258" s="734" t="str">
        <f>IFERROR(__xludf.DUMMYFUNCTION("if(REGEXMATCH(AR258,$F$168),""X"","""")"),"X")</f>
        <v>X</v>
      </c>
      <c r="G258" s="734" t="str">
        <f t="shared" si="18"/>
        <v>X</v>
      </c>
      <c r="H258" s="734" t="str">
        <f>IFERROR(__xludf.DUMMYFUNCTION("if(REGEXMATCH(AR258,$H$168),""X"","""")"),"")</f>
        <v/>
      </c>
      <c r="I258" s="800" t="str">
        <f>IFERROR(__xludf.DUMMYFUNCTION("if(REGEXMATCH(AR258,$I$168),""X"","""")"),"X")</f>
        <v>X</v>
      </c>
      <c r="J258" s="800" t="str">
        <f>IFERROR(__xludf.DUMMYFUNCTION("if(REGEXMATCH(AR258,$J$168),""X"","""")"),"")</f>
        <v/>
      </c>
      <c r="K258" s="800" t="str">
        <f>IFERROR(__xludf.DUMMYFUNCTION("if(REGEXMATCH(AR258,$K$168),""X"","""")"),"")</f>
        <v/>
      </c>
      <c r="L258" s="800" t="str">
        <f>IFERROR(__xludf.DUMMYFUNCTION("if(REGEXMATCH(AR258,$L$168),""X"","""")"),"X")</f>
        <v>X</v>
      </c>
      <c r="M258" s="800" t="str">
        <f>IFERROR(__xludf.DUMMYFUNCTION("if(REGEXMATCH(AR258,$M$168),""X"","""")"),"")</f>
        <v/>
      </c>
      <c r="N258" s="800" t="str">
        <f>IFERROR(__xludf.DUMMYFUNCTION("if(REGEXMATCH(AR258,$N$168),""X"","""")"),"")</f>
        <v/>
      </c>
      <c r="O258" s="800" t="str">
        <f>IFERROR(__xludf.DUMMYFUNCTION("if(REGEXMATCH(AR258,$O$168),""X"","""")"),"")</f>
        <v/>
      </c>
      <c r="P258" s="800" t="str">
        <f>IFERROR(__xludf.DUMMYFUNCTION("if(REGEXMATCH(AR258,""(all)""),""X"",if(REGEXMATCH(AR258,""arcana""),""X"",""""))"),"")</f>
        <v/>
      </c>
      <c r="Q258" s="800" t="str">
        <f>IFERROR(__xludf.DUMMYFUNCTION("if(REGEXMATCH(AR258,""(all)""),""X"",if(REGEXMATCH(AR258,""dungeoneering""),""X"",""""))"),"X")</f>
        <v>X</v>
      </c>
      <c r="R258" s="800" t="str">
        <f>IFERROR(__xludf.DUMMYFUNCTION("if(REGEXMATCH(AR258,""(all)""),""X"",if(REGEXMATCH(AR258,""engineering""),""X"",""""))"),"X")</f>
        <v>X</v>
      </c>
      <c r="S258" s="800" t="str">
        <f>IFERROR(__xludf.DUMMYFUNCTION("if(REGEXMATCH(AR258,""(all)""),""X"",if(REGEXMATCH(AR258,""geography""),""X"",""""))"),"")</f>
        <v/>
      </c>
      <c r="T258" s="800" t="str">
        <f>IFERROR(__xludf.DUMMYFUNCTION("if(REGEXMATCH(AR258,""(all)""),""X"",if(REGEXMATCH(AR258,""history""),""X"",""""))"),"")</f>
        <v/>
      </c>
      <c r="U258" s="800" t="str">
        <f>IFERROR(__xludf.DUMMYFUNCTION("if(REGEXMATCH(AR258,""(all)""),""X"",if(REGEXMATCH(AR258,""local""),""X"",""""))"),"")</f>
        <v/>
      </c>
      <c r="V258" s="800" t="str">
        <f>IFERROR(__xludf.DUMMYFUNCTION("if(REGEXMATCH(AR258,""(all)""),""X"",if(REGEXMATCH(AR258,""nature""),""X"",""""))"),"")</f>
        <v/>
      </c>
      <c r="W258" s="800" t="str">
        <f>IFERROR(__xludf.DUMMYFUNCTION("if(REGEXMATCH(AR258,""(all)""),""X"",if(REGEXMATCH(AR258,""nobility""),""X"",""""))"),"")</f>
        <v/>
      </c>
      <c r="X258" s="800" t="str">
        <f>IFERROR(__xludf.DUMMYFUNCTION("if(REGEXMATCH(AR258,""(all)""),""X"",if(REGEXMATCH(AR258,""planes""),""X"",""""))"),"")</f>
        <v/>
      </c>
      <c r="Y258" s="800" t="str">
        <f>IFERROR(__xludf.DUMMYFUNCTION("if(REGEXMATCH(AR258,""(all)""),""X"",if(REGEXMATCH(AR258,""religion""),""X"",""""))"),"")</f>
        <v/>
      </c>
      <c r="Z258" s="800" t="str">
        <f>IFERROR(__xludf.DUMMYFUNCTION("if(REGEXMATCH(AR258,$Z$168),""X"","""")"),"X")</f>
        <v>X</v>
      </c>
      <c r="AA258" s="800" t="str">
        <f>IFERROR(__xludf.DUMMYFUNCTION("if(REGEXMATCH(AR258,$AA$168),""X"","""")"),"X")</f>
        <v>X</v>
      </c>
      <c r="AB258" s="734" t="str">
        <f>IFERROR(__xludf.DUMMYFUNCTION("if(REGEXMATCH(AR258,""Perform""),""X"","""")"),"")</f>
        <v/>
      </c>
      <c r="AC258" s="734" t="str">
        <f t="shared" si="19"/>
        <v/>
      </c>
      <c r="AD258" s="734" t="str">
        <f>IFERROR(__xludf.DUMMYFUNCTION("if(REGEXMATCH(AR258,""Profession""),""X"","""")"),"X")</f>
        <v>X</v>
      </c>
      <c r="AE258" s="734" t="str">
        <f t="shared" si="20"/>
        <v>X</v>
      </c>
      <c r="AF258" s="800" t="str">
        <f>IFERROR(__xludf.DUMMYFUNCTION("if(REGEXMATCH(AR258,$AF$168),""X"","""")"),"")</f>
        <v/>
      </c>
      <c r="AG258" s="800" t="str">
        <f>IFERROR(__xludf.DUMMYFUNCTION("if(REGEXMATCH(AR258,$AG$168),""X"","""")"),"")</f>
        <v/>
      </c>
      <c r="AH258" s="800" t="str">
        <f>IFERROR(__xludf.DUMMYFUNCTION("if(REGEXMATCH(AR258,$AH$168),""X"","""")"),"")</f>
        <v/>
      </c>
      <c r="AI258" s="800" t="str">
        <f>IFERROR(__xludf.DUMMYFUNCTION("if(REGEXMATCH(AR258,$AI$168),""X"","""")"),"X")</f>
        <v>X</v>
      </c>
      <c r="AJ258" s="739" t="str">
        <f>IFERROR(__xludf.DUMMYFUNCTION("if(REGEXMATCH(AR258,$AJ$168),""X"","""")"),"")</f>
        <v/>
      </c>
      <c r="AK258" s="800" t="str">
        <f>IFERROR(__xludf.DUMMYFUNCTION("if(REGEXMATCH(AR258,$AK$168),""X"","""")"),"")</f>
        <v/>
      </c>
      <c r="AL258" s="800" t="str">
        <f>IFERROR(__xludf.DUMMYFUNCTION("if(REGEXMATCH(AR258,$AL$168),""X"","""")"),"")</f>
        <v/>
      </c>
      <c r="AM258" s="800" t="str">
        <f>IFERROR(__xludf.DUMMYFUNCTION("if(REGEXMATCH(AR258,$AM$168),""X"","""")"),"X")</f>
        <v>X</v>
      </c>
      <c r="AN258" s="800"/>
      <c r="AO258" s="800"/>
      <c r="AP258" s="800" t="str">
        <f>IFERROR(__xludf.DUMMYFUNCTION("if(REGEXMATCH(AR258,""Craft""),""X"","""")"),"X")</f>
        <v>X</v>
      </c>
      <c r="AQ258" s="800" t="str">
        <f>IFERROR(__xludf.DUMMYFUNCTION("if(REGEXMATCH(AR258,""Knowledge""),""X"","""")"),"X")</f>
        <v>X</v>
      </c>
      <c r="AR258" s="939" t="s">
        <v>1200</v>
      </c>
      <c r="AS258" s="243"/>
      <c r="AT258" s="243"/>
      <c r="AU258" s="243"/>
      <c r="AV258" s="243"/>
      <c r="AW258" s="243"/>
      <c r="AX258" s="243"/>
      <c r="AY258" s="243"/>
      <c r="AZ258" s="243"/>
      <c r="BA258" s="243"/>
      <c r="BB258" s="243"/>
      <c r="BC258" s="243"/>
      <c r="BD258" s="243"/>
      <c r="BE258" s="243"/>
      <c r="BF258" s="243"/>
      <c r="BG258" s="243"/>
      <c r="BH258" s="243"/>
      <c r="BI258" s="243"/>
      <c r="BJ258" s="243"/>
      <c r="BK258" s="243"/>
      <c r="BL258" s="243"/>
    </row>
    <row r="259">
      <c r="A259" s="458" t="s">
        <v>613</v>
      </c>
      <c r="B259" s="734" t="str">
        <f>IFERROR(__xludf.DUMMYFUNCTION("if(REGEXMATCH(AR259,$B$168),""X"","""")"),"X")</f>
        <v>X</v>
      </c>
      <c r="C259" s="734" t="str">
        <f>IFERROR(__xludf.DUMMYFUNCTION("if(REGEXMATCH(AR259,$C$168),""X"","""")"),"X")</f>
        <v>X</v>
      </c>
      <c r="D259" s="800" t="str">
        <f>IFERROR(__xludf.DUMMYFUNCTION("if(REGEXMATCH(AR259,$D$168),""X"","""")"),"X")</f>
        <v>X</v>
      </c>
      <c r="E259" s="734" t="str">
        <f>IFERROR(__xludf.DUMMYFUNCTION("if(REGEXMATCH(AR259,$E$168),""X"","""")"),"X")</f>
        <v>X</v>
      </c>
      <c r="F259" s="734" t="str">
        <f>IFERROR(__xludf.DUMMYFUNCTION("if(REGEXMATCH(AR259,$F$168),""X"","""")"),"X")</f>
        <v>X</v>
      </c>
      <c r="G259" s="734" t="str">
        <f t="shared" si="18"/>
        <v>X</v>
      </c>
      <c r="H259" s="734" t="str">
        <f>IFERROR(__xludf.DUMMYFUNCTION("if(REGEXMATCH(AR259,$H$168),""X"","""")"),"X")</f>
        <v>X</v>
      </c>
      <c r="I259" s="800" t="str">
        <f>IFERROR(__xludf.DUMMYFUNCTION("if(REGEXMATCH(AR259,$I$168),""X"","""")"),"")</f>
        <v/>
      </c>
      <c r="J259" s="800" t="str">
        <f>IFERROR(__xludf.DUMMYFUNCTION("if(REGEXMATCH(AR259,$J$168),""X"","""")"),"X")</f>
        <v>X</v>
      </c>
      <c r="K259" s="800" t="str">
        <f>IFERROR(__xludf.DUMMYFUNCTION("if(REGEXMATCH(AR259,$K$168),""X"","""")"),"X")</f>
        <v>X</v>
      </c>
      <c r="L259" s="800" t="str">
        <f>IFERROR(__xludf.DUMMYFUNCTION("if(REGEXMATCH(AR259,$L$168),""X"","""")"),"")</f>
        <v/>
      </c>
      <c r="M259" s="800" t="str">
        <f>IFERROR(__xludf.DUMMYFUNCTION("if(REGEXMATCH(AR259,$M$168),""X"","""")"),"")</f>
        <v/>
      </c>
      <c r="N259" s="800" t="str">
        <f>IFERROR(__xludf.DUMMYFUNCTION("if(REGEXMATCH(AR259,$N$168),""X"","""")"),"")</f>
        <v/>
      </c>
      <c r="O259" s="800" t="str">
        <f>IFERROR(__xludf.DUMMYFUNCTION("if(REGEXMATCH(AR259,$O$168),""X"","""")"),"X")</f>
        <v>X</v>
      </c>
      <c r="P259" s="800" t="str">
        <f>IFERROR(__xludf.DUMMYFUNCTION("if(REGEXMATCH(AR259,""(all)""),""X"",if(REGEXMATCH(AR259,""arcana""),""X"",""""))"),"")</f>
        <v/>
      </c>
      <c r="Q259" s="800" t="str">
        <f>IFERROR(__xludf.DUMMYFUNCTION("if(REGEXMATCH(AR259,""(all)""),""X"",if(REGEXMATCH(AR259,""dungeoneering""),""X"",""""))"),"")</f>
        <v/>
      </c>
      <c r="R259" s="800" t="str">
        <f>IFERROR(__xludf.DUMMYFUNCTION("if(REGEXMATCH(AR259,""(all)""),""X"",if(REGEXMATCH(AR259,""engineering""),""X"",""""))"),"")</f>
        <v/>
      </c>
      <c r="S259" s="800" t="str">
        <f>IFERROR(__xludf.DUMMYFUNCTION("if(REGEXMATCH(AR259,""(all)""),""X"",if(REGEXMATCH(AR259,""geography""),""X"",""""))"),"")</f>
        <v/>
      </c>
      <c r="T259" s="800" t="str">
        <f>IFERROR(__xludf.DUMMYFUNCTION("if(REGEXMATCH(AR259,""(all)""),""X"",if(REGEXMATCH(AR259,""history""),""X"",""""))"),"")</f>
        <v/>
      </c>
      <c r="U259" s="800" t="str">
        <f>IFERROR(__xludf.DUMMYFUNCTION("if(REGEXMATCH(AR259,""(all)""),""X"",if(REGEXMATCH(AR259,""local""),""X"",""""))"),"X")</f>
        <v>X</v>
      </c>
      <c r="V259" s="800" t="str">
        <f>IFERROR(__xludf.DUMMYFUNCTION("if(REGEXMATCH(AR259,""(all)""),""X"",if(REGEXMATCH(AR259,""nature""),""X"",""""))"),"")</f>
        <v/>
      </c>
      <c r="W259" s="800" t="str">
        <f>IFERROR(__xludf.DUMMYFUNCTION("if(REGEXMATCH(AR259,""(all)""),""X"",if(REGEXMATCH(AR259,""nobility""),""X"",""""))"),"")</f>
        <v/>
      </c>
      <c r="X259" s="800" t="str">
        <f>IFERROR(__xludf.DUMMYFUNCTION("if(REGEXMATCH(AR259,""(all)""),""X"",if(REGEXMATCH(AR259,""planes""),""X"",""""))"),"")</f>
        <v/>
      </c>
      <c r="Y259" s="800" t="str">
        <f>IFERROR(__xludf.DUMMYFUNCTION("if(REGEXMATCH(AR259,""(all)""),""X"",if(REGEXMATCH(AR259,""religion""),""X"",""""))"),"")</f>
        <v/>
      </c>
      <c r="Z259" s="800" t="str">
        <f>IFERROR(__xludf.DUMMYFUNCTION("if(REGEXMATCH(AR259,$Z$168),""X"","""")"),"X")</f>
        <v>X</v>
      </c>
      <c r="AA259" s="800" t="str">
        <f>IFERROR(__xludf.DUMMYFUNCTION("if(REGEXMATCH(AR259,$AA$168),""X"","""")"),"X")</f>
        <v>X</v>
      </c>
      <c r="AB259" s="734" t="str">
        <f>IFERROR(__xludf.DUMMYFUNCTION("if(REGEXMATCH(AR259,""Perform""),""X"","""")"),"X")</f>
        <v>X</v>
      </c>
      <c r="AC259" s="734" t="str">
        <f t="shared" si="19"/>
        <v>X</v>
      </c>
      <c r="AD259" s="734" t="str">
        <f>IFERROR(__xludf.DUMMYFUNCTION("if(REGEXMATCH(AR259,""Profession""),""X"","""")"),"X")</f>
        <v>X</v>
      </c>
      <c r="AE259" s="734" t="str">
        <f t="shared" si="20"/>
        <v>X</v>
      </c>
      <c r="AF259" s="800" t="str">
        <f>IFERROR(__xludf.DUMMYFUNCTION("if(REGEXMATCH(AR259,$AF$168),""X"","""")"),"")</f>
        <v/>
      </c>
      <c r="AG259" s="800" t="str">
        <f>IFERROR(__xludf.DUMMYFUNCTION("if(REGEXMATCH(AR259,$AG$168),""X"","""")"),"X")</f>
        <v>X</v>
      </c>
      <c r="AH259" s="800" t="str">
        <f>IFERROR(__xludf.DUMMYFUNCTION("if(REGEXMATCH(AR259,$AH$168),""X"","""")"),"X")</f>
        <v>X</v>
      </c>
      <c r="AI259" s="800" t="str">
        <f>IFERROR(__xludf.DUMMYFUNCTION("if(REGEXMATCH(AR259,$AI$168),""X"","""")"),"")</f>
        <v/>
      </c>
      <c r="AJ259" s="739" t="str">
        <f>IFERROR(__xludf.DUMMYFUNCTION("if(REGEXMATCH(AR259,$AJ$168),""X"","""")"),"X")</f>
        <v>X</v>
      </c>
      <c r="AK259" s="800" t="str">
        <f>IFERROR(__xludf.DUMMYFUNCTION("if(REGEXMATCH(AR259,$AK$168),""X"","""")"),"")</f>
        <v/>
      </c>
      <c r="AL259" s="800" t="str">
        <f>IFERROR(__xludf.DUMMYFUNCTION("if(REGEXMATCH(AR259,$AL$168),""X"","""")"),"X")</f>
        <v>X</v>
      </c>
      <c r="AM259" s="800" t="str">
        <f>IFERROR(__xludf.DUMMYFUNCTION("if(REGEXMATCH(AR259,$AM$168),""X"","""")"),"X")</f>
        <v>X</v>
      </c>
      <c r="AN259" s="800"/>
      <c r="AO259" s="800"/>
      <c r="AP259" s="800" t="str">
        <f>IFERROR(__xludf.DUMMYFUNCTION("if(REGEXMATCH(AR259,""Craft""),""X"","""")"),"X")</f>
        <v>X</v>
      </c>
      <c r="AQ259" s="800" t="str">
        <f>IFERROR(__xludf.DUMMYFUNCTION("if(REGEXMATCH(AR259,""Knowledge""),""X"","""")"),"X")</f>
        <v>X</v>
      </c>
      <c r="AR259" s="939" t="s">
        <v>1203</v>
      </c>
      <c r="AS259" s="243"/>
      <c r="AT259" s="243"/>
      <c r="AU259" s="243"/>
      <c r="AV259" s="243"/>
      <c r="AW259" s="243"/>
      <c r="AX259" s="243"/>
      <c r="AY259" s="243"/>
      <c r="AZ259" s="243"/>
      <c r="BA259" s="243"/>
      <c r="BB259" s="243"/>
      <c r="BC259" s="243"/>
      <c r="BD259" s="243"/>
      <c r="BE259" s="243"/>
      <c r="BF259" s="243"/>
      <c r="BG259" s="243"/>
      <c r="BH259" s="243"/>
      <c r="BI259" s="243"/>
      <c r="BJ259" s="243"/>
      <c r="BK259" s="243"/>
      <c r="BL259" s="243"/>
    </row>
    <row r="260">
      <c r="A260" s="458" t="s">
        <v>616</v>
      </c>
      <c r="B260" s="734" t="str">
        <f>IFERROR(__xludf.DUMMYFUNCTION("if(REGEXMATCH(AR260,$B$168),""X"","""")"),"")</f>
        <v/>
      </c>
      <c r="C260" s="734" t="str">
        <f>IFERROR(__xludf.DUMMYFUNCTION("if(REGEXMATCH(AR260,$C$168),""X"","""")"),"")</f>
        <v/>
      </c>
      <c r="D260" s="800" t="str">
        <f>IFERROR(__xludf.DUMMYFUNCTION("if(REGEXMATCH(AR260,$D$168),""X"","""")"),"")</f>
        <v/>
      </c>
      <c r="E260" s="734" t="str">
        <f>IFERROR(__xludf.DUMMYFUNCTION("if(REGEXMATCH(AR260,$E$168),""X"","""")"),"X")</f>
        <v>X</v>
      </c>
      <c r="F260" s="734" t="str">
        <f>IFERROR(__xludf.DUMMYFUNCTION("if(REGEXMATCH(AR260,$F$168),""X"","""")"),"X")</f>
        <v>X</v>
      </c>
      <c r="G260" s="734" t="str">
        <f t="shared" si="18"/>
        <v>X</v>
      </c>
      <c r="H260" s="734" t="str">
        <f>IFERROR(__xludf.DUMMYFUNCTION("if(REGEXMATCH(AR260,$H$168),""X"","""")"),"")</f>
        <v/>
      </c>
      <c r="I260" s="800" t="str">
        <f>IFERROR(__xludf.DUMMYFUNCTION("if(REGEXMATCH(AR260,$I$168),""X"","""")"),"")</f>
        <v/>
      </c>
      <c r="J260" s="800" t="str">
        <f>IFERROR(__xludf.DUMMYFUNCTION("if(REGEXMATCH(AR260,$J$168),""X"","""")"),"")</f>
        <v/>
      </c>
      <c r="K260" s="800" t="str">
        <f>IFERROR(__xludf.DUMMYFUNCTION("if(REGEXMATCH(AR260,$K$168),""X"","""")"),"")</f>
        <v/>
      </c>
      <c r="L260" s="800" t="str">
        <f>IFERROR(__xludf.DUMMYFUNCTION("if(REGEXMATCH(AR260,$L$168),""X"","""")"),"X")</f>
        <v>X</v>
      </c>
      <c r="M260" s="800" t="str">
        <f>IFERROR(__xludf.DUMMYFUNCTION("if(REGEXMATCH(AR260,$M$168),""X"","""")"),"")</f>
        <v/>
      </c>
      <c r="N260" s="800" t="str">
        <f>IFERROR(__xludf.DUMMYFUNCTION("if(REGEXMATCH(AR260,$N$168),""X"","""")"),"")</f>
        <v/>
      </c>
      <c r="O260" s="800" t="str">
        <f>IFERROR(__xludf.DUMMYFUNCTION("if(REGEXMATCH(AR260,$O$168),""X"","""")"),"")</f>
        <v/>
      </c>
      <c r="P260" s="800" t="str">
        <f>IFERROR(__xludf.DUMMYFUNCTION("if(REGEXMATCH(AR260,""(all)""),""X"",if(REGEXMATCH(AR260,""arcana""),""X"",""""))"),"")</f>
        <v/>
      </c>
      <c r="Q260" s="800" t="str">
        <f>IFERROR(__xludf.DUMMYFUNCTION("if(REGEXMATCH(AR260,""(all)""),""X"",if(REGEXMATCH(AR260,""dungeoneering""),""X"",""""))"),"")</f>
        <v/>
      </c>
      <c r="R260" s="800" t="str">
        <f>IFERROR(__xludf.DUMMYFUNCTION("if(REGEXMATCH(AR260,""(all)""),""X"",if(REGEXMATCH(AR260,""engineering""),""X"",""""))"),"")</f>
        <v/>
      </c>
      <c r="S260" s="800" t="str">
        <f>IFERROR(__xludf.DUMMYFUNCTION("if(REGEXMATCH(AR260,""(all)""),""X"",if(REGEXMATCH(AR260,""geography""),""X"",""""))"),"X")</f>
        <v>X</v>
      </c>
      <c r="T260" s="800" t="str">
        <f>IFERROR(__xludf.DUMMYFUNCTION("if(REGEXMATCH(AR260,""(all)""),""X"",if(REGEXMATCH(AR260,""history""),""X"",""""))"),"")</f>
        <v/>
      </c>
      <c r="U260" s="800" t="str">
        <f>IFERROR(__xludf.DUMMYFUNCTION("if(REGEXMATCH(AR260,""(all)""),""X"",if(REGEXMATCH(AR260,""local""),""X"",""""))"),"")</f>
        <v/>
      </c>
      <c r="V260" s="800" t="str">
        <f>IFERROR(__xludf.DUMMYFUNCTION("if(REGEXMATCH(AR260,""(all)""),""X"",if(REGEXMATCH(AR260,""nature""),""X"",""""))"),"X")</f>
        <v>X</v>
      </c>
      <c r="W260" s="800" t="str">
        <f>IFERROR(__xludf.DUMMYFUNCTION("if(REGEXMATCH(AR260,""(all)""),""X"",if(REGEXMATCH(AR260,""nobility""),""X"",""""))"),"")</f>
        <v/>
      </c>
      <c r="X260" s="800" t="str">
        <f>IFERROR(__xludf.DUMMYFUNCTION("if(REGEXMATCH(AR260,""(all)""),""X"",if(REGEXMATCH(AR260,""planes""),""X"",""""))"),"X")</f>
        <v>X</v>
      </c>
      <c r="Y260" s="800" t="str">
        <f>IFERROR(__xludf.DUMMYFUNCTION("if(REGEXMATCH(AR260,""(all)""),""X"",if(REGEXMATCH(AR260,""religion""),""X"",""""))"),"")</f>
        <v/>
      </c>
      <c r="Z260" s="800" t="str">
        <f>IFERROR(__xludf.DUMMYFUNCTION("if(REGEXMATCH(AR260,$Z$168),""X"","""")"),"")</f>
        <v/>
      </c>
      <c r="AA260" s="800" t="str">
        <f>IFERROR(__xludf.DUMMYFUNCTION("if(REGEXMATCH(AR260,$AA$168),""X"","""")"),"X")</f>
        <v>X</v>
      </c>
      <c r="AB260" s="734" t="str">
        <f>IFERROR(__xludf.DUMMYFUNCTION("if(REGEXMATCH(AR260,""Perform""),""X"","""")"),"X")</f>
        <v>X</v>
      </c>
      <c r="AC260" s="734" t="str">
        <f t="shared" si="19"/>
        <v>X</v>
      </c>
      <c r="AD260" s="734" t="str">
        <f>IFERROR(__xludf.DUMMYFUNCTION("if(REGEXMATCH(AR260,""Profession""),""X"","""")"),"X")</f>
        <v>X</v>
      </c>
      <c r="AE260" s="734" t="str">
        <f t="shared" si="20"/>
        <v>X</v>
      </c>
      <c r="AF260" s="800" t="str">
        <f>IFERROR(__xludf.DUMMYFUNCTION("if(REGEXMATCH(AR260,$AF$168),""X"","""")"),"X")</f>
        <v>X</v>
      </c>
      <c r="AG260" s="800" t="str">
        <f>IFERROR(__xludf.DUMMYFUNCTION("if(REGEXMATCH(AR260,$AG$168),""X"","""")"),"X")</f>
        <v>X</v>
      </c>
      <c r="AH260" s="800" t="str">
        <f>IFERROR(__xludf.DUMMYFUNCTION("if(REGEXMATCH(AR260,$AH$168),""X"","""")"),"")</f>
        <v/>
      </c>
      <c r="AI260" s="800" t="str">
        <f>IFERROR(__xludf.DUMMYFUNCTION("if(REGEXMATCH(AR260,$AI$168),""X"","""")"),"X")</f>
        <v>X</v>
      </c>
      <c r="AJ260" s="739" t="str">
        <f>IFERROR(__xludf.DUMMYFUNCTION("if(REGEXMATCH(AR260,$AJ$168),""X"","""")"),"X")</f>
        <v>X</v>
      </c>
      <c r="AK260" s="800" t="str">
        <f>IFERROR(__xludf.DUMMYFUNCTION("if(REGEXMATCH(AR260,$AK$168),""X"","""")"),"X")</f>
        <v>X</v>
      </c>
      <c r="AL260" s="800" t="str">
        <f>IFERROR(__xludf.DUMMYFUNCTION("if(REGEXMATCH(AR260,$AL$168),""X"","""")"),"X")</f>
        <v>X</v>
      </c>
      <c r="AM260" s="800" t="str">
        <f>IFERROR(__xludf.DUMMYFUNCTION("if(REGEXMATCH(AR260,$AM$168),""X"","""")"),"")</f>
        <v/>
      </c>
      <c r="AN260" s="800"/>
      <c r="AO260" s="800"/>
      <c r="AP260" s="800" t="str">
        <f>IFERROR(__xludf.DUMMYFUNCTION("if(REGEXMATCH(AR260,""Craft""),""X"","""")"),"X")</f>
        <v>X</v>
      </c>
      <c r="AQ260" s="800" t="str">
        <f>IFERROR(__xludf.DUMMYFUNCTION("if(REGEXMATCH(AR260,""Knowledge""),""X"","""")"),"X")</f>
        <v>X</v>
      </c>
      <c r="AR260" s="939" t="s">
        <v>1207</v>
      </c>
      <c r="AS260" s="243"/>
      <c r="AT260" s="243"/>
      <c r="AU260" s="243"/>
      <c r="AV260" s="243"/>
      <c r="AW260" s="243"/>
      <c r="AX260" s="243"/>
      <c r="AY260" s="243"/>
      <c r="AZ260" s="243"/>
      <c r="BA260" s="243"/>
      <c r="BB260" s="243"/>
      <c r="BC260" s="243"/>
      <c r="BD260" s="243"/>
      <c r="BE260" s="243"/>
      <c r="BF260" s="243"/>
      <c r="BG260" s="243"/>
      <c r="BH260" s="243"/>
      <c r="BI260" s="243"/>
      <c r="BJ260" s="243"/>
      <c r="BK260" s="243"/>
      <c r="BL260" s="243"/>
    </row>
    <row r="261">
      <c r="A261" s="458" t="s">
        <v>619</v>
      </c>
      <c r="B261" s="734" t="str">
        <f>IFERROR(__xludf.DUMMYFUNCTION("if(REGEXMATCH(AR261,$B$168),""X"","""")"),"X")</f>
        <v>X</v>
      </c>
      <c r="C261" s="734" t="str">
        <f>IFERROR(__xludf.DUMMYFUNCTION("if(REGEXMATCH(AR261,$C$168),""X"","""")"),"")</f>
        <v/>
      </c>
      <c r="D261" s="800" t="str">
        <f>IFERROR(__xludf.DUMMYFUNCTION("if(REGEXMATCH(AR261,$D$168),""X"","""")"),"X")</f>
        <v>X</v>
      </c>
      <c r="E261" s="734" t="str">
        <f>IFERROR(__xludf.DUMMYFUNCTION("if(REGEXMATCH(AR261,$E$168),""X"","""")"),"X")</f>
        <v>X</v>
      </c>
      <c r="F261" s="734" t="str">
        <f>IFERROR(__xludf.DUMMYFUNCTION("if(REGEXMATCH(AR261,$F$168),""X"","""")"),"X")</f>
        <v>X</v>
      </c>
      <c r="G261" s="734" t="str">
        <f t="shared" si="18"/>
        <v>X</v>
      </c>
      <c r="H261" s="734" t="str">
        <f>IFERROR(__xludf.DUMMYFUNCTION("if(REGEXMATCH(AR261,$H$168),""X"","""")"),"")</f>
        <v/>
      </c>
      <c r="I261" s="800" t="str">
        <f>IFERROR(__xludf.DUMMYFUNCTION("if(REGEXMATCH(AR261,$I$168),""X"","""")"),"")</f>
        <v/>
      </c>
      <c r="J261" s="800" t="str">
        <f>IFERROR(__xludf.DUMMYFUNCTION("if(REGEXMATCH(AR261,$J$168),""X"","""")"),"")</f>
        <v/>
      </c>
      <c r="K261" s="800" t="str">
        <f>IFERROR(__xludf.DUMMYFUNCTION("if(REGEXMATCH(AR261,$K$168),""X"","""")"),"")</f>
        <v/>
      </c>
      <c r="L261" s="800" t="str">
        <f>IFERROR(__xludf.DUMMYFUNCTION("if(REGEXMATCH(AR261,$L$168),""X"","""")"),"")</f>
        <v/>
      </c>
      <c r="M261" s="800" t="str">
        <f>IFERROR(__xludf.DUMMYFUNCTION("if(REGEXMATCH(AR261,$M$168),""X"","""")"),"X")</f>
        <v>X</v>
      </c>
      <c r="N261" s="800" t="str">
        <f>IFERROR(__xludf.DUMMYFUNCTION("if(REGEXMATCH(AR261,$N$168),""X"","""")"),"X")</f>
        <v>X</v>
      </c>
      <c r="O261" s="800" t="str">
        <f>IFERROR(__xludf.DUMMYFUNCTION("if(REGEXMATCH(AR261,$O$168),""X"","""")"),"X")</f>
        <v>X</v>
      </c>
      <c r="P261" s="800" t="str">
        <f>IFERROR(__xludf.DUMMYFUNCTION("if(REGEXMATCH(AR261,""(all)""),""X"",if(REGEXMATCH(AR261,""arcana""),""X"",""""))"),"")</f>
        <v/>
      </c>
      <c r="Q261" s="800" t="str">
        <f>IFERROR(__xludf.DUMMYFUNCTION("if(REGEXMATCH(AR261,""(all)""),""X"",if(REGEXMATCH(AR261,""dungeoneering""),""X"",""""))"),"")</f>
        <v/>
      </c>
      <c r="R261" s="800" t="str">
        <f>IFERROR(__xludf.DUMMYFUNCTION("if(REGEXMATCH(AR261,""(all)""),""X"",if(REGEXMATCH(AR261,""engineering""),""X"",""""))"),"X")</f>
        <v>X</v>
      </c>
      <c r="S261" s="800" t="str">
        <f>IFERROR(__xludf.DUMMYFUNCTION("if(REGEXMATCH(AR261,""(all)""),""X"",if(REGEXMATCH(AR261,""geography""),""X"",""""))"),"")</f>
        <v/>
      </c>
      <c r="T261" s="800" t="str">
        <f>IFERROR(__xludf.DUMMYFUNCTION("if(REGEXMATCH(AR261,""(all)""),""X"",if(REGEXMATCH(AR261,""history""),""X"",""""))"),"")</f>
        <v/>
      </c>
      <c r="U261" s="800" t="str">
        <f>IFERROR(__xludf.DUMMYFUNCTION("if(REGEXMATCH(AR261,""(all)""),""X"",if(REGEXMATCH(AR261,""local""),""X"",""""))"),"")</f>
        <v/>
      </c>
      <c r="V261" s="800" t="str">
        <f>IFERROR(__xludf.DUMMYFUNCTION("if(REGEXMATCH(AR261,""(all)""),""X"",if(REGEXMATCH(AR261,""nature""),""X"",""""))"),"")</f>
        <v/>
      </c>
      <c r="W261" s="800" t="str">
        <f>IFERROR(__xludf.DUMMYFUNCTION("if(REGEXMATCH(AR261,""(all)""),""X"",if(REGEXMATCH(AR261,""nobility""),""X"",""""))"),"")</f>
        <v/>
      </c>
      <c r="X261" s="800" t="str">
        <f>IFERROR(__xludf.DUMMYFUNCTION("if(REGEXMATCH(AR261,""(all)""),""X"",if(REGEXMATCH(AR261,""planes""),""X"",""""))"),"")</f>
        <v/>
      </c>
      <c r="Y261" s="800" t="str">
        <f>IFERROR(__xludf.DUMMYFUNCTION("if(REGEXMATCH(AR261,""(all)""),""X"",if(REGEXMATCH(AR261,""religion""),""X"",""""))"),"")</f>
        <v/>
      </c>
      <c r="Z261" s="800" t="str">
        <f>IFERROR(__xludf.DUMMYFUNCTION("if(REGEXMATCH(AR261,$Z$168),""X"","""")"),"")</f>
        <v/>
      </c>
      <c r="AA261" s="800" t="str">
        <f>IFERROR(__xludf.DUMMYFUNCTION("if(REGEXMATCH(AR261,$AA$168),""X"","""")"),"X")</f>
        <v>X</v>
      </c>
      <c r="AB261" s="734" t="str">
        <f>IFERROR(__xludf.DUMMYFUNCTION("if(REGEXMATCH(AR261,""Perform""),""X"","""")"),"")</f>
        <v/>
      </c>
      <c r="AC261" s="734" t="str">
        <f t="shared" si="19"/>
        <v/>
      </c>
      <c r="AD261" s="734" t="str">
        <f>IFERROR(__xludf.DUMMYFUNCTION("if(REGEXMATCH(AR261,""Profession""),""X"","""")"),"X")</f>
        <v>X</v>
      </c>
      <c r="AE261" s="734" t="str">
        <f t="shared" si="20"/>
        <v>X</v>
      </c>
      <c r="AF261" s="800" t="str">
        <f>IFERROR(__xludf.DUMMYFUNCTION("if(REGEXMATCH(AR261,$AF$168),""X"","""")"),"X")</f>
        <v>X</v>
      </c>
      <c r="AG261" s="800" t="str">
        <f>IFERROR(__xludf.DUMMYFUNCTION("if(REGEXMATCH(AR261,$AG$168),""X"","""")"),"")</f>
        <v/>
      </c>
      <c r="AH261" s="800" t="str">
        <f>IFERROR(__xludf.DUMMYFUNCTION("if(REGEXMATCH(AR261,$AH$168),""X"","""")"),"X")</f>
        <v>X</v>
      </c>
      <c r="AI261" s="800" t="str">
        <f>IFERROR(__xludf.DUMMYFUNCTION("if(REGEXMATCH(AR261,$AI$168),""X"","""")"),"")</f>
        <v/>
      </c>
      <c r="AJ261" s="739" t="str">
        <f>IFERROR(__xludf.DUMMYFUNCTION("if(REGEXMATCH(AR261,$AJ$168),""X"","""")"),"")</f>
        <v/>
      </c>
      <c r="AK261" s="800" t="str">
        <f>IFERROR(__xludf.DUMMYFUNCTION("if(REGEXMATCH(AR261,$AK$168),""X"","""")"),"X")</f>
        <v>X</v>
      </c>
      <c r="AL261" s="800" t="str">
        <f>IFERROR(__xludf.DUMMYFUNCTION("if(REGEXMATCH(AR261,$AL$168),""X"","""")"),"X")</f>
        <v>X</v>
      </c>
      <c r="AM261" s="800" t="str">
        <f>IFERROR(__xludf.DUMMYFUNCTION("if(REGEXMATCH(AR261,$AM$168),""X"","""")"),"")</f>
        <v/>
      </c>
      <c r="AN261" s="800"/>
      <c r="AO261" s="800"/>
      <c r="AP261" s="800" t="str">
        <f>IFERROR(__xludf.DUMMYFUNCTION("if(REGEXMATCH(AR261,""Craft""),""X"","""")"),"X")</f>
        <v>X</v>
      </c>
      <c r="AQ261" s="800" t="str">
        <f>IFERROR(__xludf.DUMMYFUNCTION("if(REGEXMATCH(AR261,""Knowledge""),""X"","""")"),"X")</f>
        <v>X</v>
      </c>
      <c r="AR261" s="939" t="s">
        <v>1211</v>
      </c>
      <c r="AS261" s="243"/>
      <c r="AT261" s="243"/>
      <c r="AU261" s="243"/>
      <c r="AV261" s="243"/>
      <c r="AW261" s="243"/>
      <c r="AX261" s="243"/>
      <c r="AY261" s="243"/>
      <c r="AZ261" s="243"/>
      <c r="BA261" s="243"/>
      <c r="BB261" s="243"/>
      <c r="BC261" s="243"/>
      <c r="BD261" s="243"/>
      <c r="BE261" s="243"/>
      <c r="BF261" s="243"/>
      <c r="BG261" s="243"/>
      <c r="BH261" s="243"/>
      <c r="BI261" s="243"/>
      <c r="BJ261" s="243"/>
      <c r="BK261" s="243"/>
      <c r="BL261" s="243"/>
    </row>
    <row r="262">
      <c r="A262" s="458" t="s">
        <v>622</v>
      </c>
      <c r="B262" s="734" t="str">
        <f>IFERROR(__xludf.DUMMYFUNCTION("if(REGEXMATCH(AR262,$B$168),""X"","""")"),"")</f>
        <v/>
      </c>
      <c r="C262" s="734" t="str">
        <f>IFERROR(__xludf.DUMMYFUNCTION("if(REGEXMATCH(AR262,$C$168),""X"","""")"),"")</f>
        <v/>
      </c>
      <c r="D262" s="800" t="str">
        <f>IFERROR(__xludf.DUMMYFUNCTION("if(REGEXMATCH(AR262,$D$168),""X"","""")"),"")</f>
        <v/>
      </c>
      <c r="E262" s="734" t="str">
        <f>IFERROR(__xludf.DUMMYFUNCTION("if(REGEXMATCH(AR262,$E$168),""X"","""")"),"")</f>
        <v/>
      </c>
      <c r="F262" s="734" t="str">
        <f>IFERROR(__xludf.DUMMYFUNCTION("if(REGEXMATCH(AR262,$F$168),""X"","""")"),"X")</f>
        <v>X</v>
      </c>
      <c r="G262" s="734" t="str">
        <f t="shared" si="18"/>
        <v>X</v>
      </c>
      <c r="H262" s="734" t="str">
        <f>IFERROR(__xludf.DUMMYFUNCTION("if(REGEXMATCH(AR262,$H$168),""X"","""")"),"X")</f>
        <v>X</v>
      </c>
      <c r="I262" s="800" t="str">
        <f>IFERROR(__xludf.DUMMYFUNCTION("if(REGEXMATCH(AR262,$I$168),""X"","""")"),"")</f>
        <v/>
      </c>
      <c r="J262" s="800" t="str">
        <f>IFERROR(__xludf.DUMMYFUNCTION("if(REGEXMATCH(AR262,$J$168),""X"","""")"),"")</f>
        <v/>
      </c>
      <c r="K262" s="800" t="str">
        <f>IFERROR(__xludf.DUMMYFUNCTION("if(REGEXMATCH(AR262,$K$168),""X"","""")"),"")</f>
        <v/>
      </c>
      <c r="L262" s="800" t="str">
        <f>IFERROR(__xludf.DUMMYFUNCTION("if(REGEXMATCH(AR262,$L$168),""X"","""")"),"")</f>
        <v/>
      </c>
      <c r="M262" s="800" t="str">
        <f>IFERROR(__xludf.DUMMYFUNCTION("if(REGEXMATCH(AR262,$M$168),""X"","""")"),"X")</f>
        <v>X</v>
      </c>
      <c r="N262" s="800" t="str">
        <f>IFERROR(__xludf.DUMMYFUNCTION("if(REGEXMATCH(AR262,$N$168),""X"","""")"),"X")</f>
        <v>X</v>
      </c>
      <c r="O262" s="800" t="str">
        <f>IFERROR(__xludf.DUMMYFUNCTION("if(REGEXMATCH(AR262,$O$168),""X"","""")"),"")</f>
        <v/>
      </c>
      <c r="P262" s="800" t="str">
        <f>IFERROR(__xludf.DUMMYFUNCTION("if(REGEXMATCH(AR262,""(all)""),""X"",if(REGEXMATCH(AR262,""arcana""),""X"",""""))"),"")</f>
        <v/>
      </c>
      <c r="Q262" s="800" t="str">
        <f>IFERROR(__xludf.DUMMYFUNCTION("if(REGEXMATCH(AR262,""(all)""),""X"",if(REGEXMATCH(AR262,""dungeoneering""),""X"",""""))"),"")</f>
        <v/>
      </c>
      <c r="R262" s="800" t="str">
        <f>IFERROR(__xludf.DUMMYFUNCTION("if(REGEXMATCH(AR262,""(all)""),""X"",if(REGEXMATCH(AR262,""engineering""),""X"",""""))"),"")</f>
        <v/>
      </c>
      <c r="S262" s="800" t="str">
        <f>IFERROR(__xludf.DUMMYFUNCTION("if(REGEXMATCH(AR262,""(all)""),""X"",if(REGEXMATCH(AR262,""geography""),""X"",""""))"),"")</f>
        <v/>
      </c>
      <c r="T262" s="800" t="str">
        <f>IFERROR(__xludf.DUMMYFUNCTION("if(REGEXMATCH(AR262,""(all)""),""X"",if(REGEXMATCH(AR262,""history""),""X"",""""))"),"")</f>
        <v/>
      </c>
      <c r="U262" s="800" t="str">
        <f>IFERROR(__xludf.DUMMYFUNCTION("if(REGEXMATCH(AR262,""(all)""),""X"",if(REGEXMATCH(AR262,""local""),""X"",""""))"),"")</f>
        <v/>
      </c>
      <c r="V262" s="800" t="str">
        <f>IFERROR(__xludf.DUMMYFUNCTION("if(REGEXMATCH(AR262,""(all)""),""X"",if(REGEXMATCH(AR262,""nature""),""X"",""""))"),"")</f>
        <v/>
      </c>
      <c r="W262" s="800" t="str">
        <f>IFERROR(__xludf.DUMMYFUNCTION("if(REGEXMATCH(AR262,""(all)""),""X"",if(REGEXMATCH(AR262,""nobility""),""X"",""""))"),"X")</f>
        <v>X</v>
      </c>
      <c r="X262" s="800" t="str">
        <f>IFERROR(__xludf.DUMMYFUNCTION("if(REGEXMATCH(AR262,""(all)""),""X"",if(REGEXMATCH(AR262,""planes""),""X"",""""))"),"")</f>
        <v/>
      </c>
      <c r="Y262" s="800" t="str">
        <f>IFERROR(__xludf.DUMMYFUNCTION("if(REGEXMATCH(AR262,""(all)""),""X"",if(REGEXMATCH(AR262,""religion""),""X"",""""))"),"X")</f>
        <v>X</v>
      </c>
      <c r="Z262" s="800" t="str">
        <f>IFERROR(__xludf.DUMMYFUNCTION("if(REGEXMATCH(AR262,$Z$168),""X"","""")"),"")</f>
        <v/>
      </c>
      <c r="AA262" s="800" t="str">
        <f>IFERROR(__xludf.DUMMYFUNCTION("if(REGEXMATCH(AR262,$AA$168),""X"","""")"),"")</f>
        <v/>
      </c>
      <c r="AB262" s="734" t="str">
        <f>IFERROR(__xludf.DUMMYFUNCTION("if(REGEXMATCH(AR262,""Perform""),""X"","""")"),"")</f>
        <v/>
      </c>
      <c r="AC262" s="734" t="str">
        <f t="shared" si="19"/>
        <v/>
      </c>
      <c r="AD262" s="734" t="str">
        <f>IFERROR(__xludf.DUMMYFUNCTION("if(REGEXMATCH(AR262,""Profession""),""X"","""")"),"X")</f>
        <v>X</v>
      </c>
      <c r="AE262" s="734" t="str">
        <f t="shared" si="20"/>
        <v>X</v>
      </c>
      <c r="AF262" s="800" t="str">
        <f>IFERROR(__xludf.DUMMYFUNCTION("if(REGEXMATCH(AR262,$AF$168),""X"","""")"),"X")</f>
        <v>X</v>
      </c>
      <c r="AG262" s="800" t="str">
        <f>IFERROR(__xludf.DUMMYFUNCTION("if(REGEXMATCH(AR262,$AG$168),""X"","""")"),"X")</f>
        <v>X</v>
      </c>
      <c r="AH262" s="800" t="str">
        <f>IFERROR(__xludf.DUMMYFUNCTION("if(REGEXMATCH(AR262,$AH$168),""X"","""")"),"")</f>
        <v/>
      </c>
      <c r="AI262" s="800" t="str">
        <f>IFERROR(__xludf.DUMMYFUNCTION("if(REGEXMATCH(AR262,$AI$168),""X"","""")"),"X")</f>
        <v>X</v>
      </c>
      <c r="AJ262" s="739" t="str">
        <f>IFERROR(__xludf.DUMMYFUNCTION("if(REGEXMATCH(AR262,$AJ$168),""X"","""")"),"")</f>
        <v/>
      </c>
      <c r="AK262" s="800" t="str">
        <f>IFERROR(__xludf.DUMMYFUNCTION("if(REGEXMATCH(AR262,$AK$168),""X"","""")"),"")</f>
        <v/>
      </c>
      <c r="AL262" s="800" t="str">
        <f>IFERROR(__xludf.DUMMYFUNCTION("if(REGEXMATCH(AR262,$AL$168),""X"","""")"),"")</f>
        <v/>
      </c>
      <c r="AM262" s="800" t="str">
        <f>IFERROR(__xludf.DUMMYFUNCTION("if(REGEXMATCH(AR262,$AM$168),""X"","""")"),"")</f>
        <v/>
      </c>
      <c r="AN262" s="800"/>
      <c r="AO262" s="800"/>
      <c r="AP262" s="800" t="str">
        <f>IFERROR(__xludf.DUMMYFUNCTION("if(REGEXMATCH(AR262,""Craft""),""X"","""")"),"X")</f>
        <v>X</v>
      </c>
      <c r="AQ262" s="800" t="str">
        <f>IFERROR(__xludf.DUMMYFUNCTION("if(REGEXMATCH(AR262,""Knowledge""),""X"","""")"),"X")</f>
        <v>X</v>
      </c>
      <c r="AR262" s="939" t="s">
        <v>1214</v>
      </c>
      <c r="AS262" s="243"/>
      <c r="AT262" s="243"/>
      <c r="AU262" s="243"/>
      <c r="AV262" s="243"/>
      <c r="AW262" s="243"/>
      <c r="AX262" s="243"/>
      <c r="AY262" s="243"/>
      <c r="AZ262" s="243"/>
      <c r="BA262" s="243"/>
      <c r="BB262" s="243"/>
      <c r="BC262" s="243"/>
      <c r="BD262" s="243"/>
      <c r="BE262" s="243"/>
      <c r="BF262" s="243"/>
      <c r="BG262" s="243"/>
      <c r="BH262" s="243"/>
      <c r="BI262" s="243"/>
      <c r="BJ262" s="243"/>
      <c r="BK262" s="243"/>
      <c r="BL262" s="243"/>
    </row>
    <row r="263">
      <c r="A263" s="458" t="s">
        <v>623</v>
      </c>
      <c r="B263" s="734" t="str">
        <f>IFERROR(__xludf.DUMMYFUNCTION("if(REGEXMATCH(AR263,$B$168),""X"","""")"),"")</f>
        <v/>
      </c>
      <c r="C263" s="734" t="str">
        <f>IFERROR(__xludf.DUMMYFUNCTION("if(REGEXMATCH(AR263,$C$168),""X"","""")"),"")</f>
        <v/>
      </c>
      <c r="D263" s="800" t="str">
        <f>IFERROR(__xludf.DUMMYFUNCTION("if(REGEXMATCH(AR263,$D$168),""X"","""")"),"X")</f>
        <v>X</v>
      </c>
      <c r="E263" s="734" t="str">
        <f>IFERROR(__xludf.DUMMYFUNCTION("if(REGEXMATCH(AR263,$E$168),""X"","""")"),"")</f>
        <v/>
      </c>
      <c r="F263" s="734" t="str">
        <f>IFERROR(__xludf.DUMMYFUNCTION("if(REGEXMATCH(AR263,$F$168),""X"","""")"),"X")</f>
        <v>X</v>
      </c>
      <c r="G263" s="734" t="str">
        <f t="shared" si="18"/>
        <v>X</v>
      </c>
      <c r="H263" s="734" t="str">
        <f>IFERROR(__xludf.DUMMYFUNCTION("if(REGEXMATCH(AR263,$H$168),""X"","""")"),"X")</f>
        <v>X</v>
      </c>
      <c r="I263" s="800" t="str">
        <f>IFERROR(__xludf.DUMMYFUNCTION("if(REGEXMATCH(AR263,$I$168),""X"","""")"),"")</f>
        <v/>
      </c>
      <c r="J263" s="800" t="str">
        <f>IFERROR(__xludf.DUMMYFUNCTION("if(REGEXMATCH(AR263,$J$168),""X"","""")"),"X")</f>
        <v>X</v>
      </c>
      <c r="K263" s="800" t="str">
        <f>IFERROR(__xludf.DUMMYFUNCTION("if(REGEXMATCH(AR263,$K$168),""X"","""")"),"")</f>
        <v/>
      </c>
      <c r="L263" s="800" t="str">
        <f>IFERROR(__xludf.DUMMYFUNCTION("if(REGEXMATCH(AR263,$L$168),""X"","""")"),"")</f>
        <v/>
      </c>
      <c r="M263" s="800" t="str">
        <f>IFERROR(__xludf.DUMMYFUNCTION("if(REGEXMATCH(AR263,$M$168),""X"","""")"),"")</f>
        <v/>
      </c>
      <c r="N263" s="800" t="str">
        <f>IFERROR(__xludf.DUMMYFUNCTION("if(REGEXMATCH(AR263,$N$168),""X"","""")"),"")</f>
        <v/>
      </c>
      <c r="O263" s="800" t="str">
        <f>IFERROR(__xludf.DUMMYFUNCTION("if(REGEXMATCH(AR263,$O$168),""X"","""")"),"")</f>
        <v/>
      </c>
      <c r="P263" s="800" t="str">
        <f>IFERROR(__xludf.DUMMYFUNCTION("if(REGEXMATCH(AR263,""(all)""),""X"",if(REGEXMATCH(AR263,""arcana""),""X"",""""))"),"X")</f>
        <v>X</v>
      </c>
      <c r="Q263" s="800" t="str">
        <f>IFERROR(__xludf.DUMMYFUNCTION("if(REGEXMATCH(AR263,""(all)""),""X"",if(REGEXMATCH(AR263,""dungeoneering""),""X"",""""))"),"")</f>
        <v/>
      </c>
      <c r="R263" s="800" t="str">
        <f>IFERROR(__xludf.DUMMYFUNCTION("if(REGEXMATCH(AR263,""(all)""),""X"",if(REGEXMATCH(AR263,""engineering""),""X"",""""))"),"")</f>
        <v/>
      </c>
      <c r="S263" s="800" t="str">
        <f>IFERROR(__xludf.DUMMYFUNCTION("if(REGEXMATCH(AR263,""(all)""),""X"",if(REGEXMATCH(AR263,""geography""),""X"",""""))"),"")</f>
        <v/>
      </c>
      <c r="T263" s="800" t="str">
        <f>IFERROR(__xludf.DUMMYFUNCTION("if(REGEXMATCH(AR263,""(all)""),""X"",if(REGEXMATCH(AR263,""history""),""X"",""""))"),"")</f>
        <v/>
      </c>
      <c r="U263" s="800" t="str">
        <f>IFERROR(__xludf.DUMMYFUNCTION("if(REGEXMATCH(AR263,""(all)""),""X"",if(REGEXMATCH(AR263,""local""),""X"",""""))"),"X")</f>
        <v>X</v>
      </c>
      <c r="V263" s="800" t="str">
        <f>IFERROR(__xludf.DUMMYFUNCTION("if(REGEXMATCH(AR263,""(all)""),""X"",if(REGEXMATCH(AR263,""nature""),""X"",""""))"),"")</f>
        <v/>
      </c>
      <c r="W263" s="800" t="str">
        <f>IFERROR(__xludf.DUMMYFUNCTION("if(REGEXMATCH(AR263,""(all)""),""X"",if(REGEXMATCH(AR263,""nobility""),""X"",""""))"),"")</f>
        <v/>
      </c>
      <c r="X263" s="800" t="str">
        <f>IFERROR(__xludf.DUMMYFUNCTION("if(REGEXMATCH(AR263,""(all)""),""X"",if(REGEXMATCH(AR263,""planes""),""X"",""""))"),"X")</f>
        <v>X</v>
      </c>
      <c r="Y263" s="800" t="str">
        <f>IFERROR(__xludf.DUMMYFUNCTION("if(REGEXMATCH(AR263,""(all)""),""X"",if(REGEXMATCH(AR263,""religion""),""X"",""""))"),"")</f>
        <v/>
      </c>
      <c r="Z263" s="800" t="str">
        <f>IFERROR(__xludf.DUMMYFUNCTION("if(REGEXMATCH(AR263,$Z$168),""X"","""")"),"X")</f>
        <v>X</v>
      </c>
      <c r="AA263" s="800" t="str">
        <f>IFERROR(__xludf.DUMMYFUNCTION("if(REGEXMATCH(AR263,$AA$168),""X"","""")"),"X")</f>
        <v>X</v>
      </c>
      <c r="AB263" s="734" t="str">
        <f>IFERROR(__xludf.DUMMYFUNCTION("if(REGEXMATCH(AR263,""Perform""),""X"","""")"),"X")</f>
        <v>X</v>
      </c>
      <c r="AC263" s="734" t="str">
        <f t="shared" si="19"/>
        <v>X</v>
      </c>
      <c r="AD263" s="734" t="str">
        <f>IFERROR(__xludf.DUMMYFUNCTION("if(REGEXMATCH(AR263,""Profession""),""X"","""")"),"X")</f>
        <v>X</v>
      </c>
      <c r="AE263" s="734" t="str">
        <f t="shared" si="20"/>
        <v>X</v>
      </c>
      <c r="AF263" s="800" t="str">
        <f>IFERROR(__xludf.DUMMYFUNCTION("if(REGEXMATCH(AR263,$AF$168),""X"","""")"),"")</f>
        <v/>
      </c>
      <c r="AG263" s="800" t="str">
        <f>IFERROR(__xludf.DUMMYFUNCTION("if(REGEXMATCH(AR263,$AG$168),""X"","""")"),"X")</f>
        <v>X</v>
      </c>
      <c r="AH263" s="800" t="str">
        <f>IFERROR(__xludf.DUMMYFUNCTION("if(REGEXMATCH(AR263,$AH$168),""X"","""")"),"X")</f>
        <v>X</v>
      </c>
      <c r="AI263" s="800" t="str">
        <f>IFERROR(__xludf.DUMMYFUNCTION("if(REGEXMATCH(AR263,$AI$168),""X"","""")"),"X")</f>
        <v>X</v>
      </c>
      <c r="AJ263" s="739" t="str">
        <f>IFERROR(__xludf.DUMMYFUNCTION("if(REGEXMATCH(AR263,$AJ$168),""X"","""")"),"")</f>
        <v/>
      </c>
      <c r="AK263" s="800" t="str">
        <f>IFERROR(__xludf.DUMMYFUNCTION("if(REGEXMATCH(AR263,$AK$168),""X"","""")"),"")</f>
        <v/>
      </c>
      <c r="AL263" s="800" t="str">
        <f>IFERROR(__xludf.DUMMYFUNCTION("if(REGEXMATCH(AR263,$AL$168),""X"","""")"),"")</f>
        <v/>
      </c>
      <c r="AM263" s="800" t="str">
        <f>IFERROR(__xludf.DUMMYFUNCTION("if(REGEXMATCH(AR263,$AM$168),""X"","""")"),"")</f>
        <v/>
      </c>
      <c r="AN263" s="800"/>
      <c r="AO263" s="800"/>
      <c r="AP263" s="800" t="str">
        <f>IFERROR(__xludf.DUMMYFUNCTION("if(REGEXMATCH(AR263,""Craft""),""X"","""")"),"X")</f>
        <v>X</v>
      </c>
      <c r="AQ263" s="800" t="str">
        <f>IFERROR(__xludf.DUMMYFUNCTION("if(REGEXMATCH(AR263,""Knowledge""),""X"","""")"),"X")</f>
        <v>X</v>
      </c>
      <c r="AR263" s="939" t="s">
        <v>1215</v>
      </c>
      <c r="AS263" s="243"/>
      <c r="AT263" s="243"/>
      <c r="AU263" s="243"/>
      <c r="AV263" s="243"/>
      <c r="AW263" s="243"/>
      <c r="AX263" s="243"/>
      <c r="AY263" s="243"/>
      <c r="AZ263" s="243"/>
      <c r="BA263" s="243"/>
      <c r="BB263" s="243"/>
      <c r="BC263" s="243"/>
      <c r="BD263" s="243"/>
      <c r="BE263" s="243"/>
      <c r="BF263" s="243"/>
      <c r="BG263" s="243"/>
      <c r="BH263" s="243"/>
      <c r="BI263" s="243"/>
      <c r="BJ263" s="243"/>
      <c r="BK263" s="243"/>
      <c r="BL263" s="243"/>
    </row>
    <row r="264">
      <c r="A264" s="458" t="s">
        <v>513</v>
      </c>
      <c r="B264" s="734" t="str">
        <f>IFERROR(__xludf.DUMMYFUNCTION("if(REGEXMATCH(AR264,$B$168),""X"","""")"),"")</f>
        <v/>
      </c>
      <c r="C264" s="734" t="str">
        <f>IFERROR(__xludf.DUMMYFUNCTION("if(REGEXMATCH(AR264,$C$168),""X"","""")"),"X")</f>
        <v>X</v>
      </c>
      <c r="D264" s="800" t="str">
        <f>IFERROR(__xludf.DUMMYFUNCTION("if(REGEXMATCH(AR264,$D$168),""X"","""")"),"")</f>
        <v/>
      </c>
      <c r="E264" s="734" t="str">
        <f>IFERROR(__xludf.DUMMYFUNCTION("if(REGEXMATCH(AR264,$E$168),""X"","""")"),"")</f>
        <v/>
      </c>
      <c r="F264" s="734" t="str">
        <f>IFERROR(__xludf.DUMMYFUNCTION("if(REGEXMATCH(AR264,$F$168),""X"","""")"),"X")</f>
        <v>X</v>
      </c>
      <c r="G264" s="734" t="str">
        <f t="shared" si="18"/>
        <v>X</v>
      </c>
      <c r="H264" s="734" t="str">
        <f>IFERROR(__xludf.DUMMYFUNCTION("if(REGEXMATCH(AR264,$H$168),""X"","""")"),"X")</f>
        <v>X</v>
      </c>
      <c r="I264" s="800" t="str">
        <f>IFERROR(__xludf.DUMMYFUNCTION("if(REGEXMATCH(AR264,$I$168),""X"","""")"),"")</f>
        <v/>
      </c>
      <c r="J264" s="800" t="str">
        <f>IFERROR(__xludf.DUMMYFUNCTION("if(REGEXMATCH(AR264,$J$168),""X"","""")"),"")</f>
        <v/>
      </c>
      <c r="K264" s="800" t="str">
        <f>IFERROR(__xludf.DUMMYFUNCTION("if(REGEXMATCH(AR264,$K$168),""X"","""")"),"")</f>
        <v/>
      </c>
      <c r="L264" s="800" t="str">
        <f>IFERROR(__xludf.DUMMYFUNCTION("if(REGEXMATCH(AR264,$L$168),""X"","""")"),"")</f>
        <v/>
      </c>
      <c r="M264" s="800" t="str">
        <f>IFERROR(__xludf.DUMMYFUNCTION("if(REGEXMATCH(AR264,$M$168),""X"","""")"),"")</f>
        <v/>
      </c>
      <c r="N264" s="800" t="str">
        <f>IFERROR(__xludf.DUMMYFUNCTION("if(REGEXMATCH(AR264,$N$168),""X"","""")"),"X")</f>
        <v>X</v>
      </c>
      <c r="O264" s="800" t="str">
        <f>IFERROR(__xludf.DUMMYFUNCTION("if(REGEXMATCH(AR264,$O$168),""X"","""")"),"")</f>
        <v/>
      </c>
      <c r="P264" s="800" t="str">
        <f>IFERROR(__xludf.DUMMYFUNCTION("if(REGEXMATCH(AR264,""(all)""),""X"",if(REGEXMATCH(AR264,""arcana""),""X"",""""))"),"")</f>
        <v/>
      </c>
      <c r="Q264" s="800" t="str">
        <f>IFERROR(__xludf.DUMMYFUNCTION("if(REGEXMATCH(AR264,""(all)""),""X"",if(REGEXMATCH(AR264,""dungeoneering""),""X"",""""))"),"")</f>
        <v/>
      </c>
      <c r="R264" s="800" t="str">
        <f>IFERROR(__xludf.DUMMYFUNCTION("if(REGEXMATCH(AR264,""(all)""),""X"",if(REGEXMATCH(AR264,""engineering""),""X"",""""))"),"")</f>
        <v/>
      </c>
      <c r="S264" s="800" t="str">
        <f>IFERROR(__xludf.DUMMYFUNCTION("if(REGEXMATCH(AR264,""(all)""),""X"",if(REGEXMATCH(AR264,""geography""),""X"",""""))"),"")</f>
        <v/>
      </c>
      <c r="T264" s="800" t="str">
        <f>IFERROR(__xludf.DUMMYFUNCTION("if(REGEXMATCH(AR264,""(all)""),""X"",if(REGEXMATCH(AR264,""history""),""X"",""""))"),"")</f>
        <v/>
      </c>
      <c r="U264" s="800" t="str">
        <f>IFERROR(__xludf.DUMMYFUNCTION("if(REGEXMATCH(AR264,""(all)""),""X"",if(REGEXMATCH(AR264,""local""),""X"",""""))"),"")</f>
        <v/>
      </c>
      <c r="V264" s="800" t="str">
        <f>IFERROR(__xludf.DUMMYFUNCTION("if(REGEXMATCH(AR264,""(all)""),""X"",if(REGEXMATCH(AR264,""nature""),""X"",""""))"),"X")</f>
        <v>X</v>
      </c>
      <c r="W264" s="800" t="str">
        <f>IFERROR(__xludf.DUMMYFUNCTION("if(REGEXMATCH(AR264,""(all)""),""X"",if(REGEXMATCH(AR264,""nobility""),""X"",""""))"),"")</f>
        <v/>
      </c>
      <c r="X264" s="800" t="str">
        <f>IFERROR(__xludf.DUMMYFUNCTION("if(REGEXMATCH(AR264,""(all)""),""X"",if(REGEXMATCH(AR264,""planes""),""X"",""""))"),"")</f>
        <v/>
      </c>
      <c r="Y264" s="800" t="str">
        <f>IFERROR(__xludf.DUMMYFUNCTION("if(REGEXMATCH(AR264,""(all)""),""X"",if(REGEXMATCH(AR264,""religion""),""X"",""""))"),"")</f>
        <v/>
      </c>
      <c r="Z264" s="800" t="str">
        <f>IFERROR(__xludf.DUMMYFUNCTION("if(REGEXMATCH(AR264,$Z$168),""X"","""")"),"X")</f>
        <v>X</v>
      </c>
      <c r="AA264" s="800" t="str">
        <f>IFERROR(__xludf.DUMMYFUNCTION("if(REGEXMATCH(AR264,$AA$168),""X"","""")"),"X")</f>
        <v>X</v>
      </c>
      <c r="AB264" s="734" t="str">
        <f>IFERROR(__xludf.DUMMYFUNCTION("if(REGEXMATCH(AR264,""Perform""),""X"","""")"),"")</f>
        <v/>
      </c>
      <c r="AC264" s="734" t="str">
        <f t="shared" si="19"/>
        <v/>
      </c>
      <c r="AD264" s="734" t="str">
        <f>IFERROR(__xludf.DUMMYFUNCTION("if(REGEXMATCH(AR264,""Profession""),""X"","""")"),"X")</f>
        <v>X</v>
      </c>
      <c r="AE264" s="734" t="str">
        <f t="shared" si="20"/>
        <v>X</v>
      </c>
      <c r="AF264" s="800" t="str">
        <f>IFERROR(__xludf.DUMMYFUNCTION("if(REGEXMATCH(AR264,$AF$168),""X"","""")"),"")</f>
        <v/>
      </c>
      <c r="AG264" s="800" t="str">
        <f>IFERROR(__xludf.DUMMYFUNCTION("if(REGEXMATCH(AR264,$AG$168),""X"","""")"),"X")</f>
        <v>X</v>
      </c>
      <c r="AH264" s="800" t="str">
        <f>IFERROR(__xludf.DUMMYFUNCTION("if(REGEXMATCH(AR264,$AH$168),""X"","""")"),"")</f>
        <v/>
      </c>
      <c r="AI264" s="800" t="str">
        <f>IFERROR(__xludf.DUMMYFUNCTION("if(REGEXMATCH(AR264,$AI$168),""X"","""")"),"")</f>
        <v/>
      </c>
      <c r="AJ264" s="739" t="str">
        <f>IFERROR(__xludf.DUMMYFUNCTION("if(REGEXMATCH(AR264,$AJ$168),""X"","""")"),"")</f>
        <v/>
      </c>
      <c r="AK264" s="800" t="str">
        <f>IFERROR(__xludf.DUMMYFUNCTION("if(REGEXMATCH(AR264,$AK$168),""X"","""")"),"X")</f>
        <v>X</v>
      </c>
      <c r="AL264" s="800" t="str">
        <f>IFERROR(__xludf.DUMMYFUNCTION("if(REGEXMATCH(AR264,$AL$168),""X"","""")"),"")</f>
        <v/>
      </c>
      <c r="AM264" s="800" t="str">
        <f>IFERROR(__xludf.DUMMYFUNCTION("if(REGEXMATCH(AR264,$AM$168),""X"","""")"),"")</f>
        <v/>
      </c>
      <c r="AN264" s="800"/>
      <c r="AO264" s="800"/>
      <c r="AP264" s="800" t="str">
        <f>IFERROR(__xludf.DUMMYFUNCTION("if(REGEXMATCH(AR264,""Craft""),""X"","""")"),"X")</f>
        <v>X</v>
      </c>
      <c r="AQ264" s="800" t="str">
        <f>IFERROR(__xludf.DUMMYFUNCTION("if(REGEXMATCH(AR264,""Knowledge""),""X"","""")"),"X")</f>
        <v>X</v>
      </c>
      <c r="AR264" s="939" t="s">
        <v>1217</v>
      </c>
      <c r="AS264" s="243"/>
      <c r="AT264" s="243"/>
      <c r="AU264" s="243"/>
      <c r="AV264" s="243"/>
      <c r="AW264" s="243"/>
      <c r="AX264" s="243"/>
      <c r="AY264" s="243"/>
      <c r="AZ264" s="243"/>
      <c r="BA264" s="243"/>
      <c r="BB264" s="243"/>
      <c r="BC264" s="243"/>
      <c r="BD264" s="243"/>
      <c r="BE264" s="243"/>
      <c r="BF264" s="243"/>
      <c r="BG264" s="243"/>
      <c r="BH264" s="243"/>
      <c r="BI264" s="243"/>
      <c r="BJ264" s="243"/>
      <c r="BK264" s="243"/>
      <c r="BL264" s="243"/>
    </row>
    <row r="265">
      <c r="A265" s="458" t="s">
        <v>625</v>
      </c>
      <c r="B265" s="734" t="str">
        <f>IFERROR(__xludf.DUMMYFUNCTION("if(REGEXMATCH(AR265,$B$168),""X"","""")"),"")</f>
        <v/>
      </c>
      <c r="C265" s="734" t="str">
        <f>IFERROR(__xludf.DUMMYFUNCTION("if(REGEXMATCH(AR265,$C$168),""X"","""")"),"")</f>
        <v/>
      </c>
      <c r="D265" s="800" t="str">
        <f>IFERROR(__xludf.DUMMYFUNCTION("if(REGEXMATCH(AR265,$D$168),""X"","""")"),"X")</f>
        <v>X</v>
      </c>
      <c r="E265" s="734" t="str">
        <f>IFERROR(__xludf.DUMMYFUNCTION("if(REGEXMATCH(AR265,$E$168),""X"","""")"),"")</f>
        <v/>
      </c>
      <c r="F265" s="734" t="str">
        <f>IFERROR(__xludf.DUMMYFUNCTION("if(REGEXMATCH(AR265,$F$168),""X"","""")"),"X")</f>
        <v>X</v>
      </c>
      <c r="G265" s="734" t="str">
        <f t="shared" si="18"/>
        <v>X</v>
      </c>
      <c r="H265" s="734" t="str">
        <f>IFERROR(__xludf.DUMMYFUNCTION("if(REGEXMATCH(AR265,$H$168),""X"","""")"),"X")</f>
        <v>X</v>
      </c>
      <c r="I265" s="800" t="str">
        <f>IFERROR(__xludf.DUMMYFUNCTION("if(REGEXMATCH(AR265,$I$168),""X"","""")"),"")</f>
        <v/>
      </c>
      <c r="J265" s="800" t="str">
        <f>IFERROR(__xludf.DUMMYFUNCTION("if(REGEXMATCH(AR265,$J$168),""X"","""")"),"")</f>
        <v/>
      </c>
      <c r="K265" s="800" t="str">
        <f>IFERROR(__xludf.DUMMYFUNCTION("if(REGEXMATCH(AR265,$K$168),""X"","""")"),"")</f>
        <v/>
      </c>
      <c r="L265" s="800" t="str">
        <f>IFERROR(__xludf.DUMMYFUNCTION("if(REGEXMATCH(AR265,$L$168),""X"","""")"),"")</f>
        <v/>
      </c>
      <c r="M265" s="800" t="str">
        <f>IFERROR(__xludf.DUMMYFUNCTION("if(REGEXMATCH(AR265,$M$168),""X"","""")"),"")</f>
        <v/>
      </c>
      <c r="N265" s="800" t="str">
        <f>IFERROR(__xludf.DUMMYFUNCTION("if(REGEXMATCH(AR265,$N$168),""X"","""")"),"")</f>
        <v/>
      </c>
      <c r="O265" s="800" t="str">
        <f>IFERROR(__xludf.DUMMYFUNCTION("if(REGEXMATCH(AR265,$O$168),""X"","""")"),"X")</f>
        <v>X</v>
      </c>
      <c r="P265" s="800" t="str">
        <f>IFERROR(__xludf.DUMMYFUNCTION("if(REGEXMATCH(AR265,""(all)""),""X"",if(REGEXMATCH(AR265,""arcana""),""X"",""""))"),"X")</f>
        <v>X</v>
      </c>
      <c r="Q265" s="800" t="str">
        <f>IFERROR(__xludf.DUMMYFUNCTION("if(REGEXMATCH(AR265,""(all)""),""X"",if(REGEXMATCH(AR265,""dungeoneering""),""X"",""""))"),"X")</f>
        <v>X</v>
      </c>
      <c r="R265" s="800" t="str">
        <f>IFERROR(__xludf.DUMMYFUNCTION("if(REGEXMATCH(AR265,""(all)""),""X"",if(REGEXMATCH(AR265,""engineering""),""X"",""""))"),"X")</f>
        <v>X</v>
      </c>
      <c r="S265" s="800" t="str">
        <f>IFERROR(__xludf.DUMMYFUNCTION("if(REGEXMATCH(AR265,""(all)""),""X"",if(REGEXMATCH(AR265,""geography""),""X"",""""))"),"X")</f>
        <v>X</v>
      </c>
      <c r="T265" s="800" t="str">
        <f>IFERROR(__xludf.DUMMYFUNCTION("if(REGEXMATCH(AR265,""(all)""),""X"",if(REGEXMATCH(AR265,""history""),""X"",""""))"),"X")</f>
        <v>X</v>
      </c>
      <c r="U265" s="800" t="str">
        <f>IFERROR(__xludf.DUMMYFUNCTION("if(REGEXMATCH(AR265,""(all)""),""X"",if(REGEXMATCH(AR265,""local""),""X"",""""))"),"X")</f>
        <v>X</v>
      </c>
      <c r="V265" s="800" t="str">
        <f>IFERROR(__xludf.DUMMYFUNCTION("if(REGEXMATCH(AR265,""(all)""),""X"",if(REGEXMATCH(AR265,""nature""),""X"",""""))"),"X")</f>
        <v>X</v>
      </c>
      <c r="W265" s="800" t="str">
        <f>IFERROR(__xludf.DUMMYFUNCTION("if(REGEXMATCH(AR265,""(all)""),""X"",if(REGEXMATCH(AR265,""nobility""),""X"",""""))"),"X")</f>
        <v>X</v>
      </c>
      <c r="X265" s="800" t="str">
        <f>IFERROR(__xludf.DUMMYFUNCTION("if(REGEXMATCH(AR265,""(all)""),""X"",if(REGEXMATCH(AR265,""planes""),""X"",""""))"),"X")</f>
        <v>X</v>
      </c>
      <c r="Y265" s="800" t="str">
        <f>IFERROR(__xludf.DUMMYFUNCTION("if(REGEXMATCH(AR265,""(all)""),""X"",if(REGEXMATCH(AR265,""religion""),""X"",""""))"),"X")</f>
        <v>X</v>
      </c>
      <c r="Z265" s="800" t="str">
        <f>IFERROR(__xludf.DUMMYFUNCTION("if(REGEXMATCH(AR265,$Z$168),""X"","""")"),"X")</f>
        <v>X</v>
      </c>
      <c r="AA265" s="800" t="str">
        <f>IFERROR(__xludf.DUMMYFUNCTION("if(REGEXMATCH(AR265,$AA$168),""X"","""")"),"X")</f>
        <v>X</v>
      </c>
      <c r="AB265" s="734" t="str">
        <f>IFERROR(__xludf.DUMMYFUNCTION("if(REGEXMATCH(AR265,""Perform""),""X"","""")"),"")</f>
        <v/>
      </c>
      <c r="AC265" s="734" t="str">
        <f t="shared" si="19"/>
        <v/>
      </c>
      <c r="AD265" s="734" t="str">
        <f>IFERROR(__xludf.DUMMYFUNCTION("if(REGEXMATCH(AR265,""Profession""),""X"","""")"),"X")</f>
        <v>X</v>
      </c>
      <c r="AE265" s="734" t="str">
        <f t="shared" si="20"/>
        <v>X</v>
      </c>
      <c r="AF265" s="800" t="str">
        <f>IFERROR(__xludf.DUMMYFUNCTION("if(REGEXMATCH(AR265,$AF$168),""X"","""")"),"")</f>
        <v/>
      </c>
      <c r="AG265" s="800" t="str">
        <f>IFERROR(__xludf.DUMMYFUNCTION("if(REGEXMATCH(AR265,$AG$168),""X"","""")"),"")</f>
        <v/>
      </c>
      <c r="AH265" s="800" t="str">
        <f>IFERROR(__xludf.DUMMYFUNCTION("if(REGEXMATCH(AR265,$AH$168),""X"","""")"),"")</f>
        <v/>
      </c>
      <c r="AI265" s="800" t="str">
        <f>IFERROR(__xludf.DUMMYFUNCTION("if(REGEXMATCH(AR265,$AI$168),""X"","""")"),"X")</f>
        <v>X</v>
      </c>
      <c r="AJ265" s="739" t="str">
        <f>IFERROR(__xludf.DUMMYFUNCTION("if(REGEXMATCH(AR265,$AJ$168),""X"","""")"),"")</f>
        <v/>
      </c>
      <c r="AK265" s="800" t="str">
        <f>IFERROR(__xludf.DUMMYFUNCTION("if(REGEXMATCH(AR265,$AK$168),""X"","""")"),"")</f>
        <v/>
      </c>
      <c r="AL265" s="800" t="str">
        <f>IFERROR(__xludf.DUMMYFUNCTION("if(REGEXMATCH(AR265,$AL$168),""X"","""")"),"")</f>
        <v/>
      </c>
      <c r="AM265" s="800" t="str">
        <f>IFERROR(__xludf.DUMMYFUNCTION("if(REGEXMATCH(AR265,$AM$168),""X"","""")"),"X")</f>
        <v>X</v>
      </c>
      <c r="AN265" s="800"/>
      <c r="AO265" s="800"/>
      <c r="AP265" s="800" t="str">
        <f>IFERROR(__xludf.DUMMYFUNCTION("if(REGEXMATCH(AR265,""Craft""),""X"","""")"),"X")</f>
        <v>X</v>
      </c>
      <c r="AQ265" s="800" t="str">
        <f>IFERROR(__xludf.DUMMYFUNCTION("if(REGEXMATCH(AR265,""Knowledge""),""X"","""")"),"X")</f>
        <v>X</v>
      </c>
      <c r="AR265" s="939" t="s">
        <v>1229</v>
      </c>
      <c r="AS265" s="243"/>
      <c r="AT265" s="243"/>
      <c r="AU265" s="243"/>
      <c r="AV265" s="243"/>
      <c r="AW265" s="243"/>
      <c r="AX265" s="243"/>
      <c r="AY265" s="243"/>
      <c r="AZ265" s="243"/>
      <c r="BA265" s="243"/>
      <c r="BB265" s="243"/>
      <c r="BC265" s="243"/>
      <c r="BD265" s="243"/>
      <c r="BE265" s="243"/>
      <c r="BF265" s="243"/>
      <c r="BG265" s="243"/>
      <c r="BH265" s="243"/>
      <c r="BI265" s="243"/>
      <c r="BJ265" s="243"/>
      <c r="BK265" s="243"/>
      <c r="BL265" s="243"/>
    </row>
    <row r="266">
      <c r="A266" s="458" t="s">
        <v>244</v>
      </c>
      <c r="B266" s="734" t="str">
        <f>IFERROR(__xludf.DUMMYFUNCTION("if(REGEXMATCH(AR266,$B$168),""X"","""")"),"")</f>
        <v/>
      </c>
      <c r="C266" s="734" t="str">
        <f>IFERROR(__xludf.DUMMYFUNCTION("if(REGEXMATCH(AR266,$C$168),""X"","""")"),"")</f>
        <v/>
      </c>
      <c r="D266" s="800" t="str">
        <f>IFERROR(__xludf.DUMMYFUNCTION("if(REGEXMATCH(AR266,$D$168),""X"","""")"),"")</f>
        <v/>
      </c>
      <c r="E266" s="734" t="str">
        <f>IFERROR(__xludf.DUMMYFUNCTION("if(REGEXMATCH(AR266,$E$168),""X"","""")"),"")</f>
        <v/>
      </c>
      <c r="F266" s="734" t="str">
        <f>IFERROR(__xludf.DUMMYFUNCTION("if(REGEXMATCH(AR266,$F$168),""X"","""")"),"X")</f>
        <v>X</v>
      </c>
      <c r="G266" s="734" t="str">
        <f t="shared" si="18"/>
        <v>X</v>
      </c>
      <c r="H266" s="734" t="str">
        <f>IFERROR(__xludf.DUMMYFUNCTION("if(REGEXMATCH(AR266,$H$168),""X"","""")"),"X")</f>
        <v>X</v>
      </c>
      <c r="I266" s="800" t="str">
        <f>IFERROR(__xludf.DUMMYFUNCTION("if(REGEXMATCH(AR266,$I$168),""X"","""")"),"")</f>
        <v/>
      </c>
      <c r="J266" s="800" t="str">
        <f>IFERROR(__xludf.DUMMYFUNCTION("if(REGEXMATCH(AR266,$J$168),""X"","""")"),"")</f>
        <v/>
      </c>
      <c r="K266" s="800" t="str">
        <f>IFERROR(__xludf.DUMMYFUNCTION("if(REGEXMATCH(AR266,$K$168),""X"","""")"),"")</f>
        <v/>
      </c>
      <c r="L266" s="800" t="str">
        <f>IFERROR(__xludf.DUMMYFUNCTION("if(REGEXMATCH(AR266,$L$168),""X"","""")"),"X")</f>
        <v>X</v>
      </c>
      <c r="M266" s="800" t="str">
        <f>IFERROR(__xludf.DUMMYFUNCTION("if(REGEXMATCH(AR266,$M$168),""X"","""")"),"")</f>
        <v/>
      </c>
      <c r="N266" s="800" t="str">
        <f>IFERROR(__xludf.DUMMYFUNCTION("if(REGEXMATCH(AR266,$N$168),""X"","""")"),"")</f>
        <v/>
      </c>
      <c r="O266" s="800" t="str">
        <f>IFERROR(__xludf.DUMMYFUNCTION("if(REGEXMATCH(AR266,$O$168),""X"","""")"),"")</f>
        <v/>
      </c>
      <c r="P266" s="800" t="str">
        <f>IFERROR(__xludf.DUMMYFUNCTION("if(REGEXMATCH(AR266,""(all)""),""X"",if(REGEXMATCH(AR266,""arcana""),""X"",""""))"),"X")</f>
        <v>X</v>
      </c>
      <c r="Q266" s="800" t="str">
        <f>IFERROR(__xludf.DUMMYFUNCTION("if(REGEXMATCH(AR266,""(all)""),""X"",if(REGEXMATCH(AR266,""dungeoneering""),""X"",""""))"),"X")</f>
        <v>X</v>
      </c>
      <c r="R266" s="800" t="str">
        <f>IFERROR(__xludf.DUMMYFUNCTION("if(REGEXMATCH(AR266,""(all)""),""X"",if(REGEXMATCH(AR266,""engineering""),""X"",""""))"),"X")</f>
        <v>X</v>
      </c>
      <c r="S266" s="800" t="str">
        <f>IFERROR(__xludf.DUMMYFUNCTION("if(REGEXMATCH(AR266,""(all)""),""X"",if(REGEXMATCH(AR266,""geography""),""X"",""""))"),"X")</f>
        <v>X</v>
      </c>
      <c r="T266" s="800" t="str">
        <f>IFERROR(__xludf.DUMMYFUNCTION("if(REGEXMATCH(AR266,""(all)""),""X"",if(REGEXMATCH(AR266,""history""),""X"",""""))"),"X")</f>
        <v>X</v>
      </c>
      <c r="U266" s="800" t="str">
        <f>IFERROR(__xludf.DUMMYFUNCTION("if(REGEXMATCH(AR266,""(all)""),""X"",if(REGEXMATCH(AR266,""local""),""X"",""""))"),"X")</f>
        <v>X</v>
      </c>
      <c r="V266" s="800" t="str">
        <f>IFERROR(__xludf.DUMMYFUNCTION("if(REGEXMATCH(AR266,""(all)""),""X"",if(REGEXMATCH(AR266,""nature""),""X"",""""))"),"X")</f>
        <v>X</v>
      </c>
      <c r="W266" s="800" t="str">
        <f>IFERROR(__xludf.DUMMYFUNCTION("if(REGEXMATCH(AR266,""(all)""),""X"",if(REGEXMATCH(AR266,""nobility""),""X"",""""))"),"X")</f>
        <v>X</v>
      </c>
      <c r="X266" s="800" t="str">
        <f>IFERROR(__xludf.DUMMYFUNCTION("if(REGEXMATCH(AR266,""(all)""),""X"",if(REGEXMATCH(AR266,""planes""),""X"",""""))"),"X")</f>
        <v>X</v>
      </c>
      <c r="Y266" s="800" t="str">
        <f>IFERROR(__xludf.DUMMYFUNCTION("if(REGEXMATCH(AR266,""(all)""),""X"",if(REGEXMATCH(AR266,""religion""),""X"",""""))"),"X")</f>
        <v>X</v>
      </c>
      <c r="Z266" s="800" t="str">
        <f>IFERROR(__xludf.DUMMYFUNCTION("if(REGEXMATCH(AR266,$Z$168),""X"","""")"),"X")</f>
        <v>X</v>
      </c>
      <c r="AA266" s="800" t="str">
        <f>IFERROR(__xludf.DUMMYFUNCTION("if(REGEXMATCH(AR266,$AA$168),""X"","""")"),"")</f>
        <v/>
      </c>
      <c r="AB266" s="734" t="str">
        <f>IFERROR(__xludf.DUMMYFUNCTION("if(REGEXMATCH(AR266,""Perform""),""X"","""")"),"")</f>
        <v/>
      </c>
      <c r="AC266" s="734" t="str">
        <f t="shared" si="19"/>
        <v/>
      </c>
      <c r="AD266" s="734" t="str">
        <f>IFERROR(__xludf.DUMMYFUNCTION("if(REGEXMATCH(AR266,""Profession""),""X"","""")"),"X")</f>
        <v>X</v>
      </c>
      <c r="AE266" s="734" t="str">
        <f t="shared" si="20"/>
        <v>X</v>
      </c>
      <c r="AF266" s="800" t="str">
        <f>IFERROR(__xludf.DUMMYFUNCTION("if(REGEXMATCH(AR266,$AF$168),""X"","""")"),"X")</f>
        <v>X</v>
      </c>
      <c r="AG266" s="800" t="str">
        <f>IFERROR(__xludf.DUMMYFUNCTION("if(REGEXMATCH(AR266,$AG$168),""X"","""")"),"")</f>
        <v/>
      </c>
      <c r="AH266" s="800" t="str">
        <f>IFERROR(__xludf.DUMMYFUNCTION("if(REGEXMATCH(AR266,$AH$168),""X"","""")"),"")</f>
        <v/>
      </c>
      <c r="AI266" s="800" t="str">
        <f>IFERROR(__xludf.DUMMYFUNCTION("if(REGEXMATCH(AR266,$AI$168),""X"","""")"),"X")</f>
        <v>X</v>
      </c>
      <c r="AJ266" s="739" t="str">
        <f>IFERROR(__xludf.DUMMYFUNCTION("if(REGEXMATCH(AR266,$AJ$168),""X"","""")"),"")</f>
        <v/>
      </c>
      <c r="AK266" s="800" t="str">
        <f>IFERROR(__xludf.DUMMYFUNCTION("if(REGEXMATCH(AR266,$AK$168),""X"","""")"),"")</f>
        <v/>
      </c>
      <c r="AL266" s="800" t="str">
        <f>IFERROR(__xludf.DUMMYFUNCTION("if(REGEXMATCH(AR266,$AL$168),""X"","""")"),"")</f>
        <v/>
      </c>
      <c r="AM266" s="800" t="str">
        <f>IFERROR(__xludf.DUMMYFUNCTION("if(REGEXMATCH(AR266,$AM$168),""X"","""")"),"X")</f>
        <v>X</v>
      </c>
      <c r="AN266" s="800"/>
      <c r="AO266" s="800"/>
      <c r="AP266" s="800" t="str">
        <f>IFERROR(__xludf.DUMMYFUNCTION("if(REGEXMATCH(AR266,""Craft""),""X"","""")"),"X")</f>
        <v>X</v>
      </c>
      <c r="AQ266" s="800" t="str">
        <f>IFERROR(__xludf.DUMMYFUNCTION("if(REGEXMATCH(AR266,""Knowledge""),""X"","""")"),"X")</f>
        <v>X</v>
      </c>
      <c r="AR266" s="939" t="s">
        <v>1236</v>
      </c>
      <c r="AS266" s="243"/>
      <c r="AT266" s="243"/>
      <c r="AU266" s="243"/>
      <c r="AV266" s="243"/>
      <c r="AW266" s="243"/>
      <c r="AX266" s="243"/>
      <c r="AY266" s="243"/>
      <c r="AZ266" s="243"/>
      <c r="BA266" s="243"/>
      <c r="BB266" s="243"/>
      <c r="BC266" s="243"/>
      <c r="BD266" s="243"/>
      <c r="BE266" s="243"/>
      <c r="BF266" s="243"/>
      <c r="BG266" s="243"/>
      <c r="BH266" s="243"/>
      <c r="BI266" s="243"/>
      <c r="BJ266" s="243"/>
      <c r="BK266" s="243"/>
      <c r="BL266" s="243"/>
    </row>
    <row r="267">
      <c r="A267" s="458" t="s">
        <v>630</v>
      </c>
      <c r="B267" s="734" t="str">
        <f>IFERROR(__xludf.DUMMYFUNCTION("if(REGEXMATCH(AR267,$B$168),""X"","""")"),"")</f>
        <v/>
      </c>
      <c r="C267" s="734" t="str">
        <f>IFERROR(__xludf.DUMMYFUNCTION("if(REGEXMATCH(AR267,$C$168),""X"","""")"),"X")</f>
        <v>X</v>
      </c>
      <c r="D267" s="800" t="str">
        <f>IFERROR(__xludf.DUMMYFUNCTION("if(REGEXMATCH(AR267,$D$168),""X"","""")"),"")</f>
        <v/>
      </c>
      <c r="E267" s="734" t="str">
        <f>IFERROR(__xludf.DUMMYFUNCTION("if(REGEXMATCH(AR267,$E$168),""X"","""")"),"")</f>
        <v/>
      </c>
      <c r="F267" s="734" t="str">
        <f>IFERROR(__xludf.DUMMYFUNCTION("if(REGEXMATCH(AR267,$F$168),""X"","""")"),"X")</f>
        <v>X</v>
      </c>
      <c r="G267" s="734" t="str">
        <f t="shared" si="18"/>
        <v>X</v>
      </c>
      <c r="H267" s="734" t="str">
        <f>IFERROR(__xludf.DUMMYFUNCTION("if(REGEXMATCH(AR267,$H$168),""X"","""")"),"")</f>
        <v/>
      </c>
      <c r="I267" s="800" t="str">
        <f>IFERROR(__xludf.DUMMYFUNCTION("if(REGEXMATCH(AR267,$I$168),""X"","""")"),"")</f>
        <v/>
      </c>
      <c r="J267" s="800" t="str">
        <f>IFERROR(__xludf.DUMMYFUNCTION("if(REGEXMATCH(AR267,$J$168),""X"","""")"),"")</f>
        <v/>
      </c>
      <c r="K267" s="800" t="str">
        <f>IFERROR(__xludf.DUMMYFUNCTION("if(REGEXMATCH(AR267,$K$168),""X"","""")"),"")</f>
        <v/>
      </c>
      <c r="L267" s="800" t="str">
        <f>IFERROR(__xludf.DUMMYFUNCTION("if(REGEXMATCH(AR267,$L$168),""X"","""")"),"X")</f>
        <v>X</v>
      </c>
      <c r="M267" s="800" t="str">
        <f>IFERROR(__xludf.DUMMYFUNCTION("if(REGEXMATCH(AR267,$M$168),""X"","""")"),"")</f>
        <v/>
      </c>
      <c r="N267" s="800" t="str">
        <f>IFERROR(__xludf.DUMMYFUNCTION("if(REGEXMATCH(AR267,$N$168),""X"","""")"),"")</f>
        <v/>
      </c>
      <c r="O267" s="800" t="str">
        <f>IFERROR(__xludf.DUMMYFUNCTION("if(REGEXMATCH(AR267,$O$168),""X"","""")"),"")</f>
        <v/>
      </c>
      <c r="P267" s="800" t="str">
        <f>IFERROR(__xludf.DUMMYFUNCTION("if(REGEXMATCH(AR267,""(all)""),""X"",if(REGEXMATCH(AR267,""arcana""),""X"",""""))"),"X")</f>
        <v>X</v>
      </c>
      <c r="Q267" s="800" t="str">
        <f>IFERROR(__xludf.DUMMYFUNCTION("if(REGEXMATCH(AR267,""(all)""),""X"",if(REGEXMATCH(AR267,""dungeoneering""),""X"",""""))"),"X")</f>
        <v>X</v>
      </c>
      <c r="R267" s="800" t="str">
        <f>IFERROR(__xludf.DUMMYFUNCTION("if(REGEXMATCH(AR267,""(all)""),""X"",if(REGEXMATCH(AR267,""engineering""),""X"",""""))"),"X")</f>
        <v>X</v>
      </c>
      <c r="S267" s="800" t="str">
        <f>IFERROR(__xludf.DUMMYFUNCTION("if(REGEXMATCH(AR267,""(all)""),""X"",if(REGEXMATCH(AR267,""geography""),""X"",""""))"),"X")</f>
        <v>X</v>
      </c>
      <c r="T267" s="800" t="str">
        <f>IFERROR(__xludf.DUMMYFUNCTION("if(REGEXMATCH(AR267,""(all)""),""X"",if(REGEXMATCH(AR267,""history""),""X"",""""))"),"X")</f>
        <v>X</v>
      </c>
      <c r="U267" s="800" t="str">
        <f>IFERROR(__xludf.DUMMYFUNCTION("if(REGEXMATCH(AR267,""(all)""),""X"",if(REGEXMATCH(AR267,""local""),""X"",""""))"),"X")</f>
        <v>X</v>
      </c>
      <c r="V267" s="800" t="str">
        <f>IFERROR(__xludf.DUMMYFUNCTION("if(REGEXMATCH(AR267,""(all)""),""X"",if(REGEXMATCH(AR267,""nature""),""X"",""""))"),"X")</f>
        <v>X</v>
      </c>
      <c r="W267" s="800" t="str">
        <f>IFERROR(__xludf.DUMMYFUNCTION("if(REGEXMATCH(AR267,""(all)""),""X"",if(REGEXMATCH(AR267,""nobility""),""X"",""""))"),"X")</f>
        <v>X</v>
      </c>
      <c r="X267" s="800" t="str">
        <f>IFERROR(__xludf.DUMMYFUNCTION("if(REGEXMATCH(AR267,""(all)""),""X"",if(REGEXMATCH(AR267,""planes""),""X"",""""))"),"X")</f>
        <v>X</v>
      </c>
      <c r="Y267" s="800" t="str">
        <f>IFERROR(__xludf.DUMMYFUNCTION("if(REGEXMATCH(AR267,""(all)""),""X"",if(REGEXMATCH(AR267,""religion""),""X"",""""))"),"X")</f>
        <v>X</v>
      </c>
      <c r="Z267" s="800" t="str">
        <f>IFERROR(__xludf.DUMMYFUNCTION("if(REGEXMATCH(AR267,$Z$168),""X"","""")"),"X")</f>
        <v>X</v>
      </c>
      <c r="AA267" s="800" t="str">
        <f>IFERROR(__xludf.DUMMYFUNCTION("if(REGEXMATCH(AR267,$AA$168),""X"","""")"),"X")</f>
        <v>X</v>
      </c>
      <c r="AB267" s="734" t="str">
        <f>IFERROR(__xludf.DUMMYFUNCTION("if(REGEXMATCH(AR267,""Perform""),""X"","""")"),"")</f>
        <v/>
      </c>
      <c r="AC267" s="734" t="str">
        <f t="shared" si="19"/>
        <v/>
      </c>
      <c r="AD267" s="734" t="str">
        <f>IFERROR(__xludf.DUMMYFUNCTION("if(REGEXMATCH(AR267,""Profession""),""X"","""")"),"X")</f>
        <v>X</v>
      </c>
      <c r="AE267" s="734" t="str">
        <f t="shared" si="20"/>
        <v>X</v>
      </c>
      <c r="AF267" s="800" t="str">
        <f>IFERROR(__xludf.DUMMYFUNCTION("if(REGEXMATCH(AR267,$AF$168),""X"","""")"),"")</f>
        <v/>
      </c>
      <c r="AG267" s="800" t="str">
        <f>IFERROR(__xludf.DUMMYFUNCTION("if(REGEXMATCH(AR267,$AG$168),""X"","""")"),"")</f>
        <v/>
      </c>
      <c r="AH267" s="800" t="str">
        <f>IFERROR(__xludf.DUMMYFUNCTION("if(REGEXMATCH(AR267,$AH$168),""X"","""")"),"")</f>
        <v/>
      </c>
      <c r="AI267" s="800" t="str">
        <f>IFERROR(__xludf.DUMMYFUNCTION("if(REGEXMATCH(AR267,$AI$168),""X"","""")"),"X")</f>
        <v>X</v>
      </c>
      <c r="AJ267" s="739" t="str">
        <f>IFERROR(__xludf.DUMMYFUNCTION("if(REGEXMATCH(AR267,$AJ$168),""X"","""")"),"")</f>
        <v/>
      </c>
      <c r="AK267" s="800" t="str">
        <f>IFERROR(__xludf.DUMMYFUNCTION("if(REGEXMATCH(AR267,$AK$168),""X"","""")"),"")</f>
        <v/>
      </c>
      <c r="AL267" s="800" t="str">
        <f>IFERROR(__xludf.DUMMYFUNCTION("if(REGEXMATCH(AR267,$AL$168),""X"","""")"),"")</f>
        <v/>
      </c>
      <c r="AM267" s="800" t="str">
        <f>IFERROR(__xludf.DUMMYFUNCTION("if(REGEXMATCH(AR267,$AM$168),""X"","""")"),"")</f>
        <v/>
      </c>
      <c r="AN267" s="800"/>
      <c r="AO267" s="800"/>
      <c r="AP267" s="800" t="str">
        <f>IFERROR(__xludf.DUMMYFUNCTION("if(REGEXMATCH(AR267,""Craft""),""X"","""")"),"X")</f>
        <v>X</v>
      </c>
      <c r="AQ267" s="800" t="str">
        <f>IFERROR(__xludf.DUMMYFUNCTION("if(REGEXMATCH(AR267,""Knowledge""),""X"","""")"),"X")</f>
        <v>X</v>
      </c>
      <c r="AR267" s="939" t="s">
        <v>1250</v>
      </c>
      <c r="AS267" s="243"/>
      <c r="AT267" s="243"/>
      <c r="AU267" s="243"/>
      <c r="AV267" s="243"/>
      <c r="AW267" s="243"/>
      <c r="AX267" s="243"/>
      <c r="AY267" s="243"/>
      <c r="AZ267" s="243"/>
      <c r="BA267" s="243"/>
      <c r="BB267" s="243"/>
      <c r="BC267" s="243"/>
      <c r="BD267" s="243"/>
      <c r="BE267" s="243"/>
      <c r="BF267" s="243"/>
      <c r="BG267" s="243"/>
      <c r="BH267" s="243"/>
      <c r="BI267" s="243"/>
      <c r="BJ267" s="243"/>
      <c r="BK267" s="243"/>
      <c r="BL267" s="243"/>
    </row>
    <row r="268">
      <c r="A268" s="458" t="s">
        <v>631</v>
      </c>
      <c r="B268" s="734" t="str">
        <f>IFERROR(__xludf.DUMMYFUNCTION("if(REGEXMATCH(AR268,$B$168),""X"","""")"),"X")</f>
        <v>X</v>
      </c>
      <c r="C268" s="734" t="str">
        <f>IFERROR(__xludf.DUMMYFUNCTION("if(REGEXMATCH(AR268,$C$168),""X"","""")"),"")</f>
        <v/>
      </c>
      <c r="D268" s="800" t="str">
        <f>IFERROR(__xludf.DUMMYFUNCTION("if(REGEXMATCH(AR268,$D$168),""X"","""")"),"")</f>
        <v/>
      </c>
      <c r="E268" s="734" t="str">
        <f>IFERROR(__xludf.DUMMYFUNCTION("if(REGEXMATCH(AR268,$E$168),""X"","""")"),"X")</f>
        <v>X</v>
      </c>
      <c r="F268" s="734" t="str">
        <f>IFERROR(__xludf.DUMMYFUNCTION("if(REGEXMATCH(AR268,$F$168),""X"","""")"),"X")</f>
        <v>X</v>
      </c>
      <c r="G268" s="734" t="str">
        <f t="shared" si="18"/>
        <v>X</v>
      </c>
      <c r="H268" s="734" t="str">
        <f>IFERROR(__xludf.DUMMYFUNCTION("if(REGEXMATCH(AR268,$H$168),""X"","""")"),"")</f>
        <v/>
      </c>
      <c r="I268" s="800" t="str">
        <f>IFERROR(__xludf.DUMMYFUNCTION("if(REGEXMATCH(AR268,$I$168),""X"","""")"),"")</f>
        <v/>
      </c>
      <c r="J268" s="800" t="str">
        <f>IFERROR(__xludf.DUMMYFUNCTION("if(REGEXMATCH(AR268,$J$168),""X"","""")"),"")</f>
        <v/>
      </c>
      <c r="K268" s="800" t="str">
        <f>IFERROR(__xludf.DUMMYFUNCTION("if(REGEXMATCH(AR268,$K$168),""X"","""")"),"X")</f>
        <v>X</v>
      </c>
      <c r="L268" s="800" t="str">
        <f>IFERROR(__xludf.DUMMYFUNCTION("if(REGEXMATCH(AR268,$L$168),""X"","""")"),"")</f>
        <v/>
      </c>
      <c r="M268" s="800" t="str">
        <f>IFERROR(__xludf.DUMMYFUNCTION("if(REGEXMATCH(AR268,$M$168),""X"","""")"),"X")</f>
        <v>X</v>
      </c>
      <c r="N268" s="800" t="str">
        <f>IFERROR(__xludf.DUMMYFUNCTION("if(REGEXMATCH(AR268,$N$168),""X"","""")"),"")</f>
        <v/>
      </c>
      <c r="O268" s="800" t="str">
        <f>IFERROR(__xludf.DUMMYFUNCTION("if(REGEXMATCH(AR268,$O$168),""X"","""")"),"X")</f>
        <v>X</v>
      </c>
      <c r="P268" s="800" t="str">
        <f>IFERROR(__xludf.DUMMYFUNCTION("if(REGEXMATCH(AR268,""(all)""),""X"",if(REGEXMATCH(AR268,""arcana""),""X"",""""))"),"")</f>
        <v/>
      </c>
      <c r="Q268" s="800" t="str">
        <f>IFERROR(__xludf.DUMMYFUNCTION("if(REGEXMATCH(AR268,""(all)""),""X"",if(REGEXMATCH(AR268,""dungeoneering""),""X"",""""))"),"X")</f>
        <v>X</v>
      </c>
      <c r="R268" s="800" t="str">
        <f>IFERROR(__xludf.DUMMYFUNCTION("if(REGEXMATCH(AR268,""(all)""),""X"",if(REGEXMATCH(AR268,""engineering""),""X"",""""))"),"")</f>
        <v/>
      </c>
      <c r="S268" s="800" t="str">
        <f>IFERROR(__xludf.DUMMYFUNCTION("if(REGEXMATCH(AR268,""(all)""),""X"",if(REGEXMATCH(AR268,""geography""),""X"",""""))"),"")</f>
        <v/>
      </c>
      <c r="T268" s="800" t="str">
        <f>IFERROR(__xludf.DUMMYFUNCTION("if(REGEXMATCH(AR268,""(all)""),""X"",if(REGEXMATCH(AR268,""history""),""X"",""""))"),"")</f>
        <v/>
      </c>
      <c r="U268" s="800" t="str">
        <f>IFERROR(__xludf.DUMMYFUNCTION("if(REGEXMATCH(AR268,""(all)""),""X"",if(REGEXMATCH(AR268,""local""),""X"",""""))"),"X")</f>
        <v>X</v>
      </c>
      <c r="V268" s="800" t="str">
        <f>IFERROR(__xludf.DUMMYFUNCTION("if(REGEXMATCH(AR268,""(all)""),""X"",if(REGEXMATCH(AR268,""nature""),""X"",""""))"),"")</f>
        <v/>
      </c>
      <c r="W268" s="800" t="str">
        <f>IFERROR(__xludf.DUMMYFUNCTION("if(REGEXMATCH(AR268,""(all)""),""X"",if(REGEXMATCH(AR268,""nobility""),""X"",""""))"),"")</f>
        <v/>
      </c>
      <c r="X268" s="800" t="str">
        <f>IFERROR(__xludf.DUMMYFUNCTION("if(REGEXMATCH(AR268,""(all)""),""X"",if(REGEXMATCH(AR268,""planes""),""X"",""""))"),"")</f>
        <v/>
      </c>
      <c r="Y268" s="800" t="str">
        <f>IFERROR(__xludf.DUMMYFUNCTION("if(REGEXMATCH(AR268,""(all)""),""X"",if(REGEXMATCH(AR268,""religion""),""X"",""""))"),"")</f>
        <v/>
      </c>
      <c r="Z268" s="800" t="str">
        <f>IFERROR(__xludf.DUMMYFUNCTION("if(REGEXMATCH(AR268,$Z$168),""X"","""")"),"")</f>
        <v/>
      </c>
      <c r="AA268" s="800" t="str">
        <f>IFERROR(__xludf.DUMMYFUNCTION("if(REGEXMATCH(AR268,$AA$168),""X"","""")"),"X")</f>
        <v>X</v>
      </c>
      <c r="AB268" s="734" t="str">
        <f>IFERROR(__xludf.DUMMYFUNCTION("if(REGEXMATCH(AR268,""Perform""),""X"","""")"),"")</f>
        <v/>
      </c>
      <c r="AC268" s="734" t="str">
        <f t="shared" si="19"/>
        <v/>
      </c>
      <c r="AD268" s="734" t="str">
        <f>IFERROR(__xludf.DUMMYFUNCTION("if(REGEXMATCH(AR268,""Profession""),""X"","""")"),"X")</f>
        <v>X</v>
      </c>
      <c r="AE268" s="734" t="str">
        <f t="shared" si="20"/>
        <v>X</v>
      </c>
      <c r="AF268" s="800" t="str">
        <f>IFERROR(__xludf.DUMMYFUNCTION("if(REGEXMATCH(AR268,$AF$168),""X"","""")"),"X")</f>
        <v>X</v>
      </c>
      <c r="AG268" s="800" t="str">
        <f>IFERROR(__xludf.DUMMYFUNCTION("if(REGEXMATCH(AR268,$AG$168),""X"","""")"),"X")</f>
        <v>X</v>
      </c>
      <c r="AH268" s="800" t="str">
        <f>IFERROR(__xludf.DUMMYFUNCTION("if(REGEXMATCH(AR268,$AH$168),""X"","""")"),"")</f>
        <v/>
      </c>
      <c r="AI268" s="800" t="str">
        <f>IFERROR(__xludf.DUMMYFUNCTION("if(REGEXMATCH(AR268,$AI$168),""X"","""")"),"")</f>
        <v/>
      </c>
      <c r="AJ268" s="739" t="str">
        <f>IFERROR(__xludf.DUMMYFUNCTION("if(REGEXMATCH(AR268,$AJ$168),""X"","""")"),"")</f>
        <v/>
      </c>
      <c r="AK268" s="800" t="str">
        <f>IFERROR(__xludf.DUMMYFUNCTION("if(REGEXMATCH(AR268,$AK$168),""X"","""")"),"")</f>
        <v/>
      </c>
      <c r="AL268" s="800" t="str">
        <f>IFERROR(__xludf.DUMMYFUNCTION("if(REGEXMATCH(AR268,$AL$168),""X"","""")"),"X")</f>
        <v>X</v>
      </c>
      <c r="AM268" s="800" t="str">
        <f>IFERROR(__xludf.DUMMYFUNCTION("if(REGEXMATCH(AR268,$AM$168),""X"","""")"),"")</f>
        <v/>
      </c>
      <c r="AN268" s="800"/>
      <c r="AO268" s="800"/>
      <c r="AP268" s="800" t="str">
        <f>IFERROR(__xludf.DUMMYFUNCTION("if(REGEXMATCH(AR268,""Craft""),""X"","""")"),"X")</f>
        <v>X</v>
      </c>
      <c r="AQ268" s="800" t="str">
        <f>IFERROR(__xludf.DUMMYFUNCTION("if(REGEXMATCH(AR268,""Knowledge""),""X"","""")"),"X")</f>
        <v>X</v>
      </c>
      <c r="AR268" s="939" t="s">
        <v>1264</v>
      </c>
      <c r="AS268" s="243"/>
      <c r="AT268" s="243"/>
      <c r="AU268" s="243"/>
      <c r="AV268" s="243"/>
      <c r="AW268" s="243"/>
      <c r="AX268" s="243"/>
      <c r="AY268" s="243"/>
      <c r="AZ268" s="243"/>
      <c r="BA268" s="243"/>
      <c r="BB268" s="243"/>
      <c r="BC268" s="243"/>
      <c r="BD268" s="243"/>
      <c r="BE268" s="243"/>
      <c r="BF268" s="243"/>
      <c r="BG268" s="243"/>
      <c r="BH268" s="243"/>
      <c r="BI268" s="243"/>
      <c r="BJ268" s="243"/>
      <c r="BK268" s="243"/>
      <c r="BL268" s="243"/>
    </row>
    <row r="269">
      <c r="A269" s="458" t="s">
        <v>632</v>
      </c>
      <c r="B269" s="734" t="str">
        <f>IFERROR(__xludf.DUMMYFUNCTION("if(REGEXMATCH(AR269,$B$168),""X"","""")"),"X")</f>
        <v>X</v>
      </c>
      <c r="C269" s="734" t="str">
        <f>IFERROR(__xludf.DUMMYFUNCTION("if(REGEXMATCH(AR269,$C$168),""X"","""")"),"X")</f>
        <v>X</v>
      </c>
      <c r="D269" s="800" t="str">
        <f>IFERROR(__xludf.DUMMYFUNCTION("if(REGEXMATCH(AR269,$D$168),""X"","""")"),"X")</f>
        <v>X</v>
      </c>
      <c r="E269" s="734" t="str">
        <f>IFERROR(__xludf.DUMMYFUNCTION("if(REGEXMATCH(AR269,$E$168),""X"","""")"),"X")</f>
        <v>X</v>
      </c>
      <c r="F269" s="734" t="str">
        <f>IFERROR(__xludf.DUMMYFUNCTION("if(REGEXMATCH(AR269,$F$168),""X"","""")"),"X")</f>
        <v>X</v>
      </c>
      <c r="G269" s="734" t="str">
        <f t="shared" si="18"/>
        <v>X</v>
      </c>
      <c r="H269" s="734" t="str">
        <f>IFERROR(__xludf.DUMMYFUNCTION("if(REGEXMATCH(AR269,$H$168),""X"","""")"),"X")</f>
        <v>X</v>
      </c>
      <c r="I269" s="800" t="str">
        <f>IFERROR(__xludf.DUMMYFUNCTION("if(REGEXMATCH(AR269,$I$168),""X"","""")"),"")</f>
        <v/>
      </c>
      <c r="J269" s="800" t="str">
        <f>IFERROR(__xludf.DUMMYFUNCTION("if(REGEXMATCH(AR269,$J$168),""X"","""")"),"X")</f>
        <v>X</v>
      </c>
      <c r="K269" s="800" t="str">
        <f>IFERROR(__xludf.DUMMYFUNCTION("if(REGEXMATCH(AR269,$K$168),""X"","""")"),"X")</f>
        <v>X</v>
      </c>
      <c r="L269" s="800" t="str">
        <f>IFERROR(__xludf.DUMMYFUNCTION("if(REGEXMATCH(AR269,$L$168),""X"","""")"),"")</f>
        <v/>
      </c>
      <c r="M269" s="800" t="str">
        <f>IFERROR(__xludf.DUMMYFUNCTION("if(REGEXMATCH(AR269,$M$168),""X"","""")"),"")</f>
        <v/>
      </c>
      <c r="N269" s="800" t="str">
        <f>IFERROR(__xludf.DUMMYFUNCTION("if(REGEXMATCH(AR269,$N$168),""X"","""")"),"")</f>
        <v/>
      </c>
      <c r="O269" s="800" t="str">
        <f>IFERROR(__xludf.DUMMYFUNCTION("if(REGEXMATCH(AR269,$O$168),""X"","""")"),"X")</f>
        <v>X</v>
      </c>
      <c r="P269" s="800" t="str">
        <f>IFERROR(__xludf.DUMMYFUNCTION("if(REGEXMATCH(AR269,""(all)""),""X"",if(REGEXMATCH(AR269,""arcana""),""X"",""""))"),"X")</f>
        <v>X</v>
      </c>
      <c r="Q269" s="800" t="str">
        <f>IFERROR(__xludf.DUMMYFUNCTION("if(REGEXMATCH(AR269,""(all)""),""X"",if(REGEXMATCH(AR269,""dungeoneering""),""X"",""""))"),"X")</f>
        <v>X</v>
      </c>
      <c r="R269" s="800" t="str">
        <f>IFERROR(__xludf.DUMMYFUNCTION("if(REGEXMATCH(AR269,""(all)""),""X"",if(REGEXMATCH(AR269,""engineering""),""X"",""""))"),"X")</f>
        <v>X</v>
      </c>
      <c r="S269" s="800" t="str">
        <f>IFERROR(__xludf.DUMMYFUNCTION("if(REGEXMATCH(AR269,""(all)""),""X"",if(REGEXMATCH(AR269,""geography""),""X"",""""))"),"X")</f>
        <v>X</v>
      </c>
      <c r="T269" s="800" t="str">
        <f>IFERROR(__xludf.DUMMYFUNCTION("if(REGEXMATCH(AR269,""(all)""),""X"",if(REGEXMATCH(AR269,""history""),""X"",""""))"),"X")</f>
        <v>X</v>
      </c>
      <c r="U269" s="800" t="str">
        <f>IFERROR(__xludf.DUMMYFUNCTION("if(REGEXMATCH(AR269,""(all)""),""X"",if(REGEXMATCH(AR269,""local""),""X"",""""))"),"X")</f>
        <v>X</v>
      </c>
      <c r="V269" s="800" t="str">
        <f>IFERROR(__xludf.DUMMYFUNCTION("if(REGEXMATCH(AR269,""(all)""),""X"",if(REGEXMATCH(AR269,""nature""),""X"",""""))"),"X")</f>
        <v>X</v>
      </c>
      <c r="W269" s="800" t="str">
        <f>IFERROR(__xludf.DUMMYFUNCTION("if(REGEXMATCH(AR269,""(all)""),""X"",if(REGEXMATCH(AR269,""nobility""),""X"",""""))"),"X")</f>
        <v>X</v>
      </c>
      <c r="X269" s="800" t="str">
        <f>IFERROR(__xludf.DUMMYFUNCTION("if(REGEXMATCH(AR269,""(all)""),""X"",if(REGEXMATCH(AR269,""planes""),""X"",""""))"),"X")</f>
        <v>X</v>
      </c>
      <c r="Y269" s="800" t="str">
        <f>IFERROR(__xludf.DUMMYFUNCTION("if(REGEXMATCH(AR269,""(all)""),""X"",if(REGEXMATCH(AR269,""religion""),""X"",""""))"),"X")</f>
        <v>X</v>
      </c>
      <c r="Z269" s="800" t="str">
        <f>IFERROR(__xludf.DUMMYFUNCTION("if(REGEXMATCH(AR269,$Z$168),""X"","""")"),"X")</f>
        <v>X</v>
      </c>
      <c r="AA269" s="800" t="str">
        <f>IFERROR(__xludf.DUMMYFUNCTION("if(REGEXMATCH(AR269,$AA$168),""X"","""")"),"X")</f>
        <v>X</v>
      </c>
      <c r="AB269" s="734" t="str">
        <f>IFERROR(__xludf.DUMMYFUNCTION("if(REGEXMATCH(AR269,""Perform""),""X"","""")"),"X")</f>
        <v>X</v>
      </c>
      <c r="AC269" s="734" t="str">
        <f t="shared" si="19"/>
        <v>X</v>
      </c>
      <c r="AD269" s="734" t="str">
        <f>IFERROR(__xludf.DUMMYFUNCTION("if(REGEXMATCH(AR269,""Profession""),""X"","""")"),"X")</f>
        <v>X</v>
      </c>
      <c r="AE269" s="734" t="str">
        <f t="shared" si="20"/>
        <v>X</v>
      </c>
      <c r="AF269" s="800" t="str">
        <f>IFERROR(__xludf.DUMMYFUNCTION("if(REGEXMATCH(AR269,$AF$168),""X"","""")"),"")</f>
        <v/>
      </c>
      <c r="AG269" s="800" t="str">
        <f>IFERROR(__xludf.DUMMYFUNCTION("if(REGEXMATCH(AR269,$AG$168),""X"","""")"),"X")</f>
        <v>X</v>
      </c>
      <c r="AH269" s="800" t="str">
        <f>IFERROR(__xludf.DUMMYFUNCTION("if(REGEXMATCH(AR269,$AH$168),""X"","""")"),"X")</f>
        <v>X</v>
      </c>
      <c r="AI269" s="800" t="str">
        <f>IFERROR(__xludf.DUMMYFUNCTION("if(REGEXMATCH(AR269,$AI$168),""X"","""")"),"X")</f>
        <v>X</v>
      </c>
      <c r="AJ269" s="739" t="str">
        <f>IFERROR(__xludf.DUMMYFUNCTION("if(REGEXMATCH(AR269,$AJ$168),""X"","""")"),"X")</f>
        <v>X</v>
      </c>
      <c r="AK269" s="800" t="str">
        <f>IFERROR(__xludf.DUMMYFUNCTION("if(REGEXMATCH(AR269,$AK$168),""X"","""")"),"")</f>
        <v/>
      </c>
      <c r="AL269" s="800" t="str">
        <f>IFERROR(__xludf.DUMMYFUNCTION("if(REGEXMATCH(AR269,$AL$168),""X"","""")"),"")</f>
        <v/>
      </c>
      <c r="AM269" s="800" t="str">
        <f>IFERROR(__xludf.DUMMYFUNCTION("if(REGEXMATCH(AR269,$AM$168),""X"","""")"),"X")</f>
        <v>X</v>
      </c>
      <c r="AN269" s="800"/>
      <c r="AO269" s="800"/>
      <c r="AP269" s="800" t="str">
        <f>IFERROR(__xludf.DUMMYFUNCTION("if(REGEXMATCH(AR269,""Craft""),""X"","""")"),"X")</f>
        <v>X</v>
      </c>
      <c r="AQ269" s="800" t="str">
        <f>IFERROR(__xludf.DUMMYFUNCTION("if(REGEXMATCH(AR269,""Knowledge""),""X"","""")"),"X")</f>
        <v>X</v>
      </c>
      <c r="AR269" s="939" t="s">
        <v>1149</v>
      </c>
      <c r="AS269" s="243"/>
      <c r="AT269" s="243"/>
      <c r="AU269" s="243"/>
      <c r="AV269" s="243"/>
      <c r="AW269" s="243"/>
      <c r="AX269" s="243"/>
      <c r="AY269" s="243"/>
      <c r="AZ269" s="243"/>
      <c r="BA269" s="243"/>
      <c r="BB269" s="243"/>
      <c r="BC269" s="243"/>
      <c r="BD269" s="243"/>
      <c r="BE269" s="243"/>
      <c r="BF269" s="243"/>
      <c r="BG269" s="243"/>
      <c r="BH269" s="243"/>
      <c r="BI269" s="243"/>
      <c r="BJ269" s="243"/>
      <c r="BK269" s="243"/>
      <c r="BL269" s="243"/>
    </row>
    <row r="270">
      <c r="A270" s="458" t="s">
        <v>190</v>
      </c>
      <c r="B270" s="734" t="str">
        <f>IFERROR(__xludf.DUMMYFUNCTION("if(REGEXMATCH(AR270,$B$168),""X"","""")"),"")</f>
        <v/>
      </c>
      <c r="C270" s="734" t="str">
        <f>IFERROR(__xludf.DUMMYFUNCTION("if(REGEXMATCH(AR270,$C$168),""X"","""")"),"")</f>
        <v/>
      </c>
      <c r="D270" s="800" t="str">
        <f>IFERROR(__xludf.DUMMYFUNCTION("if(REGEXMATCH(AR270,$D$168),""X"","""")"),"")</f>
        <v/>
      </c>
      <c r="E270" s="734" t="str">
        <f>IFERROR(__xludf.DUMMYFUNCTION("if(REGEXMATCH(AR270,$E$168),""X"","""")"),"X")</f>
        <v>X</v>
      </c>
      <c r="F270" s="734" t="str">
        <f>IFERROR(__xludf.DUMMYFUNCTION("if(REGEXMATCH(AR270,$F$168),""X"","""")"),"X")</f>
        <v>X</v>
      </c>
      <c r="G270" s="734" t="str">
        <f t="shared" si="18"/>
        <v>X</v>
      </c>
      <c r="H270" s="734" t="str">
        <f>IFERROR(__xludf.DUMMYFUNCTION("if(REGEXMATCH(AR270,$H$168),""X"","""")"),"")</f>
        <v/>
      </c>
      <c r="I270" s="800" t="str">
        <f>IFERROR(__xludf.DUMMYFUNCTION("if(REGEXMATCH(AR270,$I$168),""X"","""")"),"")</f>
        <v/>
      </c>
      <c r="J270" s="800" t="str">
        <f>IFERROR(__xludf.DUMMYFUNCTION("if(REGEXMATCH(AR270,$J$168),""X"","""")"),"")</f>
        <v/>
      </c>
      <c r="K270" s="800" t="str">
        <f>IFERROR(__xludf.DUMMYFUNCTION("if(REGEXMATCH(AR270,$K$168),""X"","""")"),"")</f>
        <v/>
      </c>
      <c r="L270" s="800" t="str">
        <f>IFERROR(__xludf.DUMMYFUNCTION("if(REGEXMATCH(AR270,$L$168),""X"","""")"),"X")</f>
        <v>X</v>
      </c>
      <c r="M270" s="800" t="str">
        <f>IFERROR(__xludf.DUMMYFUNCTION("if(REGEXMATCH(AR270,$M$168),""X"","""")"),"X")</f>
        <v>X</v>
      </c>
      <c r="N270" s="800" t="str">
        <f>IFERROR(__xludf.DUMMYFUNCTION("if(REGEXMATCH(AR270,$N$168),""X"","""")"),"X")</f>
        <v>X</v>
      </c>
      <c r="O270" s="800" t="str">
        <f>IFERROR(__xludf.DUMMYFUNCTION("if(REGEXMATCH(AR270,$O$168),""X"","""")"),"")</f>
        <v/>
      </c>
      <c r="P270" s="800" t="str">
        <f>IFERROR(__xludf.DUMMYFUNCTION("if(REGEXMATCH(AR270,""(all)""),""X"",if(REGEXMATCH(AR270,""arcana""),""X"",""""))"),"")</f>
        <v/>
      </c>
      <c r="Q270" s="800" t="str">
        <f>IFERROR(__xludf.DUMMYFUNCTION("if(REGEXMATCH(AR270,""(all)""),""X"",if(REGEXMATCH(AR270,""dungeoneering""),""X"",""""))"),"")</f>
        <v/>
      </c>
      <c r="R270" s="800" t="str">
        <f>IFERROR(__xludf.DUMMYFUNCTION("if(REGEXMATCH(AR270,""(all)""),""X"",if(REGEXMATCH(AR270,""engineering""),""X"",""""))"),"")</f>
        <v/>
      </c>
      <c r="S270" s="800" t="str">
        <f>IFERROR(__xludf.DUMMYFUNCTION("if(REGEXMATCH(AR270,""(all)""),""X"",if(REGEXMATCH(AR270,""geography""),""X"",""""))"),"X")</f>
        <v>X</v>
      </c>
      <c r="T270" s="800" t="str">
        <f>IFERROR(__xludf.DUMMYFUNCTION("if(REGEXMATCH(AR270,""(all)""),""X"",if(REGEXMATCH(AR270,""history""),""X"",""""))"),"")</f>
        <v/>
      </c>
      <c r="U270" s="800" t="str">
        <f>IFERROR(__xludf.DUMMYFUNCTION("if(REGEXMATCH(AR270,""(all)""),""X"",if(REGEXMATCH(AR270,""local""),""X"",""""))"),"")</f>
        <v/>
      </c>
      <c r="V270" s="800" t="str">
        <f>IFERROR(__xludf.DUMMYFUNCTION("if(REGEXMATCH(AR270,""(all)""),""X"",if(REGEXMATCH(AR270,""nature""),""X"",""""))"),"X")</f>
        <v>X</v>
      </c>
      <c r="W270" s="800" t="str">
        <f>IFERROR(__xludf.DUMMYFUNCTION("if(REGEXMATCH(AR270,""(all)""),""X"",if(REGEXMATCH(AR270,""nobility""),""X"",""""))"),"")</f>
        <v/>
      </c>
      <c r="X270" s="800" t="str">
        <f>IFERROR(__xludf.DUMMYFUNCTION("if(REGEXMATCH(AR270,""(all)""),""X"",if(REGEXMATCH(AR270,""planes""),""X"",""""))"),"")</f>
        <v/>
      </c>
      <c r="Y270" s="800" t="str">
        <f>IFERROR(__xludf.DUMMYFUNCTION("if(REGEXMATCH(AR270,""(all)""),""X"",if(REGEXMATCH(AR270,""religion""),""X"",""""))"),"")</f>
        <v/>
      </c>
      <c r="Z270" s="800" t="str">
        <f>IFERROR(__xludf.DUMMYFUNCTION("if(REGEXMATCH(AR270,$Z$168),""X"","""")"),"")</f>
        <v/>
      </c>
      <c r="AA270" s="800" t="str">
        <f>IFERROR(__xludf.DUMMYFUNCTION("if(REGEXMATCH(AR270,$AA$168),""X"","""")"),"X")</f>
        <v>X</v>
      </c>
      <c r="AB270" s="734" t="str">
        <f>IFERROR(__xludf.DUMMYFUNCTION("if(REGEXMATCH(AR270,""Perform""),""X"","""")"),"")</f>
        <v/>
      </c>
      <c r="AC270" s="734" t="str">
        <f t="shared" si="19"/>
        <v/>
      </c>
      <c r="AD270" s="734" t="str">
        <f>IFERROR(__xludf.DUMMYFUNCTION("if(REGEXMATCH(AR270,""Profession""),""X"","""")"),"X")</f>
        <v>X</v>
      </c>
      <c r="AE270" s="734" t="str">
        <f t="shared" si="20"/>
        <v>X</v>
      </c>
      <c r="AF270" s="800" t="str">
        <f>IFERROR(__xludf.DUMMYFUNCTION("if(REGEXMATCH(AR270,$AF$168),""X"","""")"),"X")</f>
        <v>X</v>
      </c>
      <c r="AG270" s="800" t="str">
        <f>IFERROR(__xludf.DUMMYFUNCTION("if(REGEXMATCH(AR270,$AG$168),""X"","""")"),"")</f>
        <v/>
      </c>
      <c r="AH270" s="800" t="str">
        <f>IFERROR(__xludf.DUMMYFUNCTION("if(REGEXMATCH(AR270,$AH$168),""X"","""")"),"")</f>
        <v/>
      </c>
      <c r="AI270" s="800" t="str">
        <f>IFERROR(__xludf.DUMMYFUNCTION("if(REGEXMATCH(AR270,$AI$168),""X"","""")"),"X")</f>
        <v>X</v>
      </c>
      <c r="AJ270" s="739" t="str">
        <f>IFERROR(__xludf.DUMMYFUNCTION("if(REGEXMATCH(AR270,$AJ$168),""X"","""")"),"")</f>
        <v/>
      </c>
      <c r="AK270" s="800" t="str">
        <f>IFERROR(__xludf.DUMMYFUNCTION("if(REGEXMATCH(AR270,$AK$168),""X"","""")"),"X")</f>
        <v>X</v>
      </c>
      <c r="AL270" s="800" t="str">
        <f>IFERROR(__xludf.DUMMYFUNCTION("if(REGEXMATCH(AR270,$AL$168),""X"","""")"),"X")</f>
        <v>X</v>
      </c>
      <c r="AM270" s="800" t="str">
        <f>IFERROR(__xludf.DUMMYFUNCTION("if(REGEXMATCH(AR270,$AM$168),""X"","""")"),"")</f>
        <v/>
      </c>
      <c r="AN270" s="800"/>
      <c r="AO270" s="800"/>
      <c r="AP270" s="800" t="str">
        <f>IFERROR(__xludf.DUMMYFUNCTION("if(REGEXMATCH(AR270,""Craft""),""X"","""")"),"X")</f>
        <v>X</v>
      </c>
      <c r="AQ270" s="800" t="str">
        <f>IFERROR(__xludf.DUMMYFUNCTION("if(REGEXMATCH(AR270,""Knowledge""),""X"","""")"),"X")</f>
        <v>X</v>
      </c>
      <c r="AR270" s="939" t="s">
        <v>1280</v>
      </c>
      <c r="AS270" s="243"/>
      <c r="AT270" s="243"/>
      <c r="AU270" s="243"/>
      <c r="AV270" s="243"/>
      <c r="AW270" s="243"/>
      <c r="AX270" s="243"/>
      <c r="AY270" s="243"/>
      <c r="AZ270" s="243"/>
      <c r="BA270" s="243"/>
      <c r="BB270" s="243"/>
      <c r="BC270" s="243"/>
      <c r="BD270" s="243"/>
      <c r="BE270" s="243"/>
      <c r="BF270" s="243"/>
      <c r="BG270" s="243"/>
      <c r="BH270" s="243"/>
      <c r="BI270" s="243"/>
      <c r="BJ270" s="243"/>
      <c r="BK270" s="243"/>
      <c r="BL270" s="243"/>
    </row>
    <row r="271">
      <c r="A271" s="458" t="s">
        <v>635</v>
      </c>
      <c r="B271" s="734" t="str">
        <f>IFERROR(__xludf.DUMMYFUNCTION("if(REGEXMATCH(AR271,$B$168),""X"","""")"),"X")</f>
        <v>X</v>
      </c>
      <c r="C271" s="734" t="str">
        <f>IFERROR(__xludf.DUMMYFUNCTION("if(REGEXMATCH(AR271,$C$168),""X"","""")"),"")</f>
        <v/>
      </c>
      <c r="D271" s="800" t="str">
        <f>IFERROR(__xludf.DUMMYFUNCTION("if(REGEXMATCH(AR271,$D$168),""X"","""")"),"X")</f>
        <v>X</v>
      </c>
      <c r="E271" s="734" t="str">
        <f>IFERROR(__xludf.DUMMYFUNCTION("if(REGEXMATCH(AR271,$E$168),""X"","""")"),"X")</f>
        <v>X</v>
      </c>
      <c r="F271" s="734" t="str">
        <f>IFERROR(__xludf.DUMMYFUNCTION("if(REGEXMATCH(AR271,$F$168),""X"","""")"),"X")</f>
        <v>X</v>
      </c>
      <c r="G271" s="734" t="str">
        <f t="shared" si="18"/>
        <v>X</v>
      </c>
      <c r="H271" s="734" t="str">
        <f>IFERROR(__xludf.DUMMYFUNCTION("if(REGEXMATCH(AR271,$H$168),""X"","""")"),"X")</f>
        <v>X</v>
      </c>
      <c r="I271" s="800" t="str">
        <f>IFERROR(__xludf.DUMMYFUNCTION("if(REGEXMATCH(AR271,$I$168),""X"","""")"),"")</f>
        <v/>
      </c>
      <c r="J271" s="800" t="str">
        <f>IFERROR(__xludf.DUMMYFUNCTION("if(REGEXMATCH(AR271,$J$168),""X"","""")"),"")</f>
        <v/>
      </c>
      <c r="K271" s="800" t="str">
        <f>IFERROR(__xludf.DUMMYFUNCTION("if(REGEXMATCH(AR271,$K$168),""X"","""")"),"X")</f>
        <v>X</v>
      </c>
      <c r="L271" s="800" t="str">
        <f>IFERROR(__xludf.DUMMYFUNCTION("if(REGEXMATCH(AR271,$L$168),""X"","""")"),"")</f>
        <v/>
      </c>
      <c r="M271" s="800" t="str">
        <f>IFERROR(__xludf.DUMMYFUNCTION("if(REGEXMATCH(AR271,$M$168),""X"","""")"),"")</f>
        <v/>
      </c>
      <c r="N271" s="800" t="str">
        <f>IFERROR(__xludf.DUMMYFUNCTION("if(REGEXMATCH(AR271,$N$168),""X"","""")"),"")</f>
        <v/>
      </c>
      <c r="O271" s="800" t="str">
        <f>IFERROR(__xludf.DUMMYFUNCTION("if(REGEXMATCH(AR271,$O$168),""X"","""")"),"X")</f>
        <v>X</v>
      </c>
      <c r="P271" s="800" t="str">
        <f>IFERROR(__xludf.DUMMYFUNCTION("if(REGEXMATCH(AR271,""(all)""),""X"",if(REGEXMATCH(AR271,""arcana""),""X"",""""))"),"")</f>
        <v/>
      </c>
      <c r="Q271" s="800" t="str">
        <f>IFERROR(__xludf.DUMMYFUNCTION("if(REGEXMATCH(AR271,""(all)""),""X"",if(REGEXMATCH(AR271,""dungeoneering""),""X"",""""))"),"")</f>
        <v/>
      </c>
      <c r="R271" s="800" t="str">
        <f>IFERROR(__xludf.DUMMYFUNCTION("if(REGEXMATCH(AR271,""(all)""),""X"",if(REGEXMATCH(AR271,""engineering""),""X"",""""))"),"")</f>
        <v/>
      </c>
      <c r="S271" s="800" t="str">
        <f>IFERROR(__xludf.DUMMYFUNCTION("if(REGEXMATCH(AR271,""(all)""),""X"",if(REGEXMATCH(AR271,""geography""),""X"",""""))"),"")</f>
        <v/>
      </c>
      <c r="T271" s="800" t="str">
        <f>IFERROR(__xludf.DUMMYFUNCTION("if(REGEXMATCH(AR271,""(all)""),""X"",if(REGEXMATCH(AR271,""history""),""X"",""""))"),"")</f>
        <v/>
      </c>
      <c r="U271" s="800" t="str">
        <f>IFERROR(__xludf.DUMMYFUNCTION("if(REGEXMATCH(AR271,""(all)""),""X"",if(REGEXMATCH(AR271,""local""),""X"",""""))"),"X")</f>
        <v>X</v>
      </c>
      <c r="V271" s="800" t="str">
        <f>IFERROR(__xludf.DUMMYFUNCTION("if(REGEXMATCH(AR271,""(all)""),""X"",if(REGEXMATCH(AR271,""nature""),""X"",""""))"),"")</f>
        <v/>
      </c>
      <c r="W271" s="800" t="str">
        <f>IFERROR(__xludf.DUMMYFUNCTION("if(REGEXMATCH(AR271,""(all)""),""X"",if(REGEXMATCH(AR271,""nobility""),""X"",""""))"),"X")</f>
        <v>X</v>
      </c>
      <c r="X271" s="800" t="str">
        <f>IFERROR(__xludf.DUMMYFUNCTION("if(REGEXMATCH(AR271,""(all)""),""X"",if(REGEXMATCH(AR271,""planes""),""X"",""""))"),"")</f>
        <v/>
      </c>
      <c r="Y271" s="800" t="str">
        <f>IFERROR(__xludf.DUMMYFUNCTION("if(REGEXMATCH(AR271,""(all)""),""X"",if(REGEXMATCH(AR271,""religion""),""X"",""""))"),"")</f>
        <v/>
      </c>
      <c r="Z271" s="800" t="str">
        <f>IFERROR(__xludf.DUMMYFUNCTION("if(REGEXMATCH(AR271,$Z$168),""X"","""")"),"")</f>
        <v/>
      </c>
      <c r="AA271" s="800" t="str">
        <f>IFERROR(__xludf.DUMMYFUNCTION("if(REGEXMATCH(AR271,$AA$168),""X"","""")"),"X")</f>
        <v>X</v>
      </c>
      <c r="AB271" s="734" t="str">
        <f>IFERROR(__xludf.DUMMYFUNCTION("if(REGEXMATCH(AR271,""Perform""),""X"","""")"),"X")</f>
        <v>X</v>
      </c>
      <c r="AC271" s="734" t="str">
        <f t="shared" si="19"/>
        <v>X</v>
      </c>
      <c r="AD271" s="734" t="str">
        <f>IFERROR(__xludf.DUMMYFUNCTION("if(REGEXMATCH(AR271,""Profession""),""X"","""")"),"X")</f>
        <v>X</v>
      </c>
      <c r="AE271" s="734" t="str">
        <f t="shared" si="20"/>
        <v>X</v>
      </c>
      <c r="AF271" s="800" t="str">
        <f>IFERROR(__xludf.DUMMYFUNCTION("if(REGEXMATCH(AR271,$AF$168),""X"","""")"),"X")</f>
        <v>X</v>
      </c>
      <c r="AG271" s="800" t="str">
        <f>IFERROR(__xludf.DUMMYFUNCTION("if(REGEXMATCH(AR271,$AG$168),""X"","""")"),"X")</f>
        <v>X</v>
      </c>
      <c r="AH271" s="800" t="str">
        <f>IFERROR(__xludf.DUMMYFUNCTION("if(REGEXMATCH(AR271,$AH$168),""X"","""")"),"X")</f>
        <v>X</v>
      </c>
      <c r="AI271" s="800" t="str">
        <f>IFERROR(__xludf.DUMMYFUNCTION("if(REGEXMATCH(AR271,$AI$168),""X"","""")"),"")</f>
        <v/>
      </c>
      <c r="AJ271" s="739" t="str">
        <f>IFERROR(__xludf.DUMMYFUNCTION("if(REGEXMATCH(AR271,$AJ$168),""X"","""")"),"")</f>
        <v/>
      </c>
      <c r="AK271" s="800" t="str">
        <f>IFERROR(__xludf.DUMMYFUNCTION("if(REGEXMATCH(AR271,$AK$168),""X"","""")"),"")</f>
        <v/>
      </c>
      <c r="AL271" s="800" t="str">
        <f>IFERROR(__xludf.DUMMYFUNCTION("if(REGEXMATCH(AR271,$AL$168),""X"","""")"),"X")</f>
        <v>X</v>
      </c>
      <c r="AM271" s="800" t="str">
        <f>IFERROR(__xludf.DUMMYFUNCTION("if(REGEXMATCH(AR271,$AM$168),""X"","""")"),"")</f>
        <v/>
      </c>
      <c r="AN271" s="800"/>
      <c r="AO271" s="800"/>
      <c r="AP271" s="800" t="str">
        <f>IFERROR(__xludf.DUMMYFUNCTION("if(REGEXMATCH(AR271,""Craft""),""X"","""")"),"X")</f>
        <v>X</v>
      </c>
      <c r="AQ271" s="800" t="str">
        <f>IFERROR(__xludf.DUMMYFUNCTION("if(REGEXMATCH(AR271,""Knowledge""),""X"","""")"),"X")</f>
        <v>X</v>
      </c>
      <c r="AR271" s="939" t="s">
        <v>1286</v>
      </c>
      <c r="AS271" s="243"/>
      <c r="AT271" s="243"/>
      <c r="AU271" s="243"/>
      <c r="AV271" s="243"/>
      <c r="AW271" s="243"/>
      <c r="AX271" s="243"/>
      <c r="AY271" s="243"/>
      <c r="AZ271" s="243"/>
      <c r="BA271" s="243"/>
      <c r="BB271" s="243"/>
      <c r="BC271" s="243"/>
      <c r="BD271" s="243"/>
      <c r="BE271" s="243"/>
      <c r="BF271" s="243"/>
      <c r="BG271" s="243"/>
      <c r="BH271" s="243"/>
      <c r="BI271" s="243"/>
      <c r="BJ271" s="243"/>
      <c r="BK271" s="243"/>
      <c r="BL271" s="243"/>
    </row>
    <row r="272">
      <c r="A272" s="458" t="s">
        <v>637</v>
      </c>
      <c r="B272" s="734" t="str">
        <f>IFERROR(__xludf.DUMMYFUNCTION("if(REGEXMATCH(AR272,$B$168),""X"","""")"),"X")</f>
        <v>X</v>
      </c>
      <c r="C272" s="734" t="str">
        <f>IFERROR(__xludf.DUMMYFUNCTION("if(REGEXMATCH(AR272,$C$168),""X"","""")"),"")</f>
        <v/>
      </c>
      <c r="D272" s="800" t="str">
        <f>IFERROR(__xludf.DUMMYFUNCTION("if(REGEXMATCH(AR272,$D$168),""X"","""")"),"")</f>
        <v/>
      </c>
      <c r="E272" s="734" t="str">
        <f>IFERROR(__xludf.DUMMYFUNCTION("if(REGEXMATCH(AR272,$E$168),""X"","""")"),"X")</f>
        <v>X</v>
      </c>
      <c r="F272" s="734" t="str">
        <f>IFERROR(__xludf.DUMMYFUNCTION("if(REGEXMATCH(AR272,$F$168),""X"","""")"),"X")</f>
        <v>X</v>
      </c>
      <c r="G272" s="734" t="str">
        <f t="shared" si="18"/>
        <v>X</v>
      </c>
      <c r="H272" s="734" t="str">
        <f>IFERROR(__xludf.DUMMYFUNCTION("if(REGEXMATCH(AR272,$H$168),""X"","""")"),"X")</f>
        <v>X</v>
      </c>
      <c r="I272" s="800" t="str">
        <f>IFERROR(__xludf.DUMMYFUNCTION("if(REGEXMATCH(AR272,$I$168),""X"","""")"),"")</f>
        <v/>
      </c>
      <c r="J272" s="800" t="str">
        <f>IFERROR(__xludf.DUMMYFUNCTION("if(REGEXMATCH(AR272,$J$168),""X"","""")"),"")</f>
        <v/>
      </c>
      <c r="K272" s="800" t="str">
        <f>IFERROR(__xludf.DUMMYFUNCTION("if(REGEXMATCH(AR272,$K$168),""X"","""")"),"")</f>
        <v/>
      </c>
      <c r="L272" s="800" t="str">
        <f>IFERROR(__xludf.DUMMYFUNCTION("if(REGEXMATCH(AR272,$L$168),""X"","""")"),"")</f>
        <v/>
      </c>
      <c r="M272" s="800" t="str">
        <f>IFERROR(__xludf.DUMMYFUNCTION("if(REGEXMATCH(AR272,$M$168),""X"","""")"),"")</f>
        <v/>
      </c>
      <c r="N272" s="800" t="str">
        <f>IFERROR(__xludf.DUMMYFUNCTION("if(REGEXMATCH(AR272,$N$168),""X"","""")"),"X")</f>
        <v>X</v>
      </c>
      <c r="O272" s="800" t="str">
        <f>IFERROR(__xludf.DUMMYFUNCTION("if(REGEXMATCH(AR272,$O$168),""X"","""")"),"X")</f>
        <v>X</v>
      </c>
      <c r="P272" s="800" t="str">
        <f>IFERROR(__xludf.DUMMYFUNCTION("if(REGEXMATCH(AR272,""(all)""),""X"",if(REGEXMATCH(AR272,""arcana""),""X"",""""))"),"")</f>
        <v/>
      </c>
      <c r="Q272" s="800" t="str">
        <f>IFERROR(__xludf.DUMMYFUNCTION("if(REGEXMATCH(AR272,""(all)""),""X"",if(REGEXMATCH(AR272,""dungeoneering""),""X"",""""))"),"")</f>
        <v/>
      </c>
      <c r="R272" s="800" t="str">
        <f>IFERROR(__xludf.DUMMYFUNCTION("if(REGEXMATCH(AR272,""(all)""),""X"",if(REGEXMATCH(AR272,""engineering""),""X"",""""))"),"")</f>
        <v/>
      </c>
      <c r="S272" s="800" t="str">
        <f>IFERROR(__xludf.DUMMYFUNCTION("if(REGEXMATCH(AR272,""(all)""),""X"",if(REGEXMATCH(AR272,""geography""),""X"",""""))"),"")</f>
        <v/>
      </c>
      <c r="T272" s="800" t="str">
        <f>IFERROR(__xludf.DUMMYFUNCTION("if(REGEXMATCH(AR272,""(all)""),""X"",if(REGEXMATCH(AR272,""history""),""X"",""""))"),"")</f>
        <v/>
      </c>
      <c r="U272" s="800" t="str">
        <f>IFERROR(__xludf.DUMMYFUNCTION("if(REGEXMATCH(AR272,""(all)""),""X"",if(REGEXMATCH(AR272,""local""),""X"",""""))"),"")</f>
        <v/>
      </c>
      <c r="V272" s="800" t="str">
        <f>IFERROR(__xludf.DUMMYFUNCTION("if(REGEXMATCH(AR272,""(all)""),""X"",if(REGEXMATCH(AR272,""nature""),""X"",""""))"),"")</f>
        <v/>
      </c>
      <c r="W272" s="800" t="str">
        <f>IFERROR(__xludf.DUMMYFUNCTION("if(REGEXMATCH(AR272,""(all)""),""X"",if(REGEXMATCH(AR272,""nobility""),""X"",""""))"),"X")</f>
        <v>X</v>
      </c>
      <c r="X272" s="800" t="str">
        <f>IFERROR(__xludf.DUMMYFUNCTION("if(REGEXMATCH(AR272,""(all)""),""X"",if(REGEXMATCH(AR272,""planes""),""X"",""""))"),"")</f>
        <v/>
      </c>
      <c r="Y272" s="800" t="str">
        <f>IFERROR(__xludf.DUMMYFUNCTION("if(REGEXMATCH(AR272,""(all)""),""X"",if(REGEXMATCH(AR272,""religion""),""X"",""""))"),"")</f>
        <v/>
      </c>
      <c r="Z272" s="800" t="str">
        <f>IFERROR(__xludf.DUMMYFUNCTION("if(REGEXMATCH(AR272,$Z$168),""X"","""")"),"")</f>
        <v/>
      </c>
      <c r="AA272" s="800" t="str">
        <f>IFERROR(__xludf.DUMMYFUNCTION("if(REGEXMATCH(AR272,$AA$168),""X"","""")"),"X")</f>
        <v>X</v>
      </c>
      <c r="AB272" s="734" t="str">
        <f>IFERROR(__xludf.DUMMYFUNCTION("if(REGEXMATCH(AR272,""Perform""),""X"","""")"),"")</f>
        <v/>
      </c>
      <c r="AC272" s="734" t="str">
        <f t="shared" si="19"/>
        <v/>
      </c>
      <c r="AD272" s="734" t="str">
        <f>IFERROR(__xludf.DUMMYFUNCTION("if(REGEXMATCH(AR272,""Profession""),""X"","""")"),"X")</f>
        <v>X</v>
      </c>
      <c r="AE272" s="734" t="str">
        <f t="shared" si="20"/>
        <v>X</v>
      </c>
      <c r="AF272" s="800" t="str">
        <f>IFERROR(__xludf.DUMMYFUNCTION("if(REGEXMATCH(AR272,$AF$168),""X"","""")"),"X")</f>
        <v>X</v>
      </c>
      <c r="AG272" s="800" t="str">
        <f>IFERROR(__xludf.DUMMYFUNCTION("if(REGEXMATCH(AR272,$AG$168),""X"","""")"),"X")</f>
        <v>X</v>
      </c>
      <c r="AH272" s="800" t="str">
        <f>IFERROR(__xludf.DUMMYFUNCTION("if(REGEXMATCH(AR272,$AH$168),""X"","""")"),"")</f>
        <v/>
      </c>
      <c r="AI272" s="800" t="str">
        <f>IFERROR(__xludf.DUMMYFUNCTION("if(REGEXMATCH(AR272,$AI$168),""X"","""")"),"")</f>
        <v/>
      </c>
      <c r="AJ272" s="739" t="str">
        <f>IFERROR(__xludf.DUMMYFUNCTION("if(REGEXMATCH(AR272,$AJ$168),""X"","""")"),"")</f>
        <v/>
      </c>
      <c r="AK272" s="800" t="str">
        <f>IFERROR(__xludf.DUMMYFUNCTION("if(REGEXMATCH(AR272,$AK$168),""X"","""")"),"")</f>
        <v/>
      </c>
      <c r="AL272" s="800" t="str">
        <f>IFERROR(__xludf.DUMMYFUNCTION("if(REGEXMATCH(AR272,$AL$168),""X"","""")"),"X")</f>
        <v>X</v>
      </c>
      <c r="AM272" s="800" t="str">
        <f>IFERROR(__xludf.DUMMYFUNCTION("if(REGEXMATCH(AR272,$AM$168),""X"","""")"),"")</f>
        <v/>
      </c>
      <c r="AN272" s="800"/>
      <c r="AO272" s="800"/>
      <c r="AP272" s="800" t="str">
        <f>IFERROR(__xludf.DUMMYFUNCTION("if(REGEXMATCH(AR272,""Craft""),""X"","""")"),"X")</f>
        <v>X</v>
      </c>
      <c r="AQ272" s="800" t="str">
        <f>IFERROR(__xludf.DUMMYFUNCTION("if(REGEXMATCH(AR272,""Knowledge""),""X"","""")"),"X")</f>
        <v>X</v>
      </c>
      <c r="AR272" s="939" t="s">
        <v>1289</v>
      </c>
      <c r="AS272" s="243"/>
      <c r="AT272" s="243"/>
      <c r="AU272" s="243"/>
      <c r="AV272" s="243"/>
      <c r="AW272" s="243"/>
      <c r="AX272" s="243"/>
      <c r="AY272" s="243"/>
      <c r="AZ272" s="243"/>
      <c r="BA272" s="243"/>
      <c r="BB272" s="243"/>
      <c r="BC272" s="243"/>
      <c r="BD272" s="243"/>
      <c r="BE272" s="243"/>
      <c r="BF272" s="243"/>
      <c r="BG272" s="243"/>
      <c r="BH272" s="243"/>
      <c r="BI272" s="243"/>
      <c r="BJ272" s="243"/>
      <c r="BK272" s="243"/>
      <c r="BL272" s="243"/>
    </row>
    <row r="273">
      <c r="A273" s="458" t="s">
        <v>224</v>
      </c>
      <c r="B273" s="734" t="str">
        <f>IFERROR(__xludf.DUMMYFUNCTION("if(REGEXMATCH(AR273,$B$168),""X"","""")"),"X")</f>
        <v>X</v>
      </c>
      <c r="C273" s="734" t="str">
        <f>IFERROR(__xludf.DUMMYFUNCTION("if(REGEXMATCH(AR273,$C$168),""X"","""")"),"X")</f>
        <v>X</v>
      </c>
      <c r="D273" s="800" t="str">
        <f>IFERROR(__xludf.DUMMYFUNCTION("if(REGEXMATCH(AR273,$D$168),""X"","""")"),"X")</f>
        <v>X</v>
      </c>
      <c r="E273" s="734" t="str">
        <f>IFERROR(__xludf.DUMMYFUNCTION("if(REGEXMATCH(AR273,$E$168),""X"","""")"),"X")</f>
        <v>X</v>
      </c>
      <c r="F273" s="734" t="str">
        <f>IFERROR(__xludf.DUMMYFUNCTION("if(REGEXMATCH(AR273,$F$168),""X"","""")"),"X")</f>
        <v>X</v>
      </c>
      <c r="G273" s="734" t="str">
        <f t="shared" si="18"/>
        <v>X</v>
      </c>
      <c r="H273" s="734" t="str">
        <f>IFERROR(__xludf.DUMMYFUNCTION("if(REGEXMATCH(AR273,$H$168),""X"","""")"),"X")</f>
        <v>X</v>
      </c>
      <c r="I273" s="800" t="str">
        <f>IFERROR(__xludf.DUMMYFUNCTION("if(REGEXMATCH(AR273,$I$168),""X"","""")"),"X")</f>
        <v>X</v>
      </c>
      <c r="J273" s="800" t="str">
        <f>IFERROR(__xludf.DUMMYFUNCTION("if(REGEXMATCH(AR273,$J$168),""X"","""")"),"X")</f>
        <v>X</v>
      </c>
      <c r="K273" s="800" t="str">
        <f>IFERROR(__xludf.DUMMYFUNCTION("if(REGEXMATCH(AR273,$K$168),""X"","""")"),"X")</f>
        <v>X</v>
      </c>
      <c r="L273" s="800" t="str">
        <f>IFERROR(__xludf.DUMMYFUNCTION("if(REGEXMATCH(AR273,$L$168),""X"","""")"),"")</f>
        <v/>
      </c>
      <c r="M273" s="800" t="str">
        <f>IFERROR(__xludf.DUMMYFUNCTION("if(REGEXMATCH(AR273,$M$168),""X"","""")"),"")</f>
        <v/>
      </c>
      <c r="N273" s="800" t="str">
        <f>IFERROR(__xludf.DUMMYFUNCTION("if(REGEXMATCH(AR273,$N$168),""X"","""")"),"")</f>
        <v/>
      </c>
      <c r="O273" s="800" t="str">
        <f>IFERROR(__xludf.DUMMYFUNCTION("if(REGEXMATCH(AR273,$O$168),""X"","""")"),"X")</f>
        <v>X</v>
      </c>
      <c r="P273" s="800" t="str">
        <f>IFERROR(__xludf.DUMMYFUNCTION("if(REGEXMATCH(AR273,""(all)""),""X"",if(REGEXMATCH(AR273,""arcana""),""X"",""""))"),"")</f>
        <v/>
      </c>
      <c r="Q273" s="800" t="str">
        <f>IFERROR(__xludf.DUMMYFUNCTION("if(REGEXMATCH(AR273,""(all)""),""X"",if(REGEXMATCH(AR273,""dungeoneering""),""X"",""""))"),"")</f>
        <v/>
      </c>
      <c r="R273" s="800" t="str">
        <f>IFERROR(__xludf.DUMMYFUNCTION("if(REGEXMATCH(AR273,""(all)""),""X"",if(REGEXMATCH(AR273,""engineering""),""X"",""""))"),"")</f>
        <v/>
      </c>
      <c r="S273" s="800" t="str">
        <f>IFERROR(__xludf.DUMMYFUNCTION("if(REGEXMATCH(AR273,""(all)""),""X"",if(REGEXMATCH(AR273,""geography""),""X"",""""))"),"")</f>
        <v/>
      </c>
      <c r="T273" s="800" t="str">
        <f>IFERROR(__xludf.DUMMYFUNCTION("if(REGEXMATCH(AR273,""(all)""),""X"",if(REGEXMATCH(AR273,""history""),""X"",""""))"),"")</f>
        <v/>
      </c>
      <c r="U273" s="800" t="str">
        <f>IFERROR(__xludf.DUMMYFUNCTION("if(REGEXMATCH(AR273,""(all)""),""X"",if(REGEXMATCH(AR273,""local""),""X"",""""))"),"X")</f>
        <v>X</v>
      </c>
      <c r="V273" s="800" t="str">
        <f>IFERROR(__xludf.DUMMYFUNCTION("if(REGEXMATCH(AR273,""(all)""),""X"",if(REGEXMATCH(AR273,""nature""),""X"",""""))"),"")</f>
        <v/>
      </c>
      <c r="W273" s="800" t="str">
        <f>IFERROR(__xludf.DUMMYFUNCTION("if(REGEXMATCH(AR273,""(all)""),""X"",if(REGEXMATCH(AR273,""nobility""),""X"",""""))"),"X")</f>
        <v>X</v>
      </c>
      <c r="X273" s="800" t="str">
        <f>IFERROR(__xludf.DUMMYFUNCTION("if(REGEXMATCH(AR273,""(all)""),""X"",if(REGEXMATCH(AR273,""planes""),""X"",""""))"),"")</f>
        <v/>
      </c>
      <c r="Y273" s="800" t="str">
        <f>IFERROR(__xludf.DUMMYFUNCTION("if(REGEXMATCH(AR273,""(all)""),""X"",if(REGEXMATCH(AR273,""religion""),""X"",""""))"),"")</f>
        <v/>
      </c>
      <c r="Z273" s="800" t="str">
        <f>IFERROR(__xludf.DUMMYFUNCTION("if(REGEXMATCH(AR273,$Z$168),""X"","""")"),"X")</f>
        <v>X</v>
      </c>
      <c r="AA273" s="800" t="str">
        <f>IFERROR(__xludf.DUMMYFUNCTION("if(REGEXMATCH(AR273,$AA$168),""X"","""")"),"X")</f>
        <v>X</v>
      </c>
      <c r="AB273" s="734" t="str">
        <f>IFERROR(__xludf.DUMMYFUNCTION("if(REGEXMATCH(AR273,""Perform""),""X"","""")"),"X")</f>
        <v>X</v>
      </c>
      <c r="AC273" s="734" t="str">
        <f t="shared" si="19"/>
        <v>X</v>
      </c>
      <c r="AD273" s="734" t="str">
        <f>IFERROR(__xludf.DUMMYFUNCTION("if(REGEXMATCH(AR273,""Profession""),""X"","""")"),"X")</f>
        <v>X</v>
      </c>
      <c r="AE273" s="734" t="str">
        <f t="shared" si="20"/>
        <v>X</v>
      </c>
      <c r="AF273" s="800" t="str">
        <f>IFERROR(__xludf.DUMMYFUNCTION("if(REGEXMATCH(AR273,$AF$168),""X"","""")"),"")</f>
        <v/>
      </c>
      <c r="AG273" s="800" t="str">
        <f>IFERROR(__xludf.DUMMYFUNCTION("if(REGEXMATCH(AR273,$AG$168),""X"","""")"),"X")</f>
        <v>X</v>
      </c>
      <c r="AH273" s="800" t="str">
        <f>IFERROR(__xludf.DUMMYFUNCTION("if(REGEXMATCH(AR273,$AH$168),""X"","""")"),"X")</f>
        <v>X</v>
      </c>
      <c r="AI273" s="800" t="str">
        <f>IFERROR(__xludf.DUMMYFUNCTION("if(REGEXMATCH(AR273,$AI$168),""X"","""")"),"X")</f>
        <v>X</v>
      </c>
      <c r="AJ273" s="739" t="str">
        <f>IFERROR(__xludf.DUMMYFUNCTION("if(REGEXMATCH(AR273,$AJ$168),""X"","""")"),"X")</f>
        <v>X</v>
      </c>
      <c r="AK273" s="800" t="str">
        <f>IFERROR(__xludf.DUMMYFUNCTION("if(REGEXMATCH(AR273,$AK$168),""X"","""")"),"")</f>
        <v/>
      </c>
      <c r="AL273" s="800" t="str">
        <f>IFERROR(__xludf.DUMMYFUNCTION("if(REGEXMATCH(AR273,$AL$168),""X"","""")"),"X")</f>
        <v>X</v>
      </c>
      <c r="AM273" s="800" t="str">
        <f>IFERROR(__xludf.DUMMYFUNCTION("if(REGEXMATCH(AR273,$AM$168),""X"","""")"),"X")</f>
        <v>X</v>
      </c>
      <c r="AN273" s="800"/>
      <c r="AO273" s="800"/>
      <c r="AP273" s="800" t="str">
        <f>IFERROR(__xludf.DUMMYFUNCTION("if(REGEXMATCH(AR273,""Craft""),""X"","""")"),"X")</f>
        <v>X</v>
      </c>
      <c r="AQ273" s="800" t="str">
        <f>IFERROR(__xludf.DUMMYFUNCTION("if(REGEXMATCH(AR273,""Knowledge""),""X"","""")"),"X")</f>
        <v>X</v>
      </c>
      <c r="AR273" s="939" t="s">
        <v>1293</v>
      </c>
      <c r="AS273" s="243"/>
      <c r="AT273" s="243"/>
      <c r="AU273" s="243"/>
      <c r="AV273" s="243"/>
      <c r="AW273" s="243"/>
      <c r="AX273" s="243"/>
      <c r="AY273" s="243"/>
      <c r="AZ273" s="243"/>
      <c r="BA273" s="243"/>
      <c r="BB273" s="243"/>
      <c r="BC273" s="243"/>
      <c r="BD273" s="243"/>
      <c r="BE273" s="243"/>
      <c r="BF273" s="243"/>
      <c r="BG273" s="243"/>
      <c r="BH273" s="243"/>
      <c r="BI273" s="243"/>
      <c r="BJ273" s="243"/>
      <c r="BK273" s="243"/>
      <c r="BL273" s="243"/>
    </row>
    <row r="274">
      <c r="A274" s="458" t="s">
        <v>238</v>
      </c>
      <c r="B274" s="734" t="str">
        <f>IFERROR(__xludf.DUMMYFUNCTION("if(REGEXMATCH(AR274,$B$168),""X"","""")"),"X")</f>
        <v>X</v>
      </c>
      <c r="C274" s="734" t="str">
        <f>IFERROR(__xludf.DUMMYFUNCTION("if(REGEXMATCH(AR274,$C$168),""X"","""")"),"")</f>
        <v/>
      </c>
      <c r="D274" s="800" t="str">
        <f>IFERROR(__xludf.DUMMYFUNCTION("if(REGEXMATCH(AR274,$D$168),""X"","""")"),"")</f>
        <v/>
      </c>
      <c r="E274" s="734" t="str">
        <f>IFERROR(__xludf.DUMMYFUNCTION("if(REGEXMATCH(AR274,$E$168),""X"","""")"),"X")</f>
        <v>X</v>
      </c>
      <c r="F274" s="734" t="str">
        <f>IFERROR(__xludf.DUMMYFUNCTION("if(REGEXMATCH(AR274,$F$168),""X"","""")"),"X")</f>
        <v>X</v>
      </c>
      <c r="G274" s="734" t="str">
        <f t="shared" si="18"/>
        <v>X</v>
      </c>
      <c r="H274" s="734" t="str">
        <f>IFERROR(__xludf.DUMMYFUNCTION("if(REGEXMATCH(AR274,$H$168),""X"","""")"),"X")</f>
        <v>X</v>
      </c>
      <c r="I274" s="800" t="str">
        <f>IFERROR(__xludf.DUMMYFUNCTION("if(REGEXMATCH(AR274,$I$168),""X"","""")"),"")</f>
        <v/>
      </c>
      <c r="J274" s="800" t="str">
        <f>IFERROR(__xludf.DUMMYFUNCTION("if(REGEXMATCH(AR274,$J$168),""X"","""")"),"")</f>
        <v/>
      </c>
      <c r="K274" s="800" t="str">
        <f>IFERROR(__xludf.DUMMYFUNCTION("if(REGEXMATCH(AR274,$K$168),""X"","""")"),"")</f>
        <v/>
      </c>
      <c r="L274" s="800" t="str">
        <f>IFERROR(__xludf.DUMMYFUNCTION("if(REGEXMATCH(AR274,$L$168),""X"","""")"),"")</f>
        <v/>
      </c>
      <c r="M274" s="800" t="str">
        <f>IFERROR(__xludf.DUMMYFUNCTION("if(REGEXMATCH(AR274,$M$168),""X"","""")"),"X")</f>
        <v>X</v>
      </c>
      <c r="N274" s="800" t="str">
        <f>IFERROR(__xludf.DUMMYFUNCTION("if(REGEXMATCH(AR274,$N$168),""X"","""")"),"")</f>
        <v/>
      </c>
      <c r="O274" s="800" t="str">
        <f>IFERROR(__xludf.DUMMYFUNCTION("if(REGEXMATCH(AR274,$O$168),""X"","""")"),"X")</f>
        <v>X</v>
      </c>
      <c r="P274" s="800" t="str">
        <f>IFERROR(__xludf.DUMMYFUNCTION("if(REGEXMATCH(AR274,""(all)""),""X"",if(REGEXMATCH(AR274,""arcana""),""X"",""""))"),"")</f>
        <v/>
      </c>
      <c r="Q274" s="800" t="str">
        <f>IFERROR(__xludf.DUMMYFUNCTION("if(REGEXMATCH(AR274,""(all)""),""X"",if(REGEXMATCH(AR274,""dungeoneering""),""X"",""""))"),"")</f>
        <v/>
      </c>
      <c r="R274" s="800" t="str">
        <f>IFERROR(__xludf.DUMMYFUNCTION("if(REGEXMATCH(AR274,""(all)""),""X"",if(REGEXMATCH(AR274,""engineering""),""X"",""""))"),"")</f>
        <v/>
      </c>
      <c r="S274" s="800" t="str">
        <f>IFERROR(__xludf.DUMMYFUNCTION("if(REGEXMATCH(AR274,""(all)""),""X"",if(REGEXMATCH(AR274,""geography""),""X"",""""))"),"")</f>
        <v/>
      </c>
      <c r="T274" s="800" t="str">
        <f>IFERROR(__xludf.DUMMYFUNCTION("if(REGEXMATCH(AR274,""(all)""),""X"",if(REGEXMATCH(AR274,""history""),""X"",""""))"),"")</f>
        <v/>
      </c>
      <c r="U274" s="800" t="str">
        <f>IFERROR(__xludf.DUMMYFUNCTION("if(REGEXMATCH(AR274,""(all)""),""X"",if(REGEXMATCH(AR274,""local""),""X"",""""))"),"")</f>
        <v/>
      </c>
      <c r="V274" s="800" t="str">
        <f>IFERROR(__xludf.DUMMYFUNCTION("if(REGEXMATCH(AR274,""(all)""),""X"",if(REGEXMATCH(AR274,""nature""),""X"",""""))"),"")</f>
        <v/>
      </c>
      <c r="W274" s="800" t="str">
        <f>IFERROR(__xludf.DUMMYFUNCTION("if(REGEXMATCH(AR274,""(all)""),""X"",if(REGEXMATCH(AR274,""nobility""),""X"",""""))"),"")</f>
        <v/>
      </c>
      <c r="X274" s="800" t="str">
        <f>IFERROR(__xludf.DUMMYFUNCTION("if(REGEXMATCH(AR274,""(all)""),""X"",if(REGEXMATCH(AR274,""planes""),""X"",""""))"),"")</f>
        <v/>
      </c>
      <c r="Y274" s="800" t="str">
        <f>IFERROR(__xludf.DUMMYFUNCTION("if(REGEXMATCH(AR274,""(all)""),""X"",if(REGEXMATCH(AR274,""religion""),""X"",""""))"),"")</f>
        <v/>
      </c>
      <c r="Z274" s="800" t="str">
        <f>IFERROR(__xludf.DUMMYFUNCTION("if(REGEXMATCH(AR274,$Z$168),""X"","""")"),"")</f>
        <v/>
      </c>
      <c r="AA274" s="800" t="str">
        <f>IFERROR(__xludf.DUMMYFUNCTION("if(REGEXMATCH(AR274,$AA$168),""X"","""")"),"X")</f>
        <v>X</v>
      </c>
      <c r="AB274" s="734" t="str">
        <f>IFERROR(__xludf.DUMMYFUNCTION("if(REGEXMATCH(AR274,""Perform""),""X"","""")"),"")</f>
        <v/>
      </c>
      <c r="AC274" s="734" t="str">
        <f t="shared" si="19"/>
        <v/>
      </c>
      <c r="AD274" s="734" t="str">
        <f>IFERROR(__xludf.DUMMYFUNCTION("if(REGEXMATCH(AR274,""Profession""),""X"","""")"),"X")</f>
        <v>X</v>
      </c>
      <c r="AE274" s="734" t="str">
        <f t="shared" si="20"/>
        <v>X</v>
      </c>
      <c r="AF274" s="800" t="str">
        <f>IFERROR(__xludf.DUMMYFUNCTION("if(REGEXMATCH(AR274,$AF$168),""X"","""")"),"X")</f>
        <v>X</v>
      </c>
      <c r="AG274" s="800" t="str">
        <f>IFERROR(__xludf.DUMMYFUNCTION("if(REGEXMATCH(AR274,$AG$168),""X"","""")"),"X")</f>
        <v>X</v>
      </c>
      <c r="AH274" s="800" t="str">
        <f>IFERROR(__xludf.DUMMYFUNCTION("if(REGEXMATCH(AR274,$AH$168),""X"","""")"),"")</f>
        <v/>
      </c>
      <c r="AI274" s="800" t="str">
        <f>IFERROR(__xludf.DUMMYFUNCTION("if(REGEXMATCH(AR274,$AI$168),""X"","""")"),"")</f>
        <v/>
      </c>
      <c r="AJ274" s="739" t="str">
        <f>IFERROR(__xludf.DUMMYFUNCTION("if(REGEXMATCH(AR274,$AJ$168),""X"","""")"),"")</f>
        <v/>
      </c>
      <c r="AK274" s="800" t="str">
        <f>IFERROR(__xludf.DUMMYFUNCTION("if(REGEXMATCH(AR274,$AK$168),""X"","""")"),"")</f>
        <v/>
      </c>
      <c r="AL274" s="800" t="str">
        <f>IFERROR(__xludf.DUMMYFUNCTION("if(REGEXMATCH(AR274,$AL$168),""X"","""")"),"X")</f>
        <v>X</v>
      </c>
      <c r="AM274" s="800" t="str">
        <f>IFERROR(__xludf.DUMMYFUNCTION("if(REGEXMATCH(AR274,$AM$168),""X"","""")"),"")</f>
        <v/>
      </c>
      <c r="AN274" s="800"/>
      <c r="AO274" s="800"/>
      <c r="AP274" s="800" t="str">
        <f>IFERROR(__xludf.DUMMYFUNCTION("if(REGEXMATCH(AR274,""Craft""),""X"","""")"),"X")</f>
        <v>X</v>
      </c>
      <c r="AQ274" s="800" t="str">
        <f>IFERROR(__xludf.DUMMYFUNCTION("if(REGEXMATCH(AR274,""Knowledge""),""X"","""")"),"X")</f>
        <v>X</v>
      </c>
      <c r="AR274" s="939" t="s">
        <v>1299</v>
      </c>
      <c r="AS274" s="243"/>
      <c r="AT274" s="243"/>
      <c r="AU274" s="243"/>
      <c r="AV274" s="243"/>
      <c r="AW274" s="243"/>
      <c r="AX274" s="243"/>
      <c r="AY274" s="243"/>
      <c r="AZ274" s="243"/>
      <c r="BA274" s="243"/>
      <c r="BB274" s="243"/>
      <c r="BC274" s="243"/>
      <c r="BD274" s="243"/>
      <c r="BE274" s="243"/>
      <c r="BF274" s="243"/>
      <c r="BG274" s="243"/>
      <c r="BH274" s="243"/>
      <c r="BI274" s="243"/>
      <c r="BJ274" s="243"/>
      <c r="BK274" s="243"/>
      <c r="BL274" s="243"/>
    </row>
    <row r="275">
      <c r="A275" s="458" t="s">
        <v>488</v>
      </c>
      <c r="B275" s="734" t="str">
        <f>IFERROR(__xludf.DUMMYFUNCTION("if(REGEXMATCH(AR275,$B$168),""X"","""")"),"")</f>
        <v/>
      </c>
      <c r="C275" s="734" t="str">
        <f>IFERROR(__xludf.DUMMYFUNCTION("if(REGEXMATCH(AR275,$C$168),""X"","""")"),"X")</f>
        <v>X</v>
      </c>
      <c r="D275" s="800" t="str">
        <f>IFERROR(__xludf.DUMMYFUNCTION("if(REGEXMATCH(AR275,$D$168),""X"","""")"),"")</f>
        <v/>
      </c>
      <c r="E275" s="734" t="str">
        <f>IFERROR(__xludf.DUMMYFUNCTION("if(REGEXMATCH(AR275,$E$168),""X"","""")"),"")</f>
        <v/>
      </c>
      <c r="F275" s="734" t="str">
        <f>IFERROR(__xludf.DUMMYFUNCTION("if(REGEXMATCH(AR275,$F$168),""X"","""")"),"X")</f>
        <v>X</v>
      </c>
      <c r="G275" s="734" t="str">
        <f t="shared" si="18"/>
        <v>X</v>
      </c>
      <c r="H275" s="734" t="str">
        <f>IFERROR(__xludf.DUMMYFUNCTION("if(REGEXMATCH(AR275,$H$168),""X"","""")"),"")</f>
        <v/>
      </c>
      <c r="I275" s="800" t="str">
        <f>IFERROR(__xludf.DUMMYFUNCTION("if(REGEXMATCH(AR275,$I$168),""X"","""")"),"")</f>
        <v/>
      </c>
      <c r="J275" s="800" t="str">
        <f>IFERROR(__xludf.DUMMYFUNCTION("if(REGEXMATCH(AR275,$J$168),""X"","""")"),"")</f>
        <v/>
      </c>
      <c r="K275" s="800" t="str">
        <f>IFERROR(__xludf.DUMMYFUNCTION("if(REGEXMATCH(AR275,$K$168),""X"","""")"),"")</f>
        <v/>
      </c>
      <c r="L275" s="800" t="str">
        <f>IFERROR(__xludf.DUMMYFUNCTION("if(REGEXMATCH(AR275,$L$168),""X"","""")"),"X")</f>
        <v>X</v>
      </c>
      <c r="M275" s="800" t="str">
        <f>IFERROR(__xludf.DUMMYFUNCTION("if(REGEXMATCH(AR275,$M$168),""X"","""")"),"")</f>
        <v/>
      </c>
      <c r="N275" s="800" t="str">
        <f>IFERROR(__xludf.DUMMYFUNCTION("if(REGEXMATCH(AR275,$N$168),""X"","""")"),"")</f>
        <v/>
      </c>
      <c r="O275" s="800" t="str">
        <f>IFERROR(__xludf.DUMMYFUNCTION("if(REGEXMATCH(AR275,$O$168),""X"","""")"),"")</f>
        <v/>
      </c>
      <c r="P275" s="800" t="str">
        <f>IFERROR(__xludf.DUMMYFUNCTION("if(REGEXMATCH(AR275,""(all)""),""X"",if(REGEXMATCH(AR275,""arcana""),""X"",""""))"),"X")</f>
        <v>X</v>
      </c>
      <c r="Q275" s="800" t="str">
        <f>IFERROR(__xludf.DUMMYFUNCTION("if(REGEXMATCH(AR275,""(all)""),""X"",if(REGEXMATCH(AR275,""dungeoneering""),""X"",""""))"),"X")</f>
        <v>X</v>
      </c>
      <c r="R275" s="800" t="str">
        <f>IFERROR(__xludf.DUMMYFUNCTION("if(REGEXMATCH(AR275,""(all)""),""X"",if(REGEXMATCH(AR275,""engineering""),""X"",""""))"),"X")</f>
        <v>X</v>
      </c>
      <c r="S275" s="800" t="str">
        <f>IFERROR(__xludf.DUMMYFUNCTION("if(REGEXMATCH(AR275,""(all)""),""X"",if(REGEXMATCH(AR275,""geography""),""X"",""""))"),"X")</f>
        <v>X</v>
      </c>
      <c r="T275" s="800" t="str">
        <f>IFERROR(__xludf.DUMMYFUNCTION("if(REGEXMATCH(AR275,""(all)""),""X"",if(REGEXMATCH(AR275,""history""),""X"",""""))"),"X")</f>
        <v>X</v>
      </c>
      <c r="U275" s="800" t="str">
        <f>IFERROR(__xludf.DUMMYFUNCTION("if(REGEXMATCH(AR275,""(all)""),""X"",if(REGEXMATCH(AR275,""local""),""X"",""""))"),"X")</f>
        <v>X</v>
      </c>
      <c r="V275" s="800" t="str">
        <f>IFERROR(__xludf.DUMMYFUNCTION("if(REGEXMATCH(AR275,""(all)""),""X"",if(REGEXMATCH(AR275,""nature""),""X"",""""))"),"X")</f>
        <v>X</v>
      </c>
      <c r="W275" s="800" t="str">
        <f>IFERROR(__xludf.DUMMYFUNCTION("if(REGEXMATCH(AR275,""(all)""),""X"",if(REGEXMATCH(AR275,""nobility""),""X"",""""))"),"X")</f>
        <v>X</v>
      </c>
      <c r="X275" s="800" t="str">
        <f>IFERROR(__xludf.DUMMYFUNCTION("if(REGEXMATCH(AR275,""(all)""),""X"",if(REGEXMATCH(AR275,""planes""),""X"",""""))"),"X")</f>
        <v>X</v>
      </c>
      <c r="Y275" s="800" t="str">
        <f>IFERROR(__xludf.DUMMYFUNCTION("if(REGEXMATCH(AR275,""(all)""),""X"",if(REGEXMATCH(AR275,""religion""),""X"",""""))"),"X")</f>
        <v>X</v>
      </c>
      <c r="Z275" s="800" t="str">
        <f>IFERROR(__xludf.DUMMYFUNCTION("if(REGEXMATCH(AR275,$Z$168),""X"","""")"),"X")</f>
        <v>X</v>
      </c>
      <c r="AA275" s="800" t="str">
        <f>IFERROR(__xludf.DUMMYFUNCTION("if(REGEXMATCH(AR275,$AA$168),""X"","""")"),"")</f>
        <v/>
      </c>
      <c r="AB275" s="734" t="str">
        <f>IFERROR(__xludf.DUMMYFUNCTION("if(REGEXMATCH(AR275,""Perform""),""X"","""")"),"")</f>
        <v/>
      </c>
      <c r="AC275" s="734" t="str">
        <f t="shared" si="19"/>
        <v/>
      </c>
      <c r="AD275" s="734" t="str">
        <f>IFERROR(__xludf.DUMMYFUNCTION("if(REGEXMATCH(AR275,""Profession""),""X"","""")"),"X")</f>
        <v>X</v>
      </c>
      <c r="AE275" s="734" t="str">
        <f t="shared" si="20"/>
        <v>X</v>
      </c>
      <c r="AF275" s="800" t="str">
        <f>IFERROR(__xludf.DUMMYFUNCTION("if(REGEXMATCH(AR275,$AF$168),""X"","""")"),"")</f>
        <v/>
      </c>
      <c r="AG275" s="800" t="str">
        <f>IFERROR(__xludf.DUMMYFUNCTION("if(REGEXMATCH(AR275,$AG$168),""X"","""")"),"")</f>
        <v/>
      </c>
      <c r="AH275" s="800" t="str">
        <f>IFERROR(__xludf.DUMMYFUNCTION("if(REGEXMATCH(AR275,$AH$168),""X"","""")"),"")</f>
        <v/>
      </c>
      <c r="AI275" s="800" t="str">
        <f>IFERROR(__xludf.DUMMYFUNCTION("if(REGEXMATCH(AR275,$AI$168),""X"","""")"),"X")</f>
        <v>X</v>
      </c>
      <c r="AJ275" s="739" t="str">
        <f>IFERROR(__xludf.DUMMYFUNCTION("if(REGEXMATCH(AR275,$AJ$168),""X"","""")"),"")</f>
        <v/>
      </c>
      <c r="AK275" s="800" t="str">
        <f>IFERROR(__xludf.DUMMYFUNCTION("if(REGEXMATCH(AR275,$AK$168),""X"","""")"),"")</f>
        <v/>
      </c>
      <c r="AL275" s="800" t="str">
        <f>IFERROR(__xludf.DUMMYFUNCTION("if(REGEXMATCH(AR275,$AL$168),""X"","""")"),"")</f>
        <v/>
      </c>
      <c r="AM275" s="800" t="str">
        <f>IFERROR(__xludf.DUMMYFUNCTION("if(REGEXMATCH(AR275,$AM$168),""X"","""")"),"")</f>
        <v/>
      </c>
      <c r="AN275" s="800"/>
      <c r="AO275" s="800"/>
      <c r="AP275" s="800" t="str">
        <f>IFERROR(__xludf.DUMMYFUNCTION("if(REGEXMATCH(AR275,""Craft""),""X"","""")"),"X")</f>
        <v>X</v>
      </c>
      <c r="AQ275" s="800" t="str">
        <f>IFERROR(__xludf.DUMMYFUNCTION("if(REGEXMATCH(AR275,""Knowledge""),""X"","""")"),"X")</f>
        <v>X</v>
      </c>
      <c r="AR275" s="939" t="s">
        <v>840</v>
      </c>
      <c r="AS275" s="243"/>
      <c r="AT275" s="243"/>
      <c r="AU275" s="243"/>
      <c r="AV275" s="243"/>
      <c r="AW275" s="243"/>
      <c r="AX275" s="243"/>
      <c r="AY275" s="243"/>
      <c r="AZ275" s="243"/>
      <c r="BA275" s="243"/>
      <c r="BB275" s="243"/>
      <c r="BC275" s="243"/>
      <c r="BD275" s="243"/>
      <c r="BE275" s="243"/>
      <c r="BF275" s="243"/>
      <c r="BG275" s="243"/>
      <c r="BH275" s="243"/>
      <c r="BI275" s="243"/>
      <c r="BJ275" s="243"/>
      <c r="BK275" s="243"/>
      <c r="BL275" s="243"/>
    </row>
    <row r="276">
      <c r="A276" s="458" t="s">
        <v>640</v>
      </c>
      <c r="B276" s="734" t="str">
        <f>IFERROR(__xludf.DUMMYFUNCTION("if(REGEXMATCH(AR276,$B$168),""X"","""")"),"X")</f>
        <v>X</v>
      </c>
      <c r="C276" s="734" t="str">
        <f>IFERROR(__xludf.DUMMYFUNCTION("if(REGEXMATCH(AR276,$C$168),""X"","""")"),"")</f>
        <v/>
      </c>
      <c r="D276" s="800" t="str">
        <f>IFERROR(__xludf.DUMMYFUNCTION("if(REGEXMATCH(AR276,$D$168),""X"","""")"),"")</f>
        <v/>
      </c>
      <c r="E276" s="734" t="str">
        <f>IFERROR(__xludf.DUMMYFUNCTION("if(REGEXMATCH(AR276,$E$168),""X"","""")"),"X")</f>
        <v>X</v>
      </c>
      <c r="F276" s="734" t="str">
        <f>IFERROR(__xludf.DUMMYFUNCTION("if(REGEXMATCH(AR276,$F$168),""X"","""")"),"X")</f>
        <v>X</v>
      </c>
      <c r="G276" s="734" t="str">
        <f t="shared" si="18"/>
        <v>X</v>
      </c>
      <c r="H276" s="734" t="str">
        <f>IFERROR(__xludf.DUMMYFUNCTION("if(REGEXMATCH(AR276,$H$168),""X"","""")"),"X")</f>
        <v>X</v>
      </c>
      <c r="I276" s="800" t="str">
        <f>IFERROR(__xludf.DUMMYFUNCTION("if(REGEXMATCH(AR276,$I$168),""X"","""")"),"")</f>
        <v/>
      </c>
      <c r="J276" s="800" t="str">
        <f>IFERROR(__xludf.DUMMYFUNCTION("if(REGEXMATCH(AR276,$J$168),""X"","""")"),"")</f>
        <v/>
      </c>
      <c r="K276" s="800" t="str">
        <f>IFERROR(__xludf.DUMMYFUNCTION("if(REGEXMATCH(AR276,$K$168),""X"","""")"),"")</f>
        <v/>
      </c>
      <c r="L276" s="800" t="str">
        <f>IFERROR(__xludf.DUMMYFUNCTION("if(REGEXMATCH(AR276,$L$168),""X"","""")"),"")</f>
        <v/>
      </c>
      <c r="M276" s="800" t="str">
        <f>IFERROR(__xludf.DUMMYFUNCTION("if(REGEXMATCH(AR276,$M$168),""X"","""")"),"X")</f>
        <v>X</v>
      </c>
      <c r="N276" s="800" t="str">
        <f>IFERROR(__xludf.DUMMYFUNCTION("if(REGEXMATCH(AR276,$N$168),""X"","""")"),"X")</f>
        <v>X</v>
      </c>
      <c r="O276" s="800" t="str">
        <f>IFERROR(__xludf.DUMMYFUNCTION("if(REGEXMATCH(AR276,$O$168),""X"","""")"),"X")</f>
        <v>X</v>
      </c>
      <c r="P276" s="800" t="str">
        <f>IFERROR(__xludf.DUMMYFUNCTION("if(REGEXMATCH(AR276,""(all)""),""X"",if(REGEXMATCH(AR276,""arcana""),""X"",""""))"),"")</f>
        <v/>
      </c>
      <c r="Q276" s="800" t="str">
        <f>IFERROR(__xludf.DUMMYFUNCTION("if(REGEXMATCH(AR276,""(all)""),""X"",if(REGEXMATCH(AR276,""dungeoneering""),""X"",""""))"),"")</f>
        <v/>
      </c>
      <c r="R276" s="800" t="str">
        <f>IFERROR(__xludf.DUMMYFUNCTION("if(REGEXMATCH(AR276,""(all)""),""X"",if(REGEXMATCH(AR276,""engineering""),""X"",""""))"),"")</f>
        <v/>
      </c>
      <c r="S276" s="800" t="str">
        <f>IFERROR(__xludf.DUMMYFUNCTION("if(REGEXMATCH(AR276,""(all)""),""X"",if(REGEXMATCH(AR276,""geography""),""X"",""""))"),"")</f>
        <v/>
      </c>
      <c r="T276" s="800" t="str">
        <f>IFERROR(__xludf.DUMMYFUNCTION("if(REGEXMATCH(AR276,""(all)""),""X"",if(REGEXMATCH(AR276,""history""),""X"",""""))"),"")</f>
        <v/>
      </c>
      <c r="U276" s="800" t="str">
        <f>IFERROR(__xludf.DUMMYFUNCTION("if(REGEXMATCH(AR276,""(all)""),""X"",if(REGEXMATCH(AR276,""local""),""X"",""""))"),"")</f>
        <v/>
      </c>
      <c r="V276" s="800" t="str">
        <f>IFERROR(__xludf.DUMMYFUNCTION("if(REGEXMATCH(AR276,""(all)""),""X"",if(REGEXMATCH(AR276,""nature""),""X"",""""))"),"")</f>
        <v/>
      </c>
      <c r="W276" s="800" t="str">
        <f>IFERROR(__xludf.DUMMYFUNCTION("if(REGEXMATCH(AR276,""(all)""),""X"",if(REGEXMATCH(AR276,""nobility""),""X"",""""))"),"X")</f>
        <v>X</v>
      </c>
      <c r="X276" s="800" t="str">
        <f>IFERROR(__xludf.DUMMYFUNCTION("if(REGEXMATCH(AR276,""(all)""),""X"",if(REGEXMATCH(AR276,""planes""),""X"",""""))"),"")</f>
        <v/>
      </c>
      <c r="Y276" s="800" t="str">
        <f>IFERROR(__xludf.DUMMYFUNCTION("if(REGEXMATCH(AR276,""(all)""),""X"",if(REGEXMATCH(AR276,""religion""),""X"",""""))"),"X")</f>
        <v>X</v>
      </c>
      <c r="Z276" s="800" t="str">
        <f>IFERROR(__xludf.DUMMYFUNCTION("if(REGEXMATCH(AR276,$Z$168),""X"","""")"),"")</f>
        <v/>
      </c>
      <c r="AA276" s="800" t="str">
        <f>IFERROR(__xludf.DUMMYFUNCTION("if(REGEXMATCH(AR276,$AA$168),""X"","""")"),"X")</f>
        <v>X</v>
      </c>
      <c r="AB276" s="734" t="str">
        <f>IFERROR(__xludf.DUMMYFUNCTION("if(REGEXMATCH(AR276,""Perform""),""X"","""")"),"")</f>
        <v/>
      </c>
      <c r="AC276" s="734" t="str">
        <f t="shared" si="19"/>
        <v/>
      </c>
      <c r="AD276" s="734" t="str">
        <f>IFERROR(__xludf.DUMMYFUNCTION("if(REGEXMATCH(AR276,""Profession""),""X"","""")"),"X")</f>
        <v>X</v>
      </c>
      <c r="AE276" s="734" t="str">
        <f t="shared" si="20"/>
        <v>X</v>
      </c>
      <c r="AF276" s="800" t="str">
        <f>IFERROR(__xludf.DUMMYFUNCTION("if(REGEXMATCH(AR276,$AF$168),""X"","""")"),"X")</f>
        <v>X</v>
      </c>
      <c r="AG276" s="800" t="str">
        <f>IFERROR(__xludf.DUMMYFUNCTION("if(REGEXMATCH(AR276,$AG$168),""X"","""")"),"X")</f>
        <v>X</v>
      </c>
      <c r="AH276" s="800" t="str">
        <f>IFERROR(__xludf.DUMMYFUNCTION("if(REGEXMATCH(AR276,$AH$168),""X"","""")"),"")</f>
        <v/>
      </c>
      <c r="AI276" s="800" t="str">
        <f>IFERROR(__xludf.DUMMYFUNCTION("if(REGEXMATCH(AR276,$AI$168),""X"","""")"),"")</f>
        <v/>
      </c>
      <c r="AJ276" s="739" t="str">
        <f>IFERROR(__xludf.DUMMYFUNCTION("if(REGEXMATCH(AR276,$AJ$168),""X"","""")"),"")</f>
        <v/>
      </c>
      <c r="AK276" s="800" t="str">
        <f>IFERROR(__xludf.DUMMYFUNCTION("if(REGEXMATCH(AR276,$AK$168),""X"","""")"),"")</f>
        <v/>
      </c>
      <c r="AL276" s="800" t="str">
        <f>IFERROR(__xludf.DUMMYFUNCTION("if(REGEXMATCH(AR276,$AL$168),""X"","""")"),"")</f>
        <v/>
      </c>
      <c r="AM276" s="800" t="str">
        <f>IFERROR(__xludf.DUMMYFUNCTION("if(REGEXMATCH(AR276,$AM$168),""X"","""")"),"")</f>
        <v/>
      </c>
      <c r="AN276" s="800"/>
      <c r="AO276" s="800"/>
      <c r="AP276" s="800" t="str">
        <f>IFERROR(__xludf.DUMMYFUNCTION("if(REGEXMATCH(AR276,""Craft""),""X"","""")"),"X")</f>
        <v>X</v>
      </c>
      <c r="AQ276" s="800" t="str">
        <f>IFERROR(__xludf.DUMMYFUNCTION("if(REGEXMATCH(AR276,""Knowledge""),""X"","""")"),"X")</f>
        <v>X</v>
      </c>
      <c r="AR276" s="939" t="s">
        <v>1326</v>
      </c>
      <c r="AS276" s="243"/>
      <c r="AT276" s="243"/>
      <c r="AU276" s="243"/>
      <c r="AV276" s="243"/>
      <c r="AW276" s="243"/>
      <c r="AX276" s="243"/>
      <c r="AY276" s="243"/>
      <c r="AZ276" s="243"/>
      <c r="BA276" s="243"/>
      <c r="BB276" s="243"/>
      <c r="BC276" s="243"/>
      <c r="BD276" s="243"/>
      <c r="BE276" s="243"/>
      <c r="BF276" s="243"/>
      <c r="BG276" s="243"/>
      <c r="BH276" s="243"/>
      <c r="BI276" s="243"/>
      <c r="BJ276" s="243"/>
      <c r="BK276" s="243"/>
      <c r="BL276" s="243"/>
    </row>
    <row r="277">
      <c r="A277" s="458" t="s">
        <v>643</v>
      </c>
      <c r="B277" s="734" t="str">
        <f>IFERROR(__xludf.DUMMYFUNCTION("if(REGEXMATCH(AR277,$B$168),""X"","""")"),"")</f>
        <v/>
      </c>
      <c r="C277" s="734" t="str">
        <f>IFERROR(__xludf.DUMMYFUNCTION("if(REGEXMATCH(AR277,$C$168),""X"","""")"),"X")</f>
        <v>X</v>
      </c>
      <c r="D277" s="800" t="str">
        <f>IFERROR(__xludf.DUMMYFUNCTION("if(REGEXMATCH(AR277,$D$168),""X"","""")"),"")</f>
        <v/>
      </c>
      <c r="E277" s="734" t="str">
        <f>IFERROR(__xludf.DUMMYFUNCTION("if(REGEXMATCH(AR277,$E$168),""X"","""")"),"")</f>
        <v/>
      </c>
      <c r="F277" s="734" t="str">
        <f>IFERROR(__xludf.DUMMYFUNCTION("if(REGEXMATCH(AR277,$F$168),""X"","""")"),"X")</f>
        <v>X</v>
      </c>
      <c r="G277" s="734" t="str">
        <f t="shared" si="18"/>
        <v>X</v>
      </c>
      <c r="H277" s="734" t="str">
        <f>IFERROR(__xludf.DUMMYFUNCTION("if(REGEXMATCH(AR277,$H$168),""X"","""")"),"")</f>
        <v/>
      </c>
      <c r="I277" s="800" t="str">
        <f>IFERROR(__xludf.DUMMYFUNCTION("if(REGEXMATCH(AR277,$I$168),""X"","""")"),"")</f>
        <v/>
      </c>
      <c r="J277" s="800" t="str">
        <f>IFERROR(__xludf.DUMMYFUNCTION("if(REGEXMATCH(AR277,$J$168),""X"","""")"),"")</f>
        <v/>
      </c>
      <c r="K277" s="800" t="str">
        <f>IFERROR(__xludf.DUMMYFUNCTION("if(REGEXMATCH(AR277,$K$168),""X"","""")"),"")</f>
        <v/>
      </c>
      <c r="L277" s="800" t="str">
        <f>IFERROR(__xludf.DUMMYFUNCTION("if(REGEXMATCH(AR277,$L$168),""X"","""")"),"X")</f>
        <v>X</v>
      </c>
      <c r="M277" s="800" t="str">
        <f>IFERROR(__xludf.DUMMYFUNCTION("if(REGEXMATCH(AR277,$M$168),""X"","""")"),"")</f>
        <v/>
      </c>
      <c r="N277" s="800" t="str">
        <f>IFERROR(__xludf.DUMMYFUNCTION("if(REGEXMATCH(AR277,$N$168),""X"","""")"),"")</f>
        <v/>
      </c>
      <c r="O277" s="800" t="str">
        <f>IFERROR(__xludf.DUMMYFUNCTION("if(REGEXMATCH(AR277,$O$168),""X"","""")"),"")</f>
        <v/>
      </c>
      <c r="P277" s="800" t="str">
        <f>IFERROR(__xludf.DUMMYFUNCTION("if(REGEXMATCH(AR277,""(all)""),""X"",if(REGEXMATCH(AR277,""arcana""),""X"",""""))"),"X")</f>
        <v>X</v>
      </c>
      <c r="Q277" s="800" t="str">
        <f>IFERROR(__xludf.DUMMYFUNCTION("if(REGEXMATCH(AR277,""(all)""),""X"",if(REGEXMATCH(AR277,""dungeoneering""),""X"",""""))"),"X")</f>
        <v>X</v>
      </c>
      <c r="R277" s="800" t="str">
        <f>IFERROR(__xludf.DUMMYFUNCTION("if(REGEXMATCH(AR277,""(all)""),""X"",if(REGEXMATCH(AR277,""engineering""),""X"",""""))"),"X")</f>
        <v>X</v>
      </c>
      <c r="S277" s="800" t="str">
        <f>IFERROR(__xludf.DUMMYFUNCTION("if(REGEXMATCH(AR277,""(all)""),""X"",if(REGEXMATCH(AR277,""geography""),""X"",""""))"),"X")</f>
        <v>X</v>
      </c>
      <c r="T277" s="800" t="str">
        <f>IFERROR(__xludf.DUMMYFUNCTION("if(REGEXMATCH(AR277,""(all)""),""X"",if(REGEXMATCH(AR277,""history""),""X"",""""))"),"X")</f>
        <v>X</v>
      </c>
      <c r="U277" s="800" t="str">
        <f>IFERROR(__xludf.DUMMYFUNCTION("if(REGEXMATCH(AR277,""(all)""),""X"",if(REGEXMATCH(AR277,""local""),""X"",""""))"),"X")</f>
        <v>X</v>
      </c>
      <c r="V277" s="800" t="str">
        <f>IFERROR(__xludf.DUMMYFUNCTION("if(REGEXMATCH(AR277,""(all)""),""X"",if(REGEXMATCH(AR277,""nature""),""X"",""""))"),"X")</f>
        <v>X</v>
      </c>
      <c r="W277" s="800" t="str">
        <f>IFERROR(__xludf.DUMMYFUNCTION("if(REGEXMATCH(AR277,""(all)""),""X"",if(REGEXMATCH(AR277,""nobility""),""X"",""""))"),"X")</f>
        <v>X</v>
      </c>
      <c r="X277" s="800" t="str">
        <f>IFERROR(__xludf.DUMMYFUNCTION("if(REGEXMATCH(AR277,""(all)""),""X"",if(REGEXMATCH(AR277,""planes""),""X"",""""))"),"X")</f>
        <v>X</v>
      </c>
      <c r="Y277" s="800" t="str">
        <f>IFERROR(__xludf.DUMMYFUNCTION("if(REGEXMATCH(AR277,""(all)""),""X"",if(REGEXMATCH(AR277,""religion""),""X"",""""))"),"X")</f>
        <v>X</v>
      </c>
      <c r="Z277" s="800" t="str">
        <f>IFERROR(__xludf.DUMMYFUNCTION("if(REGEXMATCH(AR277,$Z$168),""X"","""")"),"X")</f>
        <v>X</v>
      </c>
      <c r="AA277" s="800" t="str">
        <f>IFERROR(__xludf.DUMMYFUNCTION("if(REGEXMATCH(AR277,$AA$168),""X"","""")"),"")</f>
        <v/>
      </c>
      <c r="AB277" s="734" t="str">
        <f>IFERROR(__xludf.DUMMYFUNCTION("if(REGEXMATCH(AR277,""Perform""),""X"","""")"),"")</f>
        <v/>
      </c>
      <c r="AC277" s="734" t="str">
        <f t="shared" si="19"/>
        <v/>
      </c>
      <c r="AD277" s="734" t="str">
        <f>IFERROR(__xludf.DUMMYFUNCTION("if(REGEXMATCH(AR277,""Profession""),""X"","""")"),"X")</f>
        <v>X</v>
      </c>
      <c r="AE277" s="734" t="str">
        <f t="shared" si="20"/>
        <v>X</v>
      </c>
      <c r="AF277" s="800" t="str">
        <f>IFERROR(__xludf.DUMMYFUNCTION("if(REGEXMATCH(AR277,$AF$168),""X"","""")"),"")</f>
        <v/>
      </c>
      <c r="AG277" s="800" t="str">
        <f>IFERROR(__xludf.DUMMYFUNCTION("if(REGEXMATCH(AR277,$AG$168),""X"","""")"),"")</f>
        <v/>
      </c>
      <c r="AH277" s="800" t="str">
        <f>IFERROR(__xludf.DUMMYFUNCTION("if(REGEXMATCH(AR277,$AH$168),""X"","""")"),"")</f>
        <v/>
      </c>
      <c r="AI277" s="800" t="str">
        <f>IFERROR(__xludf.DUMMYFUNCTION("if(REGEXMATCH(AR277,$AI$168),""X"","""")"),"X")</f>
        <v>X</v>
      </c>
      <c r="AJ277" s="739" t="str">
        <f>IFERROR(__xludf.DUMMYFUNCTION("if(REGEXMATCH(AR277,$AJ$168),""X"","""")"),"")</f>
        <v/>
      </c>
      <c r="AK277" s="800" t="str">
        <f>IFERROR(__xludf.DUMMYFUNCTION("if(REGEXMATCH(AR277,$AK$168),""X"","""")"),"")</f>
        <v/>
      </c>
      <c r="AL277" s="800" t="str">
        <f>IFERROR(__xludf.DUMMYFUNCTION("if(REGEXMATCH(AR277,$AL$168),""X"","""")"),"")</f>
        <v/>
      </c>
      <c r="AM277" s="800" t="str">
        <f>IFERROR(__xludf.DUMMYFUNCTION("if(REGEXMATCH(AR277,$AM$168),""X"","""")"),"")</f>
        <v/>
      </c>
      <c r="AN277" s="800"/>
      <c r="AO277" s="800"/>
      <c r="AP277" s="800" t="str">
        <f>IFERROR(__xludf.DUMMYFUNCTION("if(REGEXMATCH(AR277,""Craft""),""X"","""")"),"X")</f>
        <v>X</v>
      </c>
      <c r="AQ277" s="800" t="str">
        <f>IFERROR(__xludf.DUMMYFUNCTION("if(REGEXMATCH(AR277,""Knowledge""),""X"","""")"),"X")</f>
        <v>X</v>
      </c>
      <c r="AR277" s="939" t="s">
        <v>840</v>
      </c>
      <c r="AS277" s="243"/>
      <c r="AT277" s="243"/>
      <c r="AU277" s="243"/>
      <c r="AV277" s="243"/>
      <c r="AW277" s="243"/>
      <c r="AX277" s="243"/>
      <c r="AY277" s="243"/>
      <c r="AZ277" s="243"/>
      <c r="BA277" s="243"/>
      <c r="BB277" s="243"/>
      <c r="BC277" s="243"/>
      <c r="BD277" s="243"/>
      <c r="BE277" s="243"/>
      <c r="BF277" s="243"/>
      <c r="BG277" s="243"/>
      <c r="BH277" s="243"/>
      <c r="BI277" s="243"/>
      <c r="BJ277" s="243"/>
      <c r="BK277" s="243"/>
      <c r="BL277" s="243"/>
    </row>
    <row r="278">
      <c r="A278" s="1059" t="str">
        <f>'Class Charts'!B295</f>
        <v>Braggart</v>
      </c>
      <c r="B278" s="734" t="str">
        <f>IFERROR(__xludf.DUMMYFUNCTION("if(REGEXMATCH(AR278,$B$168),""X"","""")"),"X")</f>
        <v>X</v>
      </c>
      <c r="C278" s="734" t="str">
        <f>IFERROR(__xludf.DUMMYFUNCTION("if(REGEXMATCH(AR278,$C$168),""X"","""")"),"")</f>
        <v/>
      </c>
      <c r="D278" s="800" t="str">
        <f>IFERROR(__xludf.DUMMYFUNCTION("if(REGEXMATCH(AR278,$D$168),""X"","""")"),"X")</f>
        <v>X</v>
      </c>
      <c r="E278" s="734" t="str">
        <f>IFERROR(__xludf.DUMMYFUNCTION("if(REGEXMATCH(AR278,$E$168),""X"","""")"),"X")</f>
        <v>X</v>
      </c>
      <c r="F278" s="734" t="str">
        <f>IFERROR(__xludf.DUMMYFUNCTION("if(REGEXMATCH(AR278,$F$168),""X"","""")"),"X")</f>
        <v>X</v>
      </c>
      <c r="G278" s="734" t="str">
        <f t="shared" si="18"/>
        <v>X</v>
      </c>
      <c r="H278" s="734" t="str">
        <f>IFERROR(__xludf.DUMMYFUNCTION("if(REGEXMATCH(AR278,$H$168),""X"","""")"),"")</f>
        <v/>
      </c>
      <c r="I278" s="800" t="str">
        <f>IFERROR(__xludf.DUMMYFUNCTION("if(REGEXMATCH(AR278,$I$168),""X"","""")"),"")</f>
        <v/>
      </c>
      <c r="J278" s="800" t="str">
        <f>IFERROR(__xludf.DUMMYFUNCTION("if(REGEXMATCH(AR278,$J$168),""X"","""")"),"X")</f>
        <v>X</v>
      </c>
      <c r="K278" s="800" t="str">
        <f>IFERROR(__xludf.DUMMYFUNCTION("if(REGEXMATCH(AR278,$K$168),""X"","""")"),"X")</f>
        <v>X</v>
      </c>
      <c r="L278" s="800" t="str">
        <f>IFERROR(__xludf.DUMMYFUNCTION("if(REGEXMATCH(AR278,$L$168),""X"","""")"),"")</f>
        <v/>
      </c>
      <c r="M278" s="800" t="str">
        <f>IFERROR(__xludf.DUMMYFUNCTION("if(REGEXMATCH(AR278,$M$168),""X"","""")"),"")</f>
        <v/>
      </c>
      <c r="N278" s="800" t="str">
        <f>IFERROR(__xludf.DUMMYFUNCTION("if(REGEXMATCH(AR278,$N$168),""X"","""")"),"")</f>
        <v/>
      </c>
      <c r="O278" s="800" t="str">
        <f>IFERROR(__xludf.DUMMYFUNCTION("if(REGEXMATCH(AR278,$O$168),""X"","""")"),"X")</f>
        <v>X</v>
      </c>
      <c r="P278" s="800" t="str">
        <f>IFERROR(__xludf.DUMMYFUNCTION("if(REGEXMATCH(AR278,""(all)""),""X"",if(REGEXMATCH(AR278,""arcana""),""X"",""""))"),"")</f>
        <v/>
      </c>
      <c r="Q278" s="800" t="str">
        <f>IFERROR(__xludf.DUMMYFUNCTION("if(REGEXMATCH(AR278,""(all)""),""X"",if(REGEXMATCH(AR278,""dungeoneering""),""X"",""""))"),"")</f>
        <v/>
      </c>
      <c r="R278" s="800" t="str">
        <f>IFERROR(__xludf.DUMMYFUNCTION("if(REGEXMATCH(AR278,""(all)""),""X"",if(REGEXMATCH(AR278,""engineering""),""X"",""""))"),"")</f>
        <v/>
      </c>
      <c r="S278" s="800" t="str">
        <f>IFERROR(__xludf.DUMMYFUNCTION("if(REGEXMATCH(AR278,""(all)""),""X"",if(REGEXMATCH(AR278,""geography""),""X"",""""))"),"")</f>
        <v/>
      </c>
      <c r="T278" s="800" t="str">
        <f>IFERROR(__xludf.DUMMYFUNCTION("if(REGEXMATCH(AR278,""(all)""),""X"",if(REGEXMATCH(AR278,""history""),""X"",""""))"),"")</f>
        <v/>
      </c>
      <c r="U278" s="800" t="str">
        <f>IFERROR(__xludf.DUMMYFUNCTION("if(REGEXMATCH(AR278,""(all)""),""X"",if(REGEXMATCH(AR278,""local""),""X"",""""))"),"X")</f>
        <v>X</v>
      </c>
      <c r="V278" s="800" t="str">
        <f>IFERROR(__xludf.DUMMYFUNCTION("if(REGEXMATCH(AR278,""(all)""),""X"",if(REGEXMATCH(AR278,""nature""),""X"",""""))"),"")</f>
        <v/>
      </c>
      <c r="W278" s="800" t="str">
        <f>IFERROR(__xludf.DUMMYFUNCTION("if(REGEXMATCH(AR278,""(all)""),""X"",if(REGEXMATCH(AR278,""nobility""),""X"",""""))"),"X")</f>
        <v>X</v>
      </c>
      <c r="X278" s="800" t="str">
        <f>IFERROR(__xludf.DUMMYFUNCTION("if(REGEXMATCH(AR278,""(all)""),""X"",if(REGEXMATCH(AR278,""planes""),""X"",""""))"),"")</f>
        <v/>
      </c>
      <c r="Y278" s="800" t="str">
        <f>IFERROR(__xludf.DUMMYFUNCTION("if(REGEXMATCH(AR278,""(all)""),""X"",if(REGEXMATCH(AR278,""religion""),""X"",""""))"),"")</f>
        <v/>
      </c>
      <c r="Z278" s="800" t="str">
        <f>IFERROR(__xludf.DUMMYFUNCTION("if(REGEXMATCH(AR278,$Z$168),""X"","""")"),"")</f>
        <v/>
      </c>
      <c r="AA278" s="800" t="str">
        <f>IFERROR(__xludf.DUMMYFUNCTION("if(REGEXMATCH(AR278,$AA$168),""X"","""")"),"X")</f>
        <v>X</v>
      </c>
      <c r="AB278" s="734" t="str">
        <f>IFERROR(__xludf.DUMMYFUNCTION("if(REGEXMATCH(AR278,""Perform""),""X"","""")"),"X")</f>
        <v>X</v>
      </c>
      <c r="AC278" s="734" t="str">
        <f t="shared" si="19"/>
        <v>X</v>
      </c>
      <c r="AD278" s="734" t="str">
        <f>IFERROR(__xludf.DUMMYFUNCTION("if(REGEXMATCH(AR278,""Profession""),""X"","""")"),"X")</f>
        <v>X</v>
      </c>
      <c r="AE278" s="734" t="str">
        <f t="shared" si="20"/>
        <v>X</v>
      </c>
      <c r="AF278" s="800" t="str">
        <f>IFERROR(__xludf.DUMMYFUNCTION("if(REGEXMATCH(AR278,$AF$168),""X"","""")"),"X")</f>
        <v>X</v>
      </c>
      <c r="AG278" s="800" t="str">
        <f>IFERROR(__xludf.DUMMYFUNCTION("if(REGEXMATCH(AR278,$AG$168),""X"","""")"),"X")</f>
        <v>X</v>
      </c>
      <c r="AH278" s="800" t="str">
        <f>IFERROR(__xludf.DUMMYFUNCTION("if(REGEXMATCH(AR278,$AH$168),""X"","""")"),"X")</f>
        <v>X</v>
      </c>
      <c r="AI278" s="800" t="str">
        <f>IFERROR(__xludf.DUMMYFUNCTION("if(REGEXMATCH(AR278,$AI$168),""X"","""")"),"")</f>
        <v/>
      </c>
      <c r="AJ278" s="739" t="str">
        <f>IFERROR(__xludf.DUMMYFUNCTION("if(REGEXMATCH(AR278,$AJ$168),""X"","""")"),"X")</f>
        <v>X</v>
      </c>
      <c r="AK278" s="800" t="str">
        <f>IFERROR(__xludf.DUMMYFUNCTION("if(REGEXMATCH(AR278,$AK$168),""X"","""")"),"X")</f>
        <v>X</v>
      </c>
      <c r="AL278" s="800" t="str">
        <f>IFERROR(__xludf.DUMMYFUNCTION("if(REGEXMATCH(AR278,$AL$168),""X"","""")"),"X")</f>
        <v>X</v>
      </c>
      <c r="AM278" s="800" t="str">
        <f>IFERROR(__xludf.DUMMYFUNCTION("if(REGEXMATCH(AR278,$AM$168),""X"","""")"),"X")</f>
        <v>X</v>
      </c>
      <c r="AN278" s="800"/>
      <c r="AO278" s="800"/>
      <c r="AP278" s="800" t="str">
        <f>IFERROR(__xludf.DUMMYFUNCTION("if(REGEXMATCH(AR278,""Craft""),""X"","""")"),"X")</f>
        <v>X</v>
      </c>
      <c r="AQ278" s="800" t="str">
        <f>IFERROR(__xludf.DUMMYFUNCTION("if(REGEXMATCH(AR278,""Knowledge""),""X"","""")"),"X")</f>
        <v>X</v>
      </c>
      <c r="AR278" s="646" t="s">
        <v>1345</v>
      </c>
      <c r="AS278" s="243"/>
      <c r="AT278" s="243"/>
      <c r="AU278" s="243"/>
      <c r="AV278" s="243"/>
      <c r="AW278" s="243"/>
      <c r="AX278" s="243"/>
      <c r="AY278" s="243"/>
      <c r="AZ278" s="243"/>
      <c r="BA278" s="243"/>
      <c r="BB278" s="243"/>
      <c r="BC278" s="243"/>
      <c r="BD278" s="243"/>
      <c r="BE278" s="243"/>
      <c r="BF278" s="243"/>
      <c r="BG278" s="243"/>
      <c r="BH278" s="243"/>
      <c r="BI278" s="243"/>
      <c r="BJ278" s="243"/>
      <c r="BK278" s="243"/>
      <c r="BL278" s="243"/>
    </row>
    <row r="279">
      <c r="A279" s="633"/>
      <c r="B279" s="547"/>
      <c r="C279" s="547"/>
      <c r="D279" s="547"/>
      <c r="E279" s="547"/>
      <c r="F279" s="547"/>
      <c r="G279" s="547"/>
      <c r="H279" s="547"/>
      <c r="I279" s="547"/>
      <c r="J279" s="555"/>
      <c r="K279" s="555"/>
      <c r="L279" s="243"/>
      <c r="M279" s="243"/>
      <c r="N279" s="243"/>
      <c r="O279" s="243"/>
      <c r="P279" s="243"/>
      <c r="Q279" s="243"/>
      <c r="R279" s="243"/>
      <c r="S279" s="243"/>
      <c r="T279" s="243"/>
      <c r="U279" s="243"/>
      <c r="V279" s="243"/>
      <c r="W279" s="243"/>
      <c r="X279" s="243"/>
      <c r="Y279" s="243"/>
      <c r="Z279" s="243"/>
      <c r="AA279" s="243"/>
      <c r="AB279" s="243"/>
      <c r="AC279" s="243"/>
      <c r="AD279" s="243"/>
      <c r="AE279" s="243"/>
      <c r="AF279" s="243"/>
      <c r="AG279" s="243"/>
      <c r="AH279" s="243"/>
      <c r="AI279" s="243"/>
      <c r="AJ279" s="938"/>
      <c r="AK279" s="555"/>
      <c r="AL279" s="243"/>
      <c r="AM279" s="243"/>
      <c r="AN279" s="243"/>
      <c r="AO279" s="243"/>
      <c r="AP279" s="250"/>
      <c r="AQ279" s="313"/>
      <c r="AR279" s="631"/>
      <c r="AS279" s="243"/>
      <c r="AT279" s="243"/>
      <c r="AU279" s="243"/>
      <c r="AV279" s="243"/>
      <c r="AW279" s="243"/>
      <c r="AX279" s="243"/>
      <c r="AY279" s="243"/>
      <c r="AZ279" s="243"/>
      <c r="BA279" s="243"/>
      <c r="BB279" s="243"/>
      <c r="BC279" s="243"/>
      <c r="BD279" s="243"/>
      <c r="BE279" s="243"/>
      <c r="BF279" s="243"/>
      <c r="BG279" s="243"/>
      <c r="BH279" s="243"/>
      <c r="BI279" s="243"/>
      <c r="BJ279" s="243"/>
      <c r="BK279" s="243"/>
      <c r="BL279" s="243"/>
    </row>
    <row r="280">
      <c r="A280" s="633"/>
      <c r="B280" s="547"/>
      <c r="C280" s="547"/>
      <c r="D280" s="547"/>
      <c r="E280" s="547"/>
      <c r="F280" s="547"/>
      <c r="G280" s="547"/>
      <c r="H280" s="547"/>
      <c r="I280" s="547"/>
      <c r="J280" s="555"/>
      <c r="K280" s="555"/>
      <c r="L280" s="243"/>
      <c r="M280" s="243"/>
      <c r="N280" s="243"/>
      <c r="O280" s="243"/>
      <c r="P280" s="243"/>
      <c r="Q280" s="243"/>
      <c r="R280" s="243"/>
      <c r="S280" s="243"/>
      <c r="T280" s="243"/>
      <c r="U280" s="243"/>
      <c r="V280" s="243"/>
      <c r="W280" s="243"/>
      <c r="X280" s="243"/>
      <c r="Y280" s="243"/>
      <c r="Z280" s="243"/>
      <c r="AA280" s="243"/>
      <c r="AB280" s="243"/>
      <c r="AC280" s="243"/>
      <c r="AD280" s="243"/>
      <c r="AE280" s="243"/>
      <c r="AF280" s="243"/>
      <c r="AG280" s="243"/>
      <c r="AH280" s="243"/>
      <c r="AI280" s="243"/>
      <c r="AJ280" s="938"/>
      <c r="AK280" s="555"/>
      <c r="AL280" s="243"/>
      <c r="AM280" s="243"/>
      <c r="AN280" s="243"/>
      <c r="AO280" s="243"/>
      <c r="AP280" s="250"/>
      <c r="AQ280" s="313"/>
      <c r="AR280" s="631"/>
      <c r="AS280" s="243"/>
      <c r="AT280" s="243"/>
      <c r="AU280" s="243"/>
      <c r="AV280" s="243"/>
      <c r="AW280" s="243"/>
      <c r="AX280" s="243"/>
      <c r="AY280" s="243"/>
      <c r="AZ280" s="243"/>
      <c r="BA280" s="243"/>
      <c r="BB280" s="243"/>
      <c r="BC280" s="243"/>
      <c r="BD280" s="243"/>
      <c r="BE280" s="243"/>
      <c r="BF280" s="243"/>
      <c r="BG280" s="243"/>
      <c r="BH280" s="243"/>
      <c r="BI280" s="243"/>
      <c r="BJ280" s="243"/>
      <c r="BK280" s="243"/>
      <c r="BL280" s="243"/>
    </row>
    <row r="281">
      <c r="A281" s="633"/>
      <c r="B281" s="547"/>
      <c r="C281" s="547"/>
      <c r="D281" s="547"/>
      <c r="E281" s="547"/>
      <c r="F281" s="547"/>
      <c r="G281" s="547"/>
      <c r="H281" s="547"/>
      <c r="I281" s="547"/>
      <c r="J281" s="555"/>
      <c r="K281" s="555"/>
      <c r="L281" s="243"/>
      <c r="M281" s="243"/>
      <c r="N281" s="243"/>
      <c r="O281" s="243"/>
      <c r="P281" s="243"/>
      <c r="Q281" s="243"/>
      <c r="R281" s="243"/>
      <c r="S281" s="243"/>
      <c r="T281" s="243"/>
      <c r="U281" s="243"/>
      <c r="V281" s="243"/>
      <c r="W281" s="243"/>
      <c r="X281" s="243"/>
      <c r="Y281" s="243"/>
      <c r="Z281" s="243"/>
      <c r="AA281" s="243"/>
      <c r="AB281" s="243"/>
      <c r="AC281" s="243"/>
      <c r="AD281" s="243"/>
      <c r="AE281" s="243"/>
      <c r="AF281" s="243"/>
      <c r="AG281" s="243"/>
      <c r="AH281" s="243"/>
      <c r="AI281" s="243"/>
      <c r="AJ281" s="938"/>
      <c r="AK281" s="555"/>
      <c r="AL281" s="243"/>
      <c r="AM281" s="243"/>
      <c r="AN281" s="243"/>
      <c r="AO281" s="243"/>
      <c r="AP281" s="250"/>
      <c r="AQ281" s="313"/>
      <c r="AR281" s="631"/>
      <c r="AS281" s="243"/>
      <c r="AT281" s="243"/>
      <c r="AU281" s="243"/>
      <c r="AV281" s="243"/>
      <c r="AW281" s="243"/>
      <c r="AX281" s="243"/>
      <c r="AY281" s="243"/>
      <c r="AZ281" s="243"/>
      <c r="BA281" s="243"/>
      <c r="BB281" s="243"/>
      <c r="BC281" s="243"/>
      <c r="BD281" s="243"/>
      <c r="BE281" s="243"/>
      <c r="BF281" s="243"/>
      <c r="BG281" s="243"/>
      <c r="BH281" s="243"/>
      <c r="BI281" s="243"/>
      <c r="BJ281" s="243"/>
      <c r="BK281" s="243"/>
      <c r="BL281" s="243"/>
    </row>
    <row r="282">
      <c r="A282" s="633"/>
      <c r="B282" s="547"/>
      <c r="C282" s="547"/>
      <c r="D282" s="547"/>
      <c r="E282" s="547"/>
      <c r="F282" s="547"/>
      <c r="G282" s="547"/>
      <c r="H282" s="547"/>
      <c r="I282" s="547"/>
      <c r="J282" s="555"/>
      <c r="K282" s="555"/>
      <c r="L282" s="243"/>
      <c r="M282" s="243"/>
      <c r="N282" s="243"/>
      <c r="O282" s="243"/>
      <c r="P282" s="243"/>
      <c r="Q282" s="243"/>
      <c r="R282" s="243"/>
      <c r="S282" s="243"/>
      <c r="T282" s="243"/>
      <c r="U282" s="243"/>
      <c r="V282" s="243"/>
      <c r="W282" s="243"/>
      <c r="X282" s="243"/>
      <c r="Y282" s="243"/>
      <c r="Z282" s="243"/>
      <c r="AA282" s="243"/>
      <c r="AB282" s="243"/>
      <c r="AC282" s="243"/>
      <c r="AD282" s="243"/>
      <c r="AE282" s="243"/>
      <c r="AF282" s="243"/>
      <c r="AG282" s="243"/>
      <c r="AH282" s="243"/>
      <c r="AI282" s="243"/>
      <c r="AJ282" s="938"/>
      <c r="AK282" s="555"/>
      <c r="AL282" s="243"/>
      <c r="AM282" s="243"/>
      <c r="AN282" s="243"/>
      <c r="AO282" s="243"/>
      <c r="AP282" s="250"/>
      <c r="AQ282" s="313"/>
      <c r="AR282" s="631"/>
      <c r="AS282" s="243"/>
      <c r="AT282" s="243"/>
      <c r="AU282" s="243"/>
      <c r="AV282" s="243"/>
      <c r="AW282" s="243"/>
      <c r="AX282" s="243"/>
      <c r="AY282" s="243"/>
      <c r="AZ282" s="243"/>
      <c r="BA282" s="243"/>
      <c r="BB282" s="243"/>
      <c r="BC282" s="243"/>
      <c r="BD282" s="243"/>
      <c r="BE282" s="243"/>
      <c r="BF282" s="243"/>
      <c r="BG282" s="243"/>
      <c r="BH282" s="243"/>
      <c r="BI282" s="243"/>
      <c r="BJ282" s="243"/>
      <c r="BK282" s="243"/>
      <c r="BL282" s="243"/>
    </row>
    <row r="283">
      <c r="A283" s="633"/>
      <c r="B283" s="547"/>
      <c r="C283" s="547"/>
      <c r="D283" s="547"/>
      <c r="E283" s="547"/>
      <c r="F283" s="547"/>
      <c r="G283" s="547"/>
      <c r="H283" s="547"/>
      <c r="I283" s="547"/>
      <c r="J283" s="555"/>
      <c r="K283" s="555"/>
      <c r="L283" s="243"/>
      <c r="M283" s="243"/>
      <c r="N283" s="243"/>
      <c r="O283" s="243"/>
      <c r="P283" s="243"/>
      <c r="Q283" s="243"/>
      <c r="R283" s="243"/>
      <c r="S283" s="243"/>
      <c r="T283" s="243"/>
      <c r="U283" s="243"/>
      <c r="V283" s="243"/>
      <c r="W283" s="243"/>
      <c r="X283" s="243"/>
      <c r="Y283" s="243"/>
      <c r="Z283" s="243"/>
      <c r="AA283" s="243"/>
      <c r="AB283" s="243"/>
      <c r="AC283" s="243"/>
      <c r="AD283" s="243"/>
      <c r="AE283" s="243"/>
      <c r="AF283" s="243"/>
      <c r="AG283" s="243"/>
      <c r="AH283" s="243"/>
      <c r="AI283" s="243"/>
      <c r="AJ283" s="938"/>
      <c r="AK283" s="555"/>
      <c r="AL283" s="243"/>
      <c r="AM283" s="243"/>
      <c r="AN283" s="243"/>
      <c r="AO283" s="243"/>
      <c r="AP283" s="250"/>
      <c r="AQ283" s="313"/>
      <c r="AR283" s="631"/>
      <c r="AS283" s="243"/>
      <c r="AT283" s="243"/>
      <c r="AU283" s="243"/>
      <c r="AV283" s="243"/>
      <c r="AW283" s="243"/>
      <c r="AX283" s="243"/>
      <c r="AY283" s="243"/>
      <c r="AZ283" s="243"/>
      <c r="BA283" s="243"/>
      <c r="BB283" s="243"/>
      <c r="BC283" s="243"/>
      <c r="BD283" s="243"/>
      <c r="BE283" s="243"/>
      <c r="BF283" s="243"/>
      <c r="BG283" s="243"/>
      <c r="BH283" s="243"/>
      <c r="BI283" s="243"/>
      <c r="BJ283" s="243"/>
      <c r="BK283" s="243"/>
      <c r="BL283" s="243"/>
    </row>
    <row r="284">
      <c r="A284" s="633"/>
      <c r="B284" s="547"/>
      <c r="C284" s="547"/>
      <c r="D284" s="547"/>
      <c r="E284" s="547"/>
      <c r="F284" s="547"/>
      <c r="G284" s="547"/>
      <c r="H284" s="547"/>
      <c r="I284" s="547"/>
      <c r="J284" s="555"/>
      <c r="K284" s="555"/>
      <c r="L284" s="243"/>
      <c r="M284" s="243"/>
      <c r="N284" s="243"/>
      <c r="O284" s="243"/>
      <c r="P284" s="243"/>
      <c r="Q284" s="243"/>
      <c r="R284" s="243"/>
      <c r="S284" s="243"/>
      <c r="T284" s="243"/>
      <c r="U284" s="243"/>
      <c r="V284" s="243"/>
      <c r="W284" s="243"/>
      <c r="X284" s="243"/>
      <c r="Y284" s="243"/>
      <c r="Z284" s="243"/>
      <c r="AA284" s="243"/>
      <c r="AB284" s="243"/>
      <c r="AC284" s="243"/>
      <c r="AD284" s="243"/>
      <c r="AE284" s="243"/>
      <c r="AF284" s="243"/>
      <c r="AG284" s="243"/>
      <c r="AH284" s="243"/>
      <c r="AI284" s="243"/>
      <c r="AJ284" s="938"/>
      <c r="AK284" s="555"/>
      <c r="AL284" s="243"/>
      <c r="AM284" s="243"/>
      <c r="AN284" s="243"/>
      <c r="AO284" s="243"/>
      <c r="AP284" s="250"/>
      <c r="AQ284" s="313"/>
      <c r="AR284" s="631"/>
      <c r="AS284" s="243"/>
      <c r="AT284" s="243"/>
      <c r="AU284" s="243"/>
      <c r="AV284" s="243"/>
      <c r="AW284" s="243"/>
      <c r="AX284" s="243"/>
      <c r="AY284" s="243"/>
      <c r="AZ284" s="243"/>
      <c r="BA284" s="243"/>
      <c r="BB284" s="243"/>
      <c r="BC284" s="243"/>
      <c r="BD284" s="243"/>
      <c r="BE284" s="243"/>
      <c r="BF284" s="243"/>
      <c r="BG284" s="243"/>
      <c r="BH284" s="243"/>
      <c r="BI284" s="243"/>
      <c r="BJ284" s="243"/>
      <c r="BK284" s="243"/>
      <c r="BL284" s="243"/>
    </row>
    <row r="285">
      <c r="A285" s="633"/>
      <c r="B285" s="547"/>
      <c r="C285" s="547"/>
      <c r="D285" s="547"/>
      <c r="E285" s="547"/>
      <c r="F285" s="547"/>
      <c r="G285" s="547"/>
      <c r="H285" s="547"/>
      <c r="I285" s="547"/>
      <c r="J285" s="555"/>
      <c r="K285" s="555"/>
      <c r="L285" s="243"/>
      <c r="M285" s="243"/>
      <c r="N285" s="243"/>
      <c r="O285" s="243"/>
      <c r="P285" s="243"/>
      <c r="Q285" s="243"/>
      <c r="R285" s="243"/>
      <c r="S285" s="243"/>
      <c r="T285" s="243"/>
      <c r="U285" s="243"/>
      <c r="V285" s="243"/>
      <c r="W285" s="243"/>
      <c r="X285" s="243"/>
      <c r="Y285" s="243"/>
      <c r="Z285" s="243"/>
      <c r="AA285" s="243"/>
      <c r="AB285" s="243"/>
      <c r="AC285" s="243"/>
      <c r="AD285" s="243"/>
      <c r="AE285" s="243"/>
      <c r="AF285" s="243"/>
      <c r="AG285" s="243"/>
      <c r="AH285" s="243"/>
      <c r="AI285" s="243"/>
      <c r="AJ285" s="938"/>
      <c r="AK285" s="555"/>
      <c r="AL285" s="243"/>
      <c r="AM285" s="243"/>
      <c r="AN285" s="243"/>
      <c r="AO285" s="243"/>
      <c r="AP285" s="250"/>
      <c r="AQ285" s="313"/>
      <c r="AR285" s="631"/>
      <c r="AS285" s="243"/>
      <c r="AT285" s="243"/>
      <c r="AU285" s="243"/>
      <c r="AV285" s="243"/>
      <c r="AW285" s="243"/>
      <c r="AX285" s="243"/>
      <c r="AY285" s="243"/>
      <c r="AZ285" s="243"/>
      <c r="BA285" s="243"/>
      <c r="BB285" s="243"/>
      <c r="BC285" s="243"/>
      <c r="BD285" s="243"/>
      <c r="BE285" s="243"/>
      <c r="BF285" s="243"/>
      <c r="BG285" s="243"/>
      <c r="BH285" s="243"/>
      <c r="BI285" s="243"/>
      <c r="BJ285" s="243"/>
      <c r="BK285" s="243"/>
      <c r="BL285" s="243"/>
    </row>
    <row r="286">
      <c r="A286" s="633"/>
      <c r="B286" s="547"/>
      <c r="C286" s="547"/>
      <c r="D286" s="547"/>
      <c r="E286" s="547"/>
      <c r="F286" s="547"/>
      <c r="G286" s="547"/>
      <c r="H286" s="547"/>
      <c r="I286" s="547"/>
      <c r="J286" s="555"/>
      <c r="K286" s="555"/>
      <c r="L286" s="243"/>
      <c r="M286" s="243"/>
      <c r="N286" s="243"/>
      <c r="O286" s="243"/>
      <c r="P286" s="243"/>
      <c r="Q286" s="243"/>
      <c r="R286" s="243"/>
      <c r="S286" s="243"/>
      <c r="T286" s="243"/>
      <c r="U286" s="243"/>
      <c r="V286" s="243"/>
      <c r="W286" s="243"/>
      <c r="X286" s="243"/>
      <c r="Y286" s="243"/>
      <c r="Z286" s="243"/>
      <c r="AA286" s="243"/>
      <c r="AB286" s="243"/>
      <c r="AC286" s="243"/>
      <c r="AD286" s="243"/>
      <c r="AE286" s="243"/>
      <c r="AF286" s="243"/>
      <c r="AG286" s="243"/>
      <c r="AH286" s="243"/>
      <c r="AI286" s="243"/>
      <c r="AJ286" s="938"/>
      <c r="AK286" s="555"/>
      <c r="AL286" s="243"/>
      <c r="AM286" s="243"/>
      <c r="AN286" s="243"/>
      <c r="AO286" s="243"/>
      <c r="AP286" s="250"/>
      <c r="AQ286" s="313"/>
      <c r="AR286" s="631"/>
      <c r="AS286" s="243"/>
      <c r="AT286" s="243"/>
      <c r="AU286" s="243"/>
      <c r="AV286" s="243"/>
      <c r="AW286" s="243"/>
      <c r="AX286" s="243"/>
      <c r="AY286" s="243"/>
      <c r="AZ286" s="243"/>
      <c r="BA286" s="243"/>
      <c r="BB286" s="243"/>
      <c r="BC286" s="243"/>
      <c r="BD286" s="243"/>
      <c r="BE286" s="243"/>
      <c r="BF286" s="243"/>
      <c r="BG286" s="243"/>
      <c r="BH286" s="243"/>
      <c r="BI286" s="243"/>
      <c r="BJ286" s="243"/>
      <c r="BK286" s="243"/>
      <c r="BL286" s="243"/>
    </row>
    <row r="287">
      <c r="A287" s="633"/>
      <c r="B287" s="547"/>
      <c r="C287" s="547"/>
      <c r="D287" s="547"/>
      <c r="E287" s="547"/>
      <c r="F287" s="547"/>
      <c r="G287" s="547"/>
      <c r="H287" s="547"/>
      <c r="I287" s="547"/>
      <c r="J287" s="555"/>
      <c r="K287" s="555"/>
      <c r="L287" s="243"/>
      <c r="M287" s="243"/>
      <c r="N287" s="243"/>
      <c r="O287" s="243"/>
      <c r="P287" s="243"/>
      <c r="Q287" s="243"/>
      <c r="R287" s="243"/>
      <c r="S287" s="243"/>
      <c r="T287" s="243"/>
      <c r="U287" s="243"/>
      <c r="V287" s="243"/>
      <c r="W287" s="243"/>
      <c r="X287" s="243"/>
      <c r="Y287" s="243"/>
      <c r="Z287" s="243"/>
      <c r="AA287" s="243"/>
      <c r="AB287" s="243"/>
      <c r="AC287" s="243"/>
      <c r="AD287" s="243"/>
      <c r="AE287" s="243"/>
      <c r="AF287" s="243"/>
      <c r="AG287" s="243"/>
      <c r="AH287" s="243"/>
      <c r="AI287" s="243"/>
      <c r="AJ287" s="938"/>
      <c r="AK287" s="555"/>
      <c r="AL287" s="243"/>
      <c r="AM287" s="243"/>
      <c r="AN287" s="243"/>
      <c r="AO287" s="243"/>
      <c r="AP287" s="250"/>
      <c r="AQ287" s="313"/>
      <c r="AR287" s="631"/>
      <c r="AS287" s="243"/>
      <c r="AT287" s="243"/>
      <c r="AU287" s="243"/>
      <c r="AV287" s="243"/>
      <c r="AW287" s="243"/>
      <c r="AX287" s="243"/>
      <c r="AY287" s="243"/>
      <c r="AZ287" s="243"/>
      <c r="BA287" s="243"/>
      <c r="BB287" s="243"/>
      <c r="BC287" s="243"/>
      <c r="BD287" s="243"/>
      <c r="BE287" s="243"/>
      <c r="BF287" s="243"/>
      <c r="BG287" s="243"/>
      <c r="BH287" s="243"/>
      <c r="BI287" s="243"/>
      <c r="BJ287" s="243"/>
      <c r="BK287" s="243"/>
      <c r="BL287" s="243"/>
    </row>
    <row r="288">
      <c r="A288" s="633"/>
      <c r="B288" s="547"/>
      <c r="C288" s="547"/>
      <c r="D288" s="547"/>
      <c r="E288" s="547"/>
      <c r="F288" s="547"/>
      <c r="G288" s="547"/>
      <c r="H288" s="547"/>
      <c r="I288" s="547"/>
      <c r="J288" s="555"/>
      <c r="K288" s="555"/>
      <c r="L288" s="243"/>
      <c r="M288" s="243"/>
      <c r="N288" s="243"/>
      <c r="O288" s="243"/>
      <c r="P288" s="243"/>
      <c r="Q288" s="243"/>
      <c r="R288" s="243"/>
      <c r="S288" s="243"/>
      <c r="T288" s="243"/>
      <c r="U288" s="243"/>
      <c r="V288" s="243"/>
      <c r="W288" s="243"/>
      <c r="X288" s="243"/>
      <c r="Y288" s="243"/>
      <c r="Z288" s="243"/>
      <c r="AA288" s="243"/>
      <c r="AB288" s="243"/>
      <c r="AC288" s="243"/>
      <c r="AD288" s="243"/>
      <c r="AE288" s="243"/>
      <c r="AF288" s="243"/>
      <c r="AG288" s="243"/>
      <c r="AH288" s="243"/>
      <c r="AI288" s="243"/>
      <c r="AJ288" s="938"/>
      <c r="AK288" s="555"/>
      <c r="AL288" s="243"/>
      <c r="AM288" s="243"/>
      <c r="AN288" s="243"/>
      <c r="AO288" s="243"/>
      <c r="AP288" s="250"/>
      <c r="AQ288" s="313"/>
      <c r="AR288" s="631"/>
      <c r="AS288" s="243"/>
      <c r="AT288" s="243"/>
      <c r="AU288" s="243"/>
      <c r="AV288" s="243"/>
      <c r="AW288" s="243"/>
      <c r="AX288" s="243"/>
      <c r="AY288" s="243"/>
      <c r="AZ288" s="243"/>
      <c r="BA288" s="243"/>
      <c r="BB288" s="243"/>
      <c r="BC288" s="243"/>
      <c r="BD288" s="243"/>
      <c r="BE288" s="243"/>
      <c r="BF288" s="243"/>
      <c r="BG288" s="243"/>
      <c r="BH288" s="243"/>
      <c r="BI288" s="243"/>
      <c r="BJ288" s="243"/>
      <c r="BK288" s="243"/>
      <c r="BL288" s="243"/>
    </row>
    <row r="289">
      <c r="A289" s="633"/>
      <c r="B289" s="547"/>
      <c r="C289" s="547"/>
      <c r="D289" s="547"/>
      <c r="E289" s="547"/>
      <c r="F289" s="547"/>
      <c r="G289" s="547"/>
      <c r="H289" s="547"/>
      <c r="I289" s="547"/>
      <c r="J289" s="555"/>
      <c r="K289" s="555"/>
      <c r="L289" s="243"/>
      <c r="M289" s="243"/>
      <c r="N289" s="243"/>
      <c r="O289" s="243"/>
      <c r="P289" s="243"/>
      <c r="Q289" s="243"/>
      <c r="R289" s="243"/>
      <c r="S289" s="243"/>
      <c r="T289" s="243"/>
      <c r="U289" s="243"/>
      <c r="V289" s="243"/>
      <c r="W289" s="243"/>
      <c r="X289" s="243"/>
      <c r="Y289" s="243"/>
      <c r="Z289" s="243"/>
      <c r="AA289" s="243"/>
      <c r="AB289" s="243"/>
      <c r="AC289" s="243"/>
      <c r="AD289" s="243"/>
      <c r="AE289" s="243"/>
      <c r="AF289" s="243"/>
      <c r="AG289" s="243"/>
      <c r="AH289" s="243"/>
      <c r="AI289" s="243"/>
      <c r="AJ289" s="938"/>
      <c r="AK289" s="555"/>
      <c r="AL289" s="243"/>
      <c r="AM289" s="243"/>
      <c r="AN289" s="243"/>
      <c r="AO289" s="243"/>
      <c r="AP289" s="250"/>
      <c r="AQ289" s="313"/>
      <c r="AR289" s="631"/>
      <c r="AS289" s="243"/>
      <c r="AT289" s="243"/>
      <c r="AU289" s="243"/>
      <c r="AV289" s="243"/>
      <c r="AW289" s="243"/>
      <c r="AX289" s="243"/>
      <c r="AY289" s="243"/>
      <c r="AZ289" s="243"/>
      <c r="BA289" s="243"/>
      <c r="BB289" s="243"/>
      <c r="BC289" s="243"/>
      <c r="BD289" s="243"/>
      <c r="BE289" s="243"/>
      <c r="BF289" s="243"/>
      <c r="BG289" s="243"/>
      <c r="BH289" s="243"/>
      <c r="BI289" s="243"/>
      <c r="BJ289" s="243"/>
      <c r="BK289" s="243"/>
      <c r="BL289" s="243"/>
    </row>
    <row r="290">
      <c r="A290" s="633"/>
      <c r="B290" s="547"/>
      <c r="C290" s="547"/>
      <c r="D290" s="547"/>
      <c r="E290" s="547"/>
      <c r="F290" s="547"/>
      <c r="G290" s="547"/>
      <c r="H290" s="547"/>
      <c r="I290" s="547"/>
      <c r="J290" s="555"/>
      <c r="K290" s="555"/>
      <c r="L290" s="243"/>
      <c r="M290" s="243"/>
      <c r="N290" s="243"/>
      <c r="O290" s="243"/>
      <c r="P290" s="243"/>
      <c r="Q290" s="243"/>
      <c r="R290" s="243"/>
      <c r="S290" s="243"/>
      <c r="T290" s="243"/>
      <c r="U290" s="243"/>
      <c r="V290" s="243"/>
      <c r="W290" s="243"/>
      <c r="X290" s="243"/>
      <c r="Y290" s="243"/>
      <c r="Z290" s="243"/>
      <c r="AA290" s="243"/>
      <c r="AB290" s="243"/>
      <c r="AC290" s="243"/>
      <c r="AD290" s="243"/>
      <c r="AE290" s="243"/>
      <c r="AF290" s="243"/>
      <c r="AG290" s="243"/>
      <c r="AH290" s="243"/>
      <c r="AI290" s="243"/>
      <c r="AJ290" s="938"/>
      <c r="AK290" s="555"/>
      <c r="AL290" s="243"/>
      <c r="AM290" s="243"/>
      <c r="AN290" s="243"/>
      <c r="AO290" s="243"/>
      <c r="AP290" s="250"/>
      <c r="AQ290" s="313"/>
      <c r="AR290" s="631"/>
      <c r="AS290" s="243"/>
      <c r="AT290" s="243"/>
      <c r="AU290" s="243"/>
      <c r="AV290" s="243"/>
      <c r="AW290" s="243"/>
      <c r="AX290" s="243"/>
      <c r="AY290" s="243"/>
      <c r="AZ290" s="243"/>
      <c r="BA290" s="243"/>
      <c r="BB290" s="243"/>
      <c r="BC290" s="243"/>
      <c r="BD290" s="243"/>
      <c r="BE290" s="243"/>
      <c r="BF290" s="243"/>
      <c r="BG290" s="243"/>
      <c r="BH290" s="243"/>
      <c r="BI290" s="243"/>
      <c r="BJ290" s="243"/>
      <c r="BK290" s="243"/>
      <c r="BL290" s="243"/>
    </row>
    <row r="291">
      <c r="A291" s="633"/>
      <c r="B291" s="547"/>
      <c r="C291" s="547"/>
      <c r="D291" s="547"/>
      <c r="E291" s="547"/>
      <c r="F291" s="547"/>
      <c r="G291" s="547"/>
      <c r="H291" s="547"/>
      <c r="I291" s="547"/>
      <c r="J291" s="555"/>
      <c r="K291" s="555"/>
      <c r="L291" s="243"/>
      <c r="M291" s="243"/>
      <c r="N291" s="243"/>
      <c r="O291" s="243"/>
      <c r="P291" s="243"/>
      <c r="Q291" s="243"/>
      <c r="R291" s="243"/>
      <c r="S291" s="243"/>
      <c r="T291" s="243"/>
      <c r="U291" s="243"/>
      <c r="V291" s="243"/>
      <c r="W291" s="243"/>
      <c r="X291" s="243"/>
      <c r="Y291" s="243"/>
      <c r="Z291" s="243"/>
      <c r="AA291" s="243"/>
      <c r="AB291" s="243"/>
      <c r="AC291" s="243"/>
      <c r="AD291" s="243"/>
      <c r="AE291" s="243"/>
      <c r="AF291" s="243"/>
      <c r="AG291" s="243"/>
      <c r="AH291" s="243"/>
      <c r="AI291" s="243"/>
      <c r="AJ291" s="938"/>
      <c r="AK291" s="555"/>
      <c r="AL291" s="243"/>
      <c r="AM291" s="243"/>
      <c r="AN291" s="243"/>
      <c r="AO291" s="243"/>
      <c r="AP291" s="250"/>
      <c r="AQ291" s="313"/>
      <c r="AR291" s="631"/>
      <c r="AS291" s="243"/>
      <c r="AT291" s="243"/>
      <c r="AU291" s="243"/>
      <c r="AV291" s="243"/>
      <c r="AW291" s="243"/>
      <c r="AX291" s="243"/>
      <c r="AY291" s="243"/>
      <c r="AZ291" s="243"/>
      <c r="BA291" s="243"/>
      <c r="BB291" s="243"/>
      <c r="BC291" s="243"/>
      <c r="BD291" s="243"/>
      <c r="BE291" s="243"/>
      <c r="BF291" s="243"/>
      <c r="BG291" s="243"/>
      <c r="BH291" s="243"/>
      <c r="BI291" s="243"/>
      <c r="BJ291" s="243"/>
      <c r="BK291" s="243"/>
      <c r="BL291" s="243"/>
    </row>
    <row r="292">
      <c r="A292" s="633"/>
      <c r="B292" s="547"/>
      <c r="C292" s="547"/>
      <c r="D292" s="547"/>
      <c r="E292" s="547"/>
      <c r="F292" s="547"/>
      <c r="G292" s="547"/>
      <c r="H292" s="547"/>
      <c r="I292" s="547"/>
      <c r="J292" s="555"/>
      <c r="K292" s="555"/>
      <c r="L292" s="243"/>
      <c r="M292" s="243"/>
      <c r="N292" s="243"/>
      <c r="O292" s="243"/>
      <c r="P292" s="243"/>
      <c r="Q292" s="243"/>
      <c r="R292" s="243"/>
      <c r="S292" s="243"/>
      <c r="T292" s="243"/>
      <c r="U292" s="243"/>
      <c r="V292" s="243"/>
      <c r="W292" s="243"/>
      <c r="X292" s="243"/>
      <c r="Y292" s="243"/>
      <c r="Z292" s="243"/>
      <c r="AA292" s="243"/>
      <c r="AB292" s="243"/>
      <c r="AC292" s="243"/>
      <c r="AD292" s="243"/>
      <c r="AE292" s="243"/>
      <c r="AF292" s="243"/>
      <c r="AG292" s="243"/>
      <c r="AH292" s="243"/>
      <c r="AI292" s="243"/>
      <c r="AJ292" s="938"/>
      <c r="AK292" s="555"/>
      <c r="AL292" s="243"/>
      <c r="AM292" s="243"/>
      <c r="AN292" s="243"/>
      <c r="AO292" s="243"/>
      <c r="AP292" s="250"/>
      <c r="AQ292" s="313"/>
      <c r="AR292" s="631"/>
      <c r="AS292" s="243"/>
      <c r="AT292" s="243"/>
      <c r="AU292" s="243"/>
      <c r="AV292" s="243"/>
      <c r="AW292" s="243"/>
      <c r="AX292" s="243"/>
      <c r="AY292" s="243"/>
      <c r="AZ292" s="243"/>
      <c r="BA292" s="243"/>
      <c r="BB292" s="243"/>
      <c r="BC292" s="243"/>
      <c r="BD292" s="243"/>
      <c r="BE292" s="243"/>
      <c r="BF292" s="243"/>
      <c r="BG292" s="243"/>
      <c r="BH292" s="243"/>
      <c r="BI292" s="243"/>
      <c r="BJ292" s="243"/>
      <c r="BK292" s="243"/>
      <c r="BL292" s="243"/>
    </row>
    <row r="293">
      <c r="A293" s="633"/>
      <c r="B293" s="547"/>
      <c r="C293" s="547"/>
      <c r="D293" s="547"/>
      <c r="E293" s="547"/>
      <c r="F293" s="547"/>
      <c r="G293" s="547"/>
      <c r="H293" s="547"/>
      <c r="I293" s="547"/>
      <c r="J293" s="555"/>
      <c r="K293" s="555"/>
      <c r="L293" s="243"/>
      <c r="M293" s="243"/>
      <c r="N293" s="243"/>
      <c r="O293" s="243"/>
      <c r="P293" s="243"/>
      <c r="Q293" s="243"/>
      <c r="R293" s="243"/>
      <c r="S293" s="243"/>
      <c r="T293" s="243"/>
      <c r="U293" s="243"/>
      <c r="V293" s="243"/>
      <c r="W293" s="243"/>
      <c r="X293" s="243"/>
      <c r="Y293" s="243"/>
      <c r="Z293" s="243"/>
      <c r="AA293" s="243"/>
      <c r="AB293" s="243"/>
      <c r="AC293" s="243"/>
      <c r="AD293" s="243"/>
      <c r="AE293" s="243"/>
      <c r="AF293" s="243"/>
      <c r="AG293" s="243"/>
      <c r="AH293" s="243"/>
      <c r="AI293" s="243"/>
      <c r="AJ293" s="938"/>
      <c r="AK293" s="555"/>
      <c r="AL293" s="243"/>
      <c r="AM293" s="243"/>
      <c r="AN293" s="243"/>
      <c r="AO293" s="243"/>
      <c r="AP293" s="250"/>
      <c r="AQ293" s="313"/>
      <c r="AR293" s="631"/>
      <c r="AS293" s="243"/>
      <c r="AT293" s="243"/>
      <c r="AU293" s="243"/>
      <c r="AV293" s="243"/>
      <c r="AW293" s="243"/>
      <c r="AX293" s="243"/>
      <c r="AY293" s="243"/>
      <c r="AZ293" s="243"/>
      <c r="BA293" s="243"/>
      <c r="BB293" s="243"/>
      <c r="BC293" s="243"/>
      <c r="BD293" s="243"/>
      <c r="BE293" s="243"/>
      <c r="BF293" s="243"/>
      <c r="BG293" s="243"/>
      <c r="BH293" s="243"/>
      <c r="BI293" s="243"/>
      <c r="BJ293" s="243"/>
      <c r="BK293" s="243"/>
      <c r="BL293" s="243"/>
    </row>
    <row r="294">
      <c r="A294" s="633"/>
      <c r="B294" s="547"/>
      <c r="C294" s="547"/>
      <c r="D294" s="547"/>
      <c r="E294" s="547"/>
      <c r="F294" s="547"/>
      <c r="G294" s="547"/>
      <c r="H294" s="547"/>
      <c r="I294" s="547"/>
      <c r="J294" s="555"/>
      <c r="K294" s="555"/>
      <c r="L294" s="243"/>
      <c r="M294" s="243"/>
      <c r="N294" s="243"/>
      <c r="O294" s="243"/>
      <c r="P294" s="243"/>
      <c r="Q294" s="243"/>
      <c r="R294" s="243"/>
      <c r="S294" s="243"/>
      <c r="T294" s="243"/>
      <c r="U294" s="243"/>
      <c r="V294" s="243"/>
      <c r="W294" s="243"/>
      <c r="X294" s="243"/>
      <c r="Y294" s="243"/>
      <c r="Z294" s="243"/>
      <c r="AA294" s="243"/>
      <c r="AB294" s="243"/>
      <c r="AC294" s="243"/>
      <c r="AD294" s="243"/>
      <c r="AE294" s="243"/>
      <c r="AF294" s="243"/>
      <c r="AG294" s="243"/>
      <c r="AH294" s="243"/>
      <c r="AI294" s="243"/>
      <c r="AJ294" s="938"/>
      <c r="AK294" s="555"/>
      <c r="AL294" s="243"/>
      <c r="AM294" s="243"/>
      <c r="AN294" s="243"/>
      <c r="AO294" s="243"/>
      <c r="AP294" s="250"/>
      <c r="AQ294" s="313"/>
      <c r="AR294" s="631"/>
      <c r="AS294" s="243"/>
      <c r="AT294" s="243"/>
      <c r="AU294" s="243"/>
      <c r="AV294" s="243"/>
      <c r="AW294" s="243"/>
      <c r="AX294" s="243"/>
      <c r="AY294" s="243"/>
      <c r="AZ294" s="243"/>
      <c r="BA294" s="243"/>
      <c r="BB294" s="243"/>
      <c r="BC294" s="243"/>
      <c r="BD294" s="243"/>
      <c r="BE294" s="243"/>
      <c r="BF294" s="243"/>
      <c r="BG294" s="243"/>
      <c r="BH294" s="243"/>
      <c r="BI294" s="243"/>
      <c r="BJ294" s="243"/>
      <c r="BK294" s="243"/>
      <c r="BL294" s="243"/>
    </row>
    <row r="295">
      <c r="A295" s="633"/>
      <c r="B295" s="547"/>
      <c r="C295" s="547"/>
      <c r="D295" s="547"/>
      <c r="E295" s="547"/>
      <c r="F295" s="547"/>
      <c r="G295" s="547"/>
      <c r="H295" s="547"/>
      <c r="I295" s="547"/>
      <c r="J295" s="555"/>
      <c r="K295" s="555"/>
      <c r="L295" s="243"/>
      <c r="M295" s="243"/>
      <c r="N295" s="243"/>
      <c r="O295" s="243"/>
      <c r="P295" s="243"/>
      <c r="Q295" s="243"/>
      <c r="R295" s="243"/>
      <c r="S295" s="243"/>
      <c r="T295" s="243"/>
      <c r="U295" s="243"/>
      <c r="V295" s="243"/>
      <c r="W295" s="243"/>
      <c r="X295" s="243"/>
      <c r="Y295" s="243"/>
      <c r="Z295" s="243"/>
      <c r="AA295" s="243"/>
      <c r="AB295" s="243"/>
      <c r="AC295" s="243"/>
      <c r="AD295" s="243"/>
      <c r="AE295" s="243"/>
      <c r="AF295" s="243"/>
      <c r="AG295" s="243"/>
      <c r="AH295" s="243"/>
      <c r="AI295" s="243"/>
      <c r="AJ295" s="938"/>
      <c r="AK295" s="555"/>
      <c r="AL295" s="243"/>
      <c r="AM295" s="243"/>
      <c r="AN295" s="243"/>
      <c r="AO295" s="243"/>
      <c r="AP295" s="250"/>
      <c r="AQ295" s="313"/>
      <c r="AR295" s="631"/>
      <c r="AS295" s="243"/>
      <c r="AT295" s="243"/>
      <c r="AU295" s="243"/>
      <c r="AV295" s="243"/>
      <c r="AW295" s="243"/>
      <c r="AX295" s="243"/>
      <c r="AY295" s="243"/>
      <c r="AZ295" s="243"/>
      <c r="BA295" s="243"/>
      <c r="BB295" s="243"/>
      <c r="BC295" s="243"/>
      <c r="BD295" s="243"/>
      <c r="BE295" s="243"/>
      <c r="BF295" s="243"/>
      <c r="BG295" s="243"/>
      <c r="BH295" s="243"/>
      <c r="BI295" s="243"/>
      <c r="BJ295" s="243"/>
      <c r="BK295" s="243"/>
      <c r="BL295" s="243"/>
    </row>
    <row r="296">
      <c r="A296" s="633"/>
      <c r="B296" s="547"/>
      <c r="C296" s="547"/>
      <c r="D296" s="547"/>
      <c r="E296" s="547"/>
      <c r="F296" s="547"/>
      <c r="G296" s="547"/>
      <c r="H296" s="547"/>
      <c r="I296" s="547"/>
      <c r="J296" s="555"/>
      <c r="K296" s="555"/>
      <c r="L296" s="243"/>
      <c r="M296" s="243"/>
      <c r="N296" s="243"/>
      <c r="O296" s="243"/>
      <c r="P296" s="243"/>
      <c r="Q296" s="243"/>
      <c r="R296" s="243"/>
      <c r="S296" s="243"/>
      <c r="T296" s="243"/>
      <c r="U296" s="243"/>
      <c r="V296" s="243"/>
      <c r="W296" s="243"/>
      <c r="X296" s="243"/>
      <c r="Y296" s="243"/>
      <c r="Z296" s="243"/>
      <c r="AA296" s="243"/>
      <c r="AB296" s="243"/>
      <c r="AC296" s="243"/>
      <c r="AD296" s="243"/>
      <c r="AE296" s="243"/>
      <c r="AF296" s="243"/>
      <c r="AG296" s="243"/>
      <c r="AH296" s="243"/>
      <c r="AI296" s="243"/>
      <c r="AJ296" s="938"/>
      <c r="AK296" s="555"/>
      <c r="AL296" s="243"/>
      <c r="AM296" s="243"/>
      <c r="AN296" s="243"/>
      <c r="AO296" s="243"/>
      <c r="AP296" s="250"/>
      <c r="AQ296" s="313"/>
      <c r="AR296" s="631"/>
      <c r="AS296" s="243"/>
      <c r="AT296" s="243"/>
      <c r="AU296" s="243"/>
      <c r="AV296" s="243"/>
      <c r="AW296" s="243"/>
      <c r="AX296" s="243"/>
      <c r="AY296" s="243"/>
      <c r="AZ296" s="243"/>
      <c r="BA296" s="243"/>
      <c r="BB296" s="243"/>
      <c r="BC296" s="243"/>
      <c r="BD296" s="243"/>
      <c r="BE296" s="243"/>
      <c r="BF296" s="243"/>
      <c r="BG296" s="243"/>
      <c r="BH296" s="243"/>
      <c r="BI296" s="243"/>
      <c r="BJ296" s="243"/>
      <c r="BK296" s="243"/>
      <c r="BL296" s="243"/>
    </row>
    <row r="297">
      <c r="A297" s="633"/>
      <c r="B297" s="547"/>
      <c r="C297" s="547"/>
      <c r="D297" s="547"/>
      <c r="E297" s="547"/>
      <c r="F297" s="547"/>
      <c r="G297" s="547"/>
      <c r="H297" s="547"/>
      <c r="I297" s="547"/>
      <c r="J297" s="555"/>
      <c r="K297" s="555"/>
      <c r="L297" s="243"/>
      <c r="M297" s="243"/>
      <c r="N297" s="243"/>
      <c r="O297" s="243"/>
      <c r="P297" s="243"/>
      <c r="Q297" s="243"/>
      <c r="R297" s="243"/>
      <c r="S297" s="243"/>
      <c r="T297" s="243"/>
      <c r="U297" s="243"/>
      <c r="V297" s="243"/>
      <c r="W297" s="243"/>
      <c r="X297" s="243"/>
      <c r="Y297" s="243"/>
      <c r="Z297" s="243"/>
      <c r="AA297" s="243"/>
      <c r="AB297" s="243"/>
      <c r="AC297" s="243"/>
      <c r="AD297" s="243"/>
      <c r="AE297" s="243"/>
      <c r="AF297" s="243"/>
      <c r="AG297" s="243"/>
      <c r="AH297" s="243"/>
      <c r="AI297" s="243"/>
      <c r="AJ297" s="938"/>
      <c r="AK297" s="555"/>
      <c r="AL297" s="243"/>
      <c r="AM297" s="243"/>
      <c r="AN297" s="243"/>
      <c r="AO297" s="243"/>
      <c r="AP297" s="250"/>
      <c r="AQ297" s="313"/>
      <c r="AR297" s="631"/>
      <c r="AS297" s="243"/>
      <c r="AT297" s="243"/>
      <c r="AU297" s="243"/>
      <c r="AV297" s="243"/>
      <c r="AW297" s="243"/>
      <c r="AX297" s="243"/>
      <c r="AY297" s="243"/>
      <c r="AZ297" s="243"/>
      <c r="BA297" s="243"/>
      <c r="BB297" s="243"/>
      <c r="BC297" s="243"/>
      <c r="BD297" s="243"/>
      <c r="BE297" s="243"/>
      <c r="BF297" s="243"/>
      <c r="BG297" s="243"/>
      <c r="BH297" s="243"/>
      <c r="BI297" s="243"/>
      <c r="BJ297" s="243"/>
      <c r="BK297" s="243"/>
      <c r="BL297" s="243"/>
    </row>
    <row r="298">
      <c r="A298" s="633"/>
      <c r="B298" s="547"/>
      <c r="C298" s="547"/>
      <c r="D298" s="547"/>
      <c r="E298" s="547"/>
      <c r="F298" s="547"/>
      <c r="G298" s="547"/>
      <c r="H298" s="547"/>
      <c r="I298" s="547"/>
      <c r="J298" s="555"/>
      <c r="K298" s="555"/>
      <c r="L298" s="243"/>
      <c r="M298" s="243"/>
      <c r="N298" s="243"/>
      <c r="O298" s="243"/>
      <c r="P298" s="243"/>
      <c r="Q298" s="243"/>
      <c r="R298" s="243"/>
      <c r="S298" s="243"/>
      <c r="T298" s="243"/>
      <c r="U298" s="243"/>
      <c r="V298" s="243"/>
      <c r="W298" s="243"/>
      <c r="X298" s="243"/>
      <c r="Y298" s="243"/>
      <c r="Z298" s="243"/>
      <c r="AA298" s="243"/>
      <c r="AB298" s="243"/>
      <c r="AC298" s="243"/>
      <c r="AD298" s="243"/>
      <c r="AE298" s="243"/>
      <c r="AF298" s="243"/>
      <c r="AG298" s="243"/>
      <c r="AH298" s="243"/>
      <c r="AI298" s="243"/>
      <c r="AJ298" s="938"/>
      <c r="AK298" s="555"/>
      <c r="AL298" s="243"/>
      <c r="AM298" s="243"/>
      <c r="AN298" s="243"/>
      <c r="AO298" s="243"/>
      <c r="AP298" s="250"/>
      <c r="AQ298" s="313"/>
      <c r="AR298" s="631"/>
      <c r="AS298" s="243"/>
      <c r="AT298" s="243"/>
      <c r="AU298" s="243"/>
      <c r="AV298" s="243"/>
      <c r="AW298" s="243"/>
      <c r="AX298" s="243"/>
      <c r="AY298" s="243"/>
      <c r="AZ298" s="243"/>
      <c r="BA298" s="243"/>
      <c r="BB298" s="243"/>
      <c r="BC298" s="243"/>
      <c r="BD298" s="243"/>
      <c r="BE298" s="243"/>
      <c r="BF298" s="243"/>
      <c r="BG298" s="243"/>
      <c r="BH298" s="243"/>
      <c r="BI298" s="243"/>
      <c r="BJ298" s="243"/>
      <c r="BK298" s="243"/>
      <c r="BL298" s="243"/>
    </row>
    <row r="299">
      <c r="A299" s="633"/>
      <c r="B299" s="547"/>
      <c r="C299" s="547"/>
      <c r="D299" s="547"/>
      <c r="E299" s="547"/>
      <c r="F299" s="547"/>
      <c r="G299" s="547"/>
      <c r="H299" s="547"/>
      <c r="I299" s="547"/>
      <c r="J299" s="555"/>
      <c r="K299" s="555"/>
      <c r="L299" s="243"/>
      <c r="M299" s="243"/>
      <c r="N299" s="243"/>
      <c r="O299" s="243"/>
      <c r="P299" s="243"/>
      <c r="Q299" s="243"/>
      <c r="R299" s="243"/>
      <c r="S299" s="243"/>
      <c r="T299" s="243"/>
      <c r="U299" s="243"/>
      <c r="V299" s="243"/>
      <c r="W299" s="243"/>
      <c r="X299" s="243"/>
      <c r="Y299" s="243"/>
      <c r="Z299" s="243"/>
      <c r="AA299" s="243"/>
      <c r="AB299" s="243"/>
      <c r="AC299" s="243"/>
      <c r="AD299" s="243"/>
      <c r="AE299" s="243"/>
      <c r="AF299" s="243"/>
      <c r="AG299" s="243"/>
      <c r="AH299" s="243"/>
      <c r="AI299" s="243"/>
      <c r="AJ299" s="938"/>
      <c r="AK299" s="555"/>
      <c r="AL299" s="243"/>
      <c r="AM299" s="243"/>
      <c r="AN299" s="243"/>
      <c r="AO299" s="243"/>
      <c r="AP299" s="250"/>
      <c r="AQ299" s="313"/>
      <c r="AR299" s="631"/>
      <c r="AS299" s="243"/>
      <c r="AT299" s="243"/>
      <c r="AU299" s="243"/>
      <c r="AV299" s="243"/>
      <c r="AW299" s="243"/>
      <c r="AX299" s="243"/>
      <c r="AY299" s="243"/>
      <c r="AZ299" s="243"/>
      <c r="BA299" s="243"/>
      <c r="BB299" s="243"/>
      <c r="BC299" s="243"/>
      <c r="BD299" s="243"/>
      <c r="BE299" s="243"/>
      <c r="BF299" s="243"/>
      <c r="BG299" s="243"/>
      <c r="BH299" s="243"/>
      <c r="BI299" s="243"/>
      <c r="BJ299" s="243"/>
      <c r="BK299" s="243"/>
      <c r="BL299" s="243"/>
    </row>
    <row r="300">
      <c r="A300" s="633"/>
      <c r="B300" s="547"/>
      <c r="C300" s="547"/>
      <c r="D300" s="547"/>
      <c r="E300" s="547"/>
      <c r="F300" s="547"/>
      <c r="G300" s="547"/>
      <c r="H300" s="547"/>
      <c r="I300" s="547"/>
      <c r="J300" s="555"/>
      <c r="K300" s="555"/>
      <c r="L300" s="243"/>
      <c r="M300" s="243"/>
      <c r="N300" s="243"/>
      <c r="O300" s="243"/>
      <c r="P300" s="243"/>
      <c r="Q300" s="243"/>
      <c r="R300" s="243"/>
      <c r="S300" s="243"/>
      <c r="T300" s="243"/>
      <c r="U300" s="243"/>
      <c r="V300" s="243"/>
      <c r="W300" s="243"/>
      <c r="X300" s="243"/>
      <c r="Y300" s="243"/>
      <c r="Z300" s="243"/>
      <c r="AA300" s="243"/>
      <c r="AB300" s="243"/>
      <c r="AC300" s="243"/>
      <c r="AD300" s="243"/>
      <c r="AE300" s="243"/>
      <c r="AF300" s="243"/>
      <c r="AG300" s="243"/>
      <c r="AH300" s="243"/>
      <c r="AI300" s="243"/>
      <c r="AJ300" s="938"/>
      <c r="AK300" s="555"/>
      <c r="AL300" s="243"/>
      <c r="AM300" s="243"/>
      <c r="AN300" s="243"/>
      <c r="AO300" s="243"/>
      <c r="AP300" s="250"/>
      <c r="AQ300" s="313"/>
      <c r="AR300" s="631"/>
      <c r="AS300" s="243"/>
      <c r="AT300" s="243"/>
      <c r="AU300" s="243"/>
      <c r="AV300" s="243"/>
      <c r="AW300" s="243"/>
      <c r="AX300" s="243"/>
      <c r="AY300" s="243"/>
      <c r="AZ300" s="243"/>
      <c r="BA300" s="243"/>
      <c r="BB300" s="243"/>
      <c r="BC300" s="243"/>
      <c r="BD300" s="243"/>
      <c r="BE300" s="243"/>
      <c r="BF300" s="243"/>
      <c r="BG300" s="243"/>
      <c r="BH300" s="243"/>
      <c r="BI300" s="243"/>
      <c r="BJ300" s="243"/>
      <c r="BK300" s="243"/>
      <c r="BL300" s="243"/>
    </row>
    <row r="301">
      <c r="A301" s="633"/>
      <c r="B301" s="547"/>
      <c r="C301" s="547"/>
      <c r="D301" s="547"/>
      <c r="E301" s="547"/>
      <c r="F301" s="547"/>
      <c r="G301" s="547"/>
      <c r="H301" s="547"/>
      <c r="I301" s="547"/>
      <c r="J301" s="555"/>
      <c r="K301" s="555"/>
      <c r="L301" s="243"/>
      <c r="M301" s="243"/>
      <c r="N301" s="243"/>
      <c r="O301" s="243"/>
      <c r="P301" s="243"/>
      <c r="Q301" s="243"/>
      <c r="R301" s="243"/>
      <c r="S301" s="243"/>
      <c r="T301" s="243"/>
      <c r="U301" s="243"/>
      <c r="V301" s="243"/>
      <c r="W301" s="243"/>
      <c r="X301" s="243"/>
      <c r="Y301" s="243"/>
      <c r="Z301" s="243"/>
      <c r="AA301" s="243"/>
      <c r="AB301" s="243"/>
      <c r="AC301" s="243"/>
      <c r="AD301" s="243"/>
      <c r="AE301" s="243"/>
      <c r="AF301" s="243"/>
      <c r="AG301" s="243"/>
      <c r="AH301" s="243"/>
      <c r="AI301" s="243"/>
      <c r="AJ301" s="938"/>
      <c r="AK301" s="555"/>
      <c r="AL301" s="243"/>
      <c r="AM301" s="243"/>
      <c r="AN301" s="243"/>
      <c r="AO301" s="243"/>
      <c r="AP301" s="250"/>
      <c r="AQ301" s="313"/>
      <c r="AR301" s="631"/>
      <c r="AS301" s="243"/>
      <c r="AT301" s="243"/>
      <c r="AU301" s="243"/>
      <c r="AV301" s="243"/>
      <c r="AW301" s="243"/>
      <c r="AX301" s="243"/>
      <c r="AY301" s="243"/>
      <c r="AZ301" s="243"/>
      <c r="BA301" s="243"/>
      <c r="BB301" s="243"/>
      <c r="BC301" s="243"/>
      <c r="BD301" s="243"/>
      <c r="BE301" s="243"/>
      <c r="BF301" s="243"/>
      <c r="BG301" s="243"/>
      <c r="BH301" s="243"/>
      <c r="BI301" s="243"/>
      <c r="BJ301" s="243"/>
      <c r="BK301" s="243"/>
      <c r="BL301" s="243"/>
    </row>
    <row r="302">
      <c r="A302" s="633"/>
      <c r="B302" s="547"/>
      <c r="C302" s="547"/>
      <c r="D302" s="547"/>
      <c r="E302" s="547"/>
      <c r="F302" s="547"/>
      <c r="G302" s="547"/>
      <c r="H302" s="547"/>
      <c r="I302" s="547"/>
      <c r="J302" s="555"/>
      <c r="K302" s="555"/>
      <c r="L302" s="243"/>
      <c r="M302" s="243"/>
      <c r="N302" s="243"/>
      <c r="O302" s="243"/>
      <c r="P302" s="243"/>
      <c r="Q302" s="243"/>
      <c r="R302" s="243"/>
      <c r="S302" s="243"/>
      <c r="T302" s="243"/>
      <c r="U302" s="243"/>
      <c r="V302" s="243"/>
      <c r="W302" s="243"/>
      <c r="X302" s="243"/>
      <c r="Y302" s="243"/>
      <c r="Z302" s="243"/>
      <c r="AA302" s="243"/>
      <c r="AB302" s="243"/>
      <c r="AC302" s="243"/>
      <c r="AD302" s="243"/>
      <c r="AE302" s="243"/>
      <c r="AF302" s="243"/>
      <c r="AG302" s="243"/>
      <c r="AH302" s="243"/>
      <c r="AI302" s="243"/>
      <c r="AJ302" s="938"/>
      <c r="AK302" s="555"/>
      <c r="AL302" s="243"/>
      <c r="AM302" s="243"/>
      <c r="AN302" s="243"/>
      <c r="AO302" s="243"/>
      <c r="AP302" s="250"/>
      <c r="AQ302" s="313"/>
      <c r="AR302" s="631"/>
      <c r="AS302" s="243"/>
      <c r="AT302" s="243"/>
      <c r="AU302" s="243"/>
      <c r="AV302" s="243"/>
      <c r="AW302" s="243"/>
      <c r="AX302" s="243"/>
      <c r="AY302" s="243"/>
      <c r="AZ302" s="243"/>
      <c r="BA302" s="243"/>
      <c r="BB302" s="243"/>
      <c r="BC302" s="243"/>
      <c r="BD302" s="243"/>
      <c r="BE302" s="243"/>
      <c r="BF302" s="243"/>
      <c r="BG302" s="243"/>
      <c r="BH302" s="243"/>
      <c r="BI302" s="243"/>
      <c r="BJ302" s="243"/>
      <c r="BK302" s="243"/>
      <c r="BL302" s="243"/>
    </row>
    <row r="303">
      <c r="A303" s="633"/>
      <c r="B303" s="547"/>
      <c r="C303" s="547"/>
      <c r="D303" s="547"/>
      <c r="E303" s="547"/>
      <c r="F303" s="547"/>
      <c r="G303" s="547"/>
      <c r="H303" s="547"/>
      <c r="I303" s="547"/>
      <c r="J303" s="555"/>
      <c r="K303" s="555"/>
      <c r="L303" s="243"/>
      <c r="M303" s="243"/>
      <c r="N303" s="243"/>
      <c r="O303" s="243"/>
      <c r="P303" s="243"/>
      <c r="Q303" s="243"/>
      <c r="R303" s="243"/>
      <c r="S303" s="243"/>
      <c r="T303" s="243"/>
      <c r="U303" s="243"/>
      <c r="V303" s="243"/>
      <c r="W303" s="243"/>
      <c r="X303" s="243"/>
      <c r="Y303" s="243"/>
      <c r="Z303" s="243"/>
      <c r="AA303" s="243"/>
      <c r="AB303" s="243"/>
      <c r="AC303" s="243"/>
      <c r="AD303" s="243"/>
      <c r="AE303" s="243"/>
      <c r="AF303" s="243"/>
      <c r="AG303" s="243"/>
      <c r="AH303" s="243"/>
      <c r="AI303" s="243"/>
      <c r="AJ303" s="938"/>
      <c r="AK303" s="555"/>
      <c r="AL303" s="243"/>
      <c r="AM303" s="243"/>
      <c r="AN303" s="243"/>
      <c r="AO303" s="243"/>
      <c r="AP303" s="250"/>
      <c r="AQ303" s="313"/>
      <c r="AR303" s="631"/>
      <c r="AS303" s="243"/>
      <c r="AT303" s="243"/>
      <c r="AU303" s="243"/>
      <c r="AV303" s="243"/>
      <c r="AW303" s="243"/>
      <c r="AX303" s="243"/>
      <c r="AY303" s="243"/>
      <c r="AZ303" s="243"/>
      <c r="BA303" s="243"/>
      <c r="BB303" s="243"/>
      <c r="BC303" s="243"/>
      <c r="BD303" s="243"/>
      <c r="BE303" s="243"/>
      <c r="BF303" s="243"/>
      <c r="BG303" s="243"/>
      <c r="BH303" s="243"/>
      <c r="BI303" s="243"/>
      <c r="BJ303" s="243"/>
      <c r="BK303" s="243"/>
      <c r="BL303" s="243"/>
    </row>
    <row r="304">
      <c r="A304" s="633"/>
      <c r="B304" s="547"/>
      <c r="C304" s="547"/>
      <c r="D304" s="547"/>
      <c r="E304" s="547"/>
      <c r="F304" s="547"/>
      <c r="G304" s="547"/>
      <c r="H304" s="547"/>
      <c r="I304" s="547"/>
      <c r="J304" s="555"/>
      <c r="K304" s="555"/>
      <c r="L304" s="243"/>
      <c r="M304" s="243"/>
      <c r="N304" s="243"/>
      <c r="O304" s="243"/>
      <c r="P304" s="243"/>
      <c r="Q304" s="243"/>
      <c r="R304" s="243"/>
      <c r="S304" s="243"/>
      <c r="T304" s="243"/>
      <c r="U304" s="243"/>
      <c r="V304" s="243"/>
      <c r="W304" s="243"/>
      <c r="X304" s="243"/>
      <c r="Y304" s="243"/>
      <c r="Z304" s="243"/>
      <c r="AA304" s="243"/>
      <c r="AB304" s="243"/>
      <c r="AC304" s="243"/>
      <c r="AD304" s="243"/>
      <c r="AE304" s="243"/>
      <c r="AF304" s="243"/>
      <c r="AG304" s="243"/>
      <c r="AH304" s="243"/>
      <c r="AI304" s="243"/>
      <c r="AJ304" s="938"/>
      <c r="AK304" s="555"/>
      <c r="AL304" s="243"/>
      <c r="AM304" s="243"/>
      <c r="AN304" s="243"/>
      <c r="AO304" s="243"/>
      <c r="AP304" s="250"/>
      <c r="AQ304" s="313"/>
      <c r="AR304" s="631"/>
      <c r="AS304" s="243"/>
      <c r="AT304" s="243"/>
      <c r="AU304" s="243"/>
      <c r="AV304" s="243"/>
      <c r="AW304" s="243"/>
      <c r="AX304" s="243"/>
      <c r="AY304" s="243"/>
      <c r="AZ304" s="243"/>
      <c r="BA304" s="243"/>
      <c r="BB304" s="243"/>
      <c r="BC304" s="243"/>
      <c r="BD304" s="243"/>
      <c r="BE304" s="243"/>
      <c r="BF304" s="243"/>
      <c r="BG304" s="243"/>
      <c r="BH304" s="243"/>
      <c r="BI304" s="243"/>
      <c r="BJ304" s="243"/>
      <c r="BK304" s="243"/>
      <c r="BL304" s="243"/>
    </row>
    <row r="305">
      <c r="A305" s="633"/>
      <c r="B305" s="547"/>
      <c r="C305" s="547"/>
      <c r="D305" s="547"/>
      <c r="E305" s="547"/>
      <c r="F305" s="547"/>
      <c r="G305" s="547"/>
      <c r="H305" s="547"/>
      <c r="I305" s="547"/>
      <c r="J305" s="555"/>
      <c r="K305" s="555"/>
      <c r="L305" s="243"/>
      <c r="M305" s="243"/>
      <c r="N305" s="243"/>
      <c r="O305" s="243"/>
      <c r="P305" s="243"/>
      <c r="Q305" s="243"/>
      <c r="R305" s="243"/>
      <c r="S305" s="243"/>
      <c r="T305" s="243"/>
      <c r="U305" s="243"/>
      <c r="V305" s="243"/>
      <c r="W305" s="243"/>
      <c r="X305" s="243"/>
      <c r="Y305" s="243"/>
      <c r="Z305" s="243"/>
      <c r="AA305" s="243"/>
      <c r="AB305" s="243"/>
      <c r="AC305" s="243"/>
      <c r="AD305" s="243"/>
      <c r="AE305" s="243"/>
      <c r="AF305" s="243"/>
      <c r="AG305" s="243"/>
      <c r="AH305" s="243"/>
      <c r="AI305" s="243"/>
      <c r="AJ305" s="938"/>
      <c r="AK305" s="555"/>
      <c r="AL305" s="243"/>
      <c r="AM305" s="243"/>
      <c r="AN305" s="243"/>
      <c r="AO305" s="243"/>
      <c r="AP305" s="250"/>
      <c r="AQ305" s="313"/>
      <c r="AR305" s="631"/>
      <c r="AS305" s="243"/>
      <c r="AT305" s="243"/>
      <c r="AU305" s="243"/>
      <c r="AV305" s="243"/>
      <c r="AW305" s="243"/>
      <c r="AX305" s="243"/>
      <c r="AY305" s="243"/>
      <c r="AZ305" s="243"/>
      <c r="BA305" s="243"/>
      <c r="BB305" s="243"/>
      <c r="BC305" s="243"/>
      <c r="BD305" s="243"/>
      <c r="BE305" s="243"/>
      <c r="BF305" s="243"/>
      <c r="BG305" s="243"/>
      <c r="BH305" s="243"/>
      <c r="BI305" s="243"/>
      <c r="BJ305" s="243"/>
      <c r="BK305" s="243"/>
      <c r="BL305" s="243"/>
    </row>
    <row r="306">
      <c r="A306" s="633"/>
      <c r="B306" s="547"/>
      <c r="C306" s="547"/>
      <c r="D306" s="547"/>
      <c r="E306" s="547"/>
      <c r="F306" s="547"/>
      <c r="G306" s="547"/>
      <c r="H306" s="547"/>
      <c r="I306" s="547"/>
      <c r="J306" s="555"/>
      <c r="K306" s="555"/>
      <c r="L306" s="243"/>
      <c r="M306" s="243"/>
      <c r="N306" s="243"/>
      <c r="O306" s="243"/>
      <c r="P306" s="243"/>
      <c r="Q306" s="243"/>
      <c r="R306" s="243"/>
      <c r="S306" s="243"/>
      <c r="T306" s="243"/>
      <c r="U306" s="243"/>
      <c r="V306" s="243"/>
      <c r="W306" s="243"/>
      <c r="X306" s="243"/>
      <c r="Y306" s="243"/>
      <c r="Z306" s="243"/>
      <c r="AA306" s="243"/>
      <c r="AB306" s="243"/>
      <c r="AC306" s="243"/>
      <c r="AD306" s="243"/>
      <c r="AE306" s="243"/>
      <c r="AF306" s="243"/>
      <c r="AG306" s="243"/>
      <c r="AH306" s="243"/>
      <c r="AI306" s="243"/>
      <c r="AJ306" s="938"/>
      <c r="AK306" s="555"/>
      <c r="AL306" s="243"/>
      <c r="AM306" s="243"/>
      <c r="AN306" s="243"/>
      <c r="AO306" s="243"/>
      <c r="AP306" s="250"/>
      <c r="AQ306" s="313"/>
      <c r="AR306" s="631"/>
      <c r="AS306" s="243"/>
      <c r="AT306" s="243"/>
      <c r="AU306" s="243"/>
      <c r="AV306" s="243"/>
      <c r="AW306" s="243"/>
      <c r="AX306" s="243"/>
      <c r="AY306" s="243"/>
      <c r="AZ306" s="243"/>
      <c r="BA306" s="243"/>
      <c r="BB306" s="243"/>
      <c r="BC306" s="243"/>
      <c r="BD306" s="243"/>
      <c r="BE306" s="243"/>
      <c r="BF306" s="243"/>
      <c r="BG306" s="243"/>
      <c r="BH306" s="243"/>
      <c r="BI306" s="243"/>
      <c r="BJ306" s="243"/>
      <c r="BK306" s="243"/>
      <c r="BL306" s="243"/>
    </row>
    <row r="307">
      <c r="A307" s="633"/>
      <c r="B307" s="547"/>
      <c r="C307" s="547"/>
      <c r="D307" s="547"/>
      <c r="E307" s="547"/>
      <c r="F307" s="547"/>
      <c r="G307" s="547"/>
      <c r="H307" s="547"/>
      <c r="I307" s="547"/>
      <c r="J307" s="555"/>
      <c r="K307" s="555"/>
      <c r="L307" s="243"/>
      <c r="M307" s="243"/>
      <c r="N307" s="243"/>
      <c r="O307" s="243"/>
      <c r="P307" s="243"/>
      <c r="Q307" s="243"/>
      <c r="R307" s="243"/>
      <c r="S307" s="243"/>
      <c r="T307" s="243"/>
      <c r="U307" s="243"/>
      <c r="V307" s="243"/>
      <c r="W307" s="243"/>
      <c r="X307" s="243"/>
      <c r="Y307" s="243"/>
      <c r="Z307" s="243"/>
      <c r="AA307" s="243"/>
      <c r="AB307" s="243"/>
      <c r="AC307" s="243"/>
      <c r="AD307" s="243"/>
      <c r="AE307" s="243"/>
      <c r="AF307" s="243"/>
      <c r="AG307" s="243"/>
      <c r="AH307" s="243"/>
      <c r="AI307" s="243"/>
      <c r="AJ307" s="938"/>
      <c r="AK307" s="555"/>
      <c r="AL307" s="243"/>
      <c r="AM307" s="243"/>
      <c r="AN307" s="243"/>
      <c r="AO307" s="243"/>
      <c r="AP307" s="250"/>
      <c r="AQ307" s="313"/>
      <c r="AR307" s="631"/>
      <c r="AS307" s="243"/>
      <c r="AT307" s="243"/>
      <c r="AU307" s="243"/>
      <c r="AV307" s="243"/>
      <c r="AW307" s="243"/>
      <c r="AX307" s="243"/>
      <c r="AY307" s="243"/>
      <c r="AZ307" s="243"/>
      <c r="BA307" s="243"/>
      <c r="BB307" s="243"/>
      <c r="BC307" s="243"/>
      <c r="BD307" s="243"/>
      <c r="BE307" s="243"/>
      <c r="BF307" s="243"/>
      <c r="BG307" s="243"/>
      <c r="BH307" s="243"/>
      <c r="BI307" s="243"/>
      <c r="BJ307" s="243"/>
      <c r="BK307" s="243"/>
      <c r="BL307" s="243"/>
    </row>
    <row r="308">
      <c r="A308" s="633"/>
      <c r="B308" s="547"/>
      <c r="C308" s="547"/>
      <c r="D308" s="547"/>
      <c r="E308" s="547"/>
      <c r="F308" s="547"/>
      <c r="G308" s="547"/>
      <c r="H308" s="547"/>
      <c r="I308" s="547"/>
      <c r="J308" s="555"/>
      <c r="K308" s="555"/>
      <c r="L308" s="243"/>
      <c r="M308" s="243"/>
      <c r="N308" s="243"/>
      <c r="O308" s="243"/>
      <c r="P308" s="243"/>
      <c r="Q308" s="243"/>
      <c r="R308" s="243"/>
      <c r="S308" s="243"/>
      <c r="T308" s="243"/>
      <c r="U308" s="243"/>
      <c r="V308" s="243"/>
      <c r="W308" s="243"/>
      <c r="X308" s="243"/>
      <c r="Y308" s="243"/>
      <c r="Z308" s="243"/>
      <c r="AA308" s="243"/>
      <c r="AB308" s="243"/>
      <c r="AC308" s="243"/>
      <c r="AD308" s="243"/>
      <c r="AE308" s="243"/>
      <c r="AF308" s="243"/>
      <c r="AG308" s="243"/>
      <c r="AH308" s="243"/>
      <c r="AI308" s="243"/>
      <c r="AJ308" s="938"/>
      <c r="AK308" s="555"/>
      <c r="AL308" s="243"/>
      <c r="AM308" s="243"/>
      <c r="AN308" s="243"/>
      <c r="AO308" s="243"/>
      <c r="AP308" s="250"/>
      <c r="AQ308" s="313"/>
      <c r="AR308" s="631"/>
      <c r="AS308" s="243"/>
      <c r="AT308" s="243"/>
      <c r="AU308" s="243"/>
      <c r="AV308" s="243"/>
      <c r="AW308" s="243"/>
      <c r="AX308" s="243"/>
      <c r="AY308" s="243"/>
      <c r="AZ308" s="243"/>
      <c r="BA308" s="243"/>
      <c r="BB308" s="243"/>
      <c r="BC308" s="243"/>
      <c r="BD308" s="243"/>
      <c r="BE308" s="243"/>
      <c r="BF308" s="243"/>
      <c r="BG308" s="243"/>
      <c r="BH308" s="243"/>
      <c r="BI308" s="243"/>
      <c r="BJ308" s="243"/>
      <c r="BK308" s="243"/>
      <c r="BL308" s="243"/>
    </row>
    <row r="309">
      <c r="A309" s="633"/>
      <c r="B309" s="547"/>
      <c r="C309" s="547"/>
      <c r="D309" s="547"/>
      <c r="E309" s="547"/>
      <c r="F309" s="547"/>
      <c r="G309" s="547"/>
      <c r="H309" s="547"/>
      <c r="I309" s="547"/>
      <c r="J309" s="555"/>
      <c r="K309" s="555"/>
      <c r="L309" s="243"/>
      <c r="M309" s="243"/>
      <c r="N309" s="243"/>
      <c r="O309" s="243"/>
      <c r="P309" s="243"/>
      <c r="Q309" s="243"/>
      <c r="R309" s="243"/>
      <c r="S309" s="243"/>
      <c r="T309" s="243"/>
      <c r="U309" s="243"/>
      <c r="V309" s="243"/>
      <c r="W309" s="243"/>
      <c r="X309" s="243"/>
      <c r="Y309" s="243"/>
      <c r="Z309" s="243"/>
      <c r="AA309" s="243"/>
      <c r="AB309" s="243"/>
      <c r="AC309" s="243"/>
      <c r="AD309" s="243"/>
      <c r="AE309" s="243"/>
      <c r="AF309" s="243"/>
      <c r="AG309" s="243"/>
      <c r="AH309" s="243"/>
      <c r="AI309" s="243"/>
      <c r="AJ309" s="938"/>
      <c r="AK309" s="555"/>
      <c r="AL309" s="243"/>
      <c r="AM309" s="243"/>
      <c r="AN309" s="243"/>
      <c r="AO309" s="243"/>
      <c r="AP309" s="250"/>
      <c r="AQ309" s="313"/>
      <c r="AR309" s="631"/>
      <c r="AS309" s="243"/>
      <c r="AT309" s="243"/>
      <c r="AU309" s="243"/>
      <c r="AV309" s="243"/>
      <c r="AW309" s="243"/>
      <c r="AX309" s="243"/>
      <c r="AY309" s="243"/>
      <c r="AZ309" s="243"/>
      <c r="BA309" s="243"/>
      <c r="BB309" s="243"/>
      <c r="BC309" s="243"/>
      <c r="BD309" s="243"/>
      <c r="BE309" s="243"/>
      <c r="BF309" s="243"/>
      <c r="BG309" s="243"/>
      <c r="BH309" s="243"/>
      <c r="BI309" s="243"/>
      <c r="BJ309" s="243"/>
      <c r="BK309" s="243"/>
      <c r="BL309" s="243"/>
    </row>
    <row r="310">
      <c r="A310" s="633"/>
      <c r="B310" s="547"/>
      <c r="C310" s="547"/>
      <c r="D310" s="547"/>
      <c r="E310" s="547"/>
      <c r="F310" s="547"/>
      <c r="G310" s="547"/>
      <c r="H310" s="547"/>
      <c r="I310" s="547"/>
      <c r="J310" s="555"/>
      <c r="K310" s="555"/>
      <c r="L310" s="243"/>
      <c r="M310" s="243"/>
      <c r="N310" s="243"/>
      <c r="O310" s="243"/>
      <c r="P310" s="243"/>
      <c r="Q310" s="243"/>
      <c r="R310" s="243"/>
      <c r="S310" s="243"/>
      <c r="T310" s="243"/>
      <c r="U310" s="243"/>
      <c r="V310" s="243"/>
      <c r="W310" s="243"/>
      <c r="X310" s="243"/>
      <c r="Y310" s="243"/>
      <c r="Z310" s="243"/>
      <c r="AA310" s="243"/>
      <c r="AB310" s="243"/>
      <c r="AC310" s="243"/>
      <c r="AD310" s="243"/>
      <c r="AE310" s="243"/>
      <c r="AF310" s="243"/>
      <c r="AG310" s="243"/>
      <c r="AH310" s="243"/>
      <c r="AI310" s="243"/>
      <c r="AJ310" s="938"/>
      <c r="AK310" s="555"/>
      <c r="AL310" s="243"/>
      <c r="AM310" s="243"/>
      <c r="AN310" s="243"/>
      <c r="AO310" s="243"/>
      <c r="AP310" s="250"/>
      <c r="AQ310" s="313"/>
      <c r="AR310" s="631"/>
      <c r="AS310" s="243"/>
      <c r="AT310" s="243"/>
      <c r="AU310" s="243"/>
      <c r="AV310" s="243"/>
      <c r="AW310" s="243"/>
      <c r="AX310" s="243"/>
      <c r="AY310" s="243"/>
      <c r="AZ310" s="243"/>
      <c r="BA310" s="243"/>
      <c r="BB310" s="243"/>
      <c r="BC310" s="243"/>
      <c r="BD310" s="243"/>
      <c r="BE310" s="243"/>
      <c r="BF310" s="243"/>
      <c r="BG310" s="243"/>
      <c r="BH310" s="243"/>
      <c r="BI310" s="243"/>
      <c r="BJ310" s="243"/>
      <c r="BK310" s="243"/>
      <c r="BL310" s="243"/>
    </row>
    <row r="311">
      <c r="A311" s="633"/>
      <c r="B311" s="547"/>
      <c r="C311" s="547"/>
      <c r="D311" s="547"/>
      <c r="E311" s="547"/>
      <c r="F311" s="547"/>
      <c r="G311" s="547"/>
      <c r="H311" s="547"/>
      <c r="I311" s="547"/>
      <c r="J311" s="555"/>
      <c r="K311" s="555"/>
      <c r="L311" s="243"/>
      <c r="M311" s="243"/>
      <c r="N311" s="243"/>
      <c r="O311" s="243"/>
      <c r="P311" s="243"/>
      <c r="Q311" s="243"/>
      <c r="R311" s="243"/>
      <c r="S311" s="243"/>
      <c r="T311" s="243"/>
      <c r="U311" s="243"/>
      <c r="V311" s="243"/>
      <c r="W311" s="243"/>
      <c r="X311" s="243"/>
      <c r="Y311" s="243"/>
      <c r="Z311" s="243"/>
      <c r="AA311" s="243"/>
      <c r="AB311" s="243"/>
      <c r="AC311" s="243"/>
      <c r="AD311" s="243"/>
      <c r="AE311" s="243"/>
      <c r="AF311" s="243"/>
      <c r="AG311" s="243"/>
      <c r="AH311" s="243"/>
      <c r="AI311" s="243"/>
      <c r="AJ311" s="938"/>
      <c r="AK311" s="555"/>
      <c r="AL311" s="243"/>
      <c r="AM311" s="243"/>
      <c r="AN311" s="243"/>
      <c r="AO311" s="243"/>
      <c r="AP311" s="250"/>
      <c r="AQ311" s="313"/>
      <c r="AR311" s="631"/>
      <c r="AS311" s="243"/>
      <c r="AT311" s="243"/>
      <c r="AU311" s="243"/>
      <c r="AV311" s="243"/>
      <c r="AW311" s="243"/>
      <c r="AX311" s="243"/>
      <c r="AY311" s="243"/>
      <c r="AZ311" s="243"/>
      <c r="BA311" s="243"/>
      <c r="BB311" s="243"/>
      <c r="BC311" s="243"/>
      <c r="BD311" s="243"/>
      <c r="BE311" s="243"/>
      <c r="BF311" s="243"/>
      <c r="BG311" s="243"/>
      <c r="BH311" s="243"/>
      <c r="BI311" s="243"/>
      <c r="BJ311" s="243"/>
      <c r="BK311" s="243"/>
      <c r="BL311" s="243"/>
    </row>
    <row r="312">
      <c r="A312" s="633"/>
      <c r="B312" s="547"/>
      <c r="C312" s="547"/>
      <c r="D312" s="547"/>
      <c r="E312" s="547"/>
      <c r="F312" s="547"/>
      <c r="G312" s="547"/>
      <c r="H312" s="547"/>
      <c r="I312" s="547"/>
      <c r="J312" s="555"/>
      <c r="K312" s="555"/>
      <c r="L312" s="243"/>
      <c r="M312" s="243"/>
      <c r="N312" s="243"/>
      <c r="O312" s="243"/>
      <c r="P312" s="243"/>
      <c r="Q312" s="243"/>
      <c r="R312" s="243"/>
      <c r="S312" s="243"/>
      <c r="T312" s="243"/>
      <c r="U312" s="243"/>
      <c r="V312" s="243"/>
      <c r="W312" s="243"/>
      <c r="X312" s="243"/>
      <c r="Y312" s="243"/>
      <c r="Z312" s="243"/>
      <c r="AA312" s="243"/>
      <c r="AB312" s="243"/>
      <c r="AC312" s="243"/>
      <c r="AD312" s="243"/>
      <c r="AE312" s="243"/>
      <c r="AF312" s="243"/>
      <c r="AG312" s="243"/>
      <c r="AH312" s="243"/>
      <c r="AI312" s="243"/>
      <c r="AJ312" s="938"/>
      <c r="AK312" s="555"/>
      <c r="AL312" s="243"/>
      <c r="AM312" s="243"/>
      <c r="AN312" s="243"/>
      <c r="AO312" s="243"/>
      <c r="AP312" s="250"/>
      <c r="AQ312" s="313"/>
      <c r="AR312" s="631"/>
      <c r="AS312" s="243"/>
      <c r="AT312" s="243"/>
      <c r="AU312" s="243"/>
      <c r="AV312" s="243"/>
      <c r="AW312" s="243"/>
      <c r="AX312" s="243"/>
      <c r="AY312" s="243"/>
      <c r="AZ312" s="243"/>
      <c r="BA312" s="243"/>
      <c r="BB312" s="243"/>
      <c r="BC312" s="243"/>
      <c r="BD312" s="243"/>
      <c r="BE312" s="243"/>
      <c r="BF312" s="243"/>
      <c r="BG312" s="243"/>
      <c r="BH312" s="243"/>
      <c r="BI312" s="243"/>
      <c r="BJ312" s="243"/>
      <c r="BK312" s="243"/>
      <c r="BL312" s="243"/>
    </row>
    <row r="313">
      <c r="A313" s="633"/>
      <c r="B313" s="547"/>
      <c r="C313" s="547"/>
      <c r="D313" s="547"/>
      <c r="E313" s="547"/>
      <c r="F313" s="547"/>
      <c r="G313" s="547"/>
      <c r="H313" s="547"/>
      <c r="I313" s="547"/>
      <c r="J313" s="555"/>
      <c r="K313" s="555"/>
      <c r="L313" s="243"/>
      <c r="M313" s="243"/>
      <c r="N313" s="243"/>
      <c r="O313" s="243"/>
      <c r="P313" s="243"/>
      <c r="Q313" s="243"/>
      <c r="R313" s="243"/>
      <c r="S313" s="243"/>
      <c r="T313" s="243"/>
      <c r="U313" s="243"/>
      <c r="V313" s="243"/>
      <c r="W313" s="243"/>
      <c r="X313" s="243"/>
      <c r="Y313" s="243"/>
      <c r="Z313" s="243"/>
      <c r="AA313" s="243"/>
      <c r="AB313" s="243"/>
      <c r="AC313" s="243"/>
      <c r="AD313" s="243"/>
      <c r="AE313" s="243"/>
      <c r="AF313" s="243"/>
      <c r="AG313" s="243"/>
      <c r="AH313" s="243"/>
      <c r="AI313" s="243"/>
      <c r="AJ313" s="938"/>
      <c r="AK313" s="555"/>
      <c r="AL313" s="243"/>
      <c r="AM313" s="243"/>
      <c r="AN313" s="243"/>
      <c r="AO313" s="243"/>
      <c r="AP313" s="250"/>
      <c r="AQ313" s="313"/>
      <c r="AR313" s="631"/>
      <c r="AS313" s="243"/>
      <c r="AT313" s="243"/>
      <c r="AU313" s="243"/>
      <c r="AV313" s="243"/>
      <c r="AW313" s="243"/>
      <c r="AX313" s="243"/>
      <c r="AY313" s="243"/>
      <c r="AZ313" s="243"/>
      <c r="BA313" s="243"/>
      <c r="BB313" s="243"/>
      <c r="BC313" s="243"/>
      <c r="BD313" s="243"/>
      <c r="BE313" s="243"/>
      <c r="BF313" s="243"/>
      <c r="BG313" s="243"/>
      <c r="BH313" s="243"/>
      <c r="BI313" s="243"/>
      <c r="BJ313" s="243"/>
      <c r="BK313" s="243"/>
      <c r="BL313" s="243"/>
    </row>
    <row r="314">
      <c r="A314" s="633"/>
      <c r="B314" s="547"/>
      <c r="C314" s="547"/>
      <c r="D314" s="547"/>
      <c r="E314" s="547"/>
      <c r="F314" s="547"/>
      <c r="G314" s="547"/>
      <c r="H314" s="547"/>
      <c r="I314" s="547"/>
      <c r="J314" s="555"/>
      <c r="K314" s="555"/>
      <c r="L314" s="243"/>
      <c r="M314" s="243"/>
      <c r="N314" s="243"/>
      <c r="O314" s="243"/>
      <c r="P314" s="243"/>
      <c r="Q314" s="243"/>
      <c r="R314" s="243"/>
      <c r="S314" s="243"/>
      <c r="T314" s="243"/>
      <c r="U314" s="243"/>
      <c r="V314" s="243"/>
      <c r="W314" s="243"/>
      <c r="X314" s="243"/>
      <c r="Y314" s="243"/>
      <c r="Z314" s="243"/>
      <c r="AA314" s="243"/>
      <c r="AB314" s="243"/>
      <c r="AC314" s="243"/>
      <c r="AD314" s="243"/>
      <c r="AE314" s="243"/>
      <c r="AF314" s="243"/>
      <c r="AG314" s="243"/>
      <c r="AH314" s="243"/>
      <c r="AI314" s="243"/>
      <c r="AJ314" s="938"/>
      <c r="AK314" s="555"/>
      <c r="AL314" s="243"/>
      <c r="AM314" s="243"/>
      <c r="AN314" s="243"/>
      <c r="AO314" s="243"/>
      <c r="AP314" s="250"/>
      <c r="AQ314" s="313"/>
      <c r="AR314" s="631"/>
      <c r="AS314" s="243"/>
      <c r="AT314" s="243"/>
      <c r="AU314" s="243"/>
      <c r="AV314" s="243"/>
      <c r="AW314" s="243"/>
      <c r="AX314" s="243"/>
      <c r="AY314" s="243"/>
      <c r="AZ314" s="243"/>
      <c r="BA314" s="243"/>
      <c r="BB314" s="243"/>
      <c r="BC314" s="243"/>
      <c r="BD314" s="243"/>
      <c r="BE314" s="243"/>
      <c r="BF314" s="243"/>
      <c r="BG314" s="243"/>
      <c r="BH314" s="243"/>
      <c r="BI314" s="243"/>
      <c r="BJ314" s="243"/>
      <c r="BK314" s="243"/>
      <c r="BL314" s="243"/>
    </row>
    <row r="315">
      <c r="A315" s="633"/>
      <c r="B315" s="547"/>
      <c r="C315" s="547"/>
      <c r="D315" s="547"/>
      <c r="E315" s="547"/>
      <c r="F315" s="547"/>
      <c r="G315" s="547"/>
      <c r="H315" s="547"/>
      <c r="I315" s="547"/>
      <c r="J315" s="555"/>
      <c r="K315" s="555"/>
      <c r="L315" s="243"/>
      <c r="M315" s="243"/>
      <c r="N315" s="243"/>
      <c r="O315" s="243"/>
      <c r="P315" s="243"/>
      <c r="Q315" s="243"/>
      <c r="R315" s="243"/>
      <c r="S315" s="243"/>
      <c r="T315" s="243"/>
      <c r="U315" s="243"/>
      <c r="V315" s="243"/>
      <c r="W315" s="243"/>
      <c r="X315" s="243"/>
      <c r="Y315" s="243"/>
      <c r="Z315" s="243"/>
      <c r="AA315" s="243"/>
      <c r="AB315" s="243"/>
      <c r="AC315" s="243"/>
      <c r="AD315" s="243"/>
      <c r="AE315" s="243"/>
      <c r="AF315" s="243"/>
      <c r="AG315" s="243"/>
      <c r="AH315" s="243"/>
      <c r="AI315" s="243"/>
      <c r="AJ315" s="938"/>
      <c r="AK315" s="555"/>
      <c r="AL315" s="243"/>
      <c r="AM315" s="243"/>
      <c r="AN315" s="243"/>
      <c r="AO315" s="243"/>
      <c r="AP315" s="250"/>
      <c r="AQ315" s="313"/>
      <c r="AR315" s="631"/>
      <c r="AS315" s="243"/>
      <c r="AT315" s="243"/>
      <c r="AU315" s="243"/>
      <c r="AV315" s="243"/>
      <c r="AW315" s="243"/>
      <c r="AX315" s="243"/>
      <c r="AY315" s="243"/>
      <c r="AZ315" s="243"/>
      <c r="BA315" s="243"/>
      <c r="BB315" s="243"/>
      <c r="BC315" s="243"/>
      <c r="BD315" s="243"/>
      <c r="BE315" s="243"/>
      <c r="BF315" s="243"/>
      <c r="BG315" s="243"/>
      <c r="BH315" s="243"/>
      <c r="BI315" s="243"/>
      <c r="BJ315" s="243"/>
      <c r="BK315" s="243"/>
      <c r="BL315" s="243"/>
    </row>
    <row r="316">
      <c r="A316" s="633"/>
      <c r="B316" s="547"/>
      <c r="C316" s="547"/>
      <c r="D316" s="547"/>
      <c r="E316" s="547"/>
      <c r="F316" s="547"/>
      <c r="G316" s="547"/>
      <c r="H316" s="547"/>
      <c r="I316" s="547"/>
      <c r="J316" s="555"/>
      <c r="K316" s="555"/>
      <c r="L316" s="243"/>
      <c r="M316" s="243"/>
      <c r="N316" s="243"/>
      <c r="O316" s="243"/>
      <c r="P316" s="243"/>
      <c r="Q316" s="243"/>
      <c r="R316" s="243"/>
      <c r="S316" s="243"/>
      <c r="T316" s="243"/>
      <c r="U316" s="243"/>
      <c r="V316" s="243"/>
      <c r="W316" s="243"/>
      <c r="X316" s="243"/>
      <c r="Y316" s="243"/>
      <c r="Z316" s="243"/>
      <c r="AA316" s="243"/>
      <c r="AB316" s="243"/>
      <c r="AC316" s="243"/>
      <c r="AD316" s="243"/>
      <c r="AE316" s="243"/>
      <c r="AF316" s="243"/>
      <c r="AG316" s="243"/>
      <c r="AH316" s="243"/>
      <c r="AI316" s="243"/>
      <c r="AJ316" s="938"/>
      <c r="AK316" s="555"/>
      <c r="AL316" s="243"/>
      <c r="AM316" s="243"/>
      <c r="AN316" s="243"/>
      <c r="AO316" s="243"/>
      <c r="AP316" s="250"/>
      <c r="AQ316" s="313"/>
      <c r="AR316" s="631"/>
      <c r="AS316" s="243"/>
      <c r="AT316" s="243"/>
      <c r="AU316" s="243"/>
      <c r="AV316" s="243"/>
      <c r="AW316" s="243"/>
      <c r="AX316" s="243"/>
      <c r="AY316" s="243"/>
      <c r="AZ316" s="243"/>
      <c r="BA316" s="243"/>
      <c r="BB316" s="243"/>
      <c r="BC316" s="243"/>
      <c r="BD316" s="243"/>
      <c r="BE316" s="243"/>
      <c r="BF316" s="243"/>
      <c r="BG316" s="243"/>
      <c r="BH316" s="243"/>
      <c r="BI316" s="243"/>
      <c r="BJ316" s="243"/>
      <c r="BK316" s="243"/>
      <c r="BL316" s="243"/>
    </row>
    <row r="317">
      <c r="A317" s="633"/>
      <c r="B317" s="547"/>
      <c r="C317" s="547"/>
      <c r="D317" s="547"/>
      <c r="E317" s="547"/>
      <c r="F317" s="547"/>
      <c r="G317" s="547"/>
      <c r="H317" s="547"/>
      <c r="I317" s="547"/>
      <c r="J317" s="555"/>
      <c r="K317" s="555"/>
      <c r="L317" s="243"/>
      <c r="M317" s="243"/>
      <c r="N317" s="243"/>
      <c r="O317" s="243"/>
      <c r="P317" s="243"/>
      <c r="Q317" s="243"/>
      <c r="R317" s="243"/>
      <c r="S317" s="243"/>
      <c r="T317" s="243"/>
      <c r="U317" s="243"/>
      <c r="V317" s="243"/>
      <c r="W317" s="243"/>
      <c r="X317" s="243"/>
      <c r="Y317" s="243"/>
      <c r="Z317" s="243"/>
      <c r="AA317" s="243"/>
      <c r="AB317" s="243"/>
      <c r="AC317" s="243"/>
      <c r="AD317" s="243"/>
      <c r="AE317" s="243"/>
      <c r="AF317" s="243"/>
      <c r="AG317" s="243"/>
      <c r="AH317" s="243"/>
      <c r="AI317" s="243"/>
      <c r="AJ317" s="938"/>
      <c r="AK317" s="555"/>
      <c r="AL317" s="243"/>
      <c r="AM317" s="243"/>
      <c r="AN317" s="243"/>
      <c r="AO317" s="243"/>
      <c r="AP317" s="250"/>
      <c r="AQ317" s="313"/>
      <c r="AR317" s="631"/>
      <c r="AS317" s="243"/>
      <c r="AT317" s="243"/>
      <c r="AU317" s="243"/>
      <c r="AV317" s="243"/>
      <c r="AW317" s="243"/>
      <c r="AX317" s="243"/>
      <c r="AY317" s="243"/>
      <c r="AZ317" s="243"/>
      <c r="BA317" s="243"/>
      <c r="BB317" s="243"/>
      <c r="BC317" s="243"/>
      <c r="BD317" s="243"/>
      <c r="BE317" s="243"/>
      <c r="BF317" s="243"/>
      <c r="BG317" s="243"/>
      <c r="BH317" s="243"/>
      <c r="BI317" s="243"/>
      <c r="BJ317" s="243"/>
      <c r="BK317" s="243"/>
      <c r="BL317" s="243"/>
    </row>
    <row r="318">
      <c r="A318" s="633"/>
      <c r="B318" s="547"/>
      <c r="C318" s="547"/>
      <c r="D318" s="547"/>
      <c r="E318" s="547"/>
      <c r="F318" s="547"/>
      <c r="G318" s="547"/>
      <c r="H318" s="547"/>
      <c r="I318" s="547"/>
      <c r="J318" s="555"/>
      <c r="K318" s="555"/>
      <c r="L318" s="243"/>
      <c r="M318" s="243"/>
      <c r="N318" s="243"/>
      <c r="O318" s="243"/>
      <c r="P318" s="243"/>
      <c r="Q318" s="243"/>
      <c r="R318" s="243"/>
      <c r="S318" s="243"/>
      <c r="T318" s="243"/>
      <c r="U318" s="243"/>
      <c r="V318" s="243"/>
      <c r="W318" s="243"/>
      <c r="X318" s="243"/>
      <c r="Y318" s="243"/>
      <c r="Z318" s="243"/>
      <c r="AA318" s="243"/>
      <c r="AB318" s="243"/>
      <c r="AC318" s="243"/>
      <c r="AD318" s="243"/>
      <c r="AE318" s="243"/>
      <c r="AF318" s="243"/>
      <c r="AG318" s="243"/>
      <c r="AH318" s="243"/>
      <c r="AI318" s="243"/>
      <c r="AJ318" s="938"/>
      <c r="AK318" s="555"/>
      <c r="AL318" s="243"/>
      <c r="AM318" s="243"/>
      <c r="AN318" s="243"/>
      <c r="AO318" s="243"/>
      <c r="AP318" s="250"/>
      <c r="AQ318" s="313"/>
      <c r="AR318" s="631"/>
      <c r="AS318" s="243"/>
      <c r="AT318" s="243"/>
      <c r="AU318" s="243"/>
      <c r="AV318" s="243"/>
      <c r="AW318" s="243"/>
      <c r="AX318" s="243"/>
      <c r="AY318" s="243"/>
      <c r="AZ318" s="243"/>
      <c r="BA318" s="243"/>
      <c r="BB318" s="243"/>
      <c r="BC318" s="243"/>
      <c r="BD318" s="243"/>
      <c r="BE318" s="243"/>
      <c r="BF318" s="243"/>
      <c r="BG318" s="243"/>
      <c r="BH318" s="243"/>
      <c r="BI318" s="243"/>
      <c r="BJ318" s="243"/>
      <c r="BK318" s="243"/>
      <c r="BL318" s="243"/>
    </row>
    <row r="319">
      <c r="A319" s="633"/>
      <c r="B319" s="547"/>
      <c r="C319" s="547"/>
      <c r="D319" s="547"/>
      <c r="E319" s="547"/>
      <c r="F319" s="547"/>
      <c r="G319" s="547"/>
      <c r="H319" s="547"/>
      <c r="I319" s="547"/>
      <c r="J319" s="555"/>
      <c r="K319" s="555"/>
      <c r="L319" s="243"/>
      <c r="M319" s="243"/>
      <c r="N319" s="243"/>
      <c r="O319" s="243"/>
      <c r="P319" s="243"/>
      <c r="Q319" s="243"/>
      <c r="R319" s="243"/>
      <c r="S319" s="243"/>
      <c r="T319" s="243"/>
      <c r="U319" s="243"/>
      <c r="V319" s="243"/>
      <c r="W319" s="243"/>
      <c r="X319" s="243"/>
      <c r="Y319" s="243"/>
      <c r="Z319" s="243"/>
      <c r="AA319" s="243"/>
      <c r="AB319" s="243"/>
      <c r="AC319" s="243"/>
      <c r="AD319" s="243"/>
      <c r="AE319" s="243"/>
      <c r="AF319" s="243"/>
      <c r="AG319" s="243"/>
      <c r="AH319" s="243"/>
      <c r="AI319" s="243"/>
      <c r="AJ319" s="938"/>
      <c r="AK319" s="555"/>
      <c r="AL319" s="243"/>
      <c r="AM319" s="243"/>
      <c r="AN319" s="243"/>
      <c r="AO319" s="243"/>
      <c r="AP319" s="250"/>
      <c r="AQ319" s="313"/>
      <c r="AR319" s="631"/>
      <c r="AS319" s="243"/>
      <c r="AT319" s="243"/>
      <c r="AU319" s="243"/>
      <c r="AV319" s="243"/>
      <c r="AW319" s="243"/>
      <c r="AX319" s="243"/>
      <c r="AY319" s="243"/>
      <c r="AZ319" s="243"/>
      <c r="BA319" s="243"/>
      <c r="BB319" s="243"/>
      <c r="BC319" s="243"/>
      <c r="BD319" s="243"/>
      <c r="BE319" s="243"/>
      <c r="BF319" s="243"/>
      <c r="BG319" s="243"/>
      <c r="BH319" s="243"/>
      <c r="BI319" s="243"/>
      <c r="BJ319" s="243"/>
      <c r="BK319" s="243"/>
      <c r="BL319" s="243"/>
    </row>
    <row r="320">
      <c r="A320" s="633"/>
      <c r="B320" s="547"/>
      <c r="C320" s="547"/>
      <c r="D320" s="547"/>
      <c r="E320" s="547"/>
      <c r="F320" s="547"/>
      <c r="G320" s="547"/>
      <c r="H320" s="547"/>
      <c r="I320" s="547"/>
      <c r="J320" s="555"/>
      <c r="K320" s="555"/>
      <c r="L320" s="243"/>
      <c r="M320" s="243"/>
      <c r="N320" s="243"/>
      <c r="O320" s="243"/>
      <c r="P320" s="243"/>
      <c r="Q320" s="243"/>
      <c r="R320" s="243"/>
      <c r="S320" s="243"/>
      <c r="T320" s="243"/>
      <c r="U320" s="243"/>
      <c r="V320" s="243"/>
      <c r="W320" s="243"/>
      <c r="X320" s="243"/>
      <c r="Y320" s="243"/>
      <c r="Z320" s="243"/>
      <c r="AA320" s="243"/>
      <c r="AB320" s="243"/>
      <c r="AC320" s="243"/>
      <c r="AD320" s="243"/>
      <c r="AE320" s="243"/>
      <c r="AF320" s="243"/>
      <c r="AG320" s="243"/>
      <c r="AH320" s="243"/>
      <c r="AI320" s="243"/>
      <c r="AJ320" s="938"/>
      <c r="AK320" s="555"/>
      <c r="AL320" s="243"/>
      <c r="AM320" s="243"/>
      <c r="AN320" s="243"/>
      <c r="AO320" s="243"/>
      <c r="AP320" s="250"/>
      <c r="AQ320" s="313"/>
      <c r="AR320" s="631"/>
      <c r="AS320" s="243"/>
      <c r="AT320" s="243"/>
      <c r="AU320" s="243"/>
      <c r="AV320" s="243"/>
      <c r="AW320" s="243"/>
      <c r="AX320" s="243"/>
      <c r="AY320" s="243"/>
      <c r="AZ320" s="243"/>
      <c r="BA320" s="243"/>
      <c r="BB320" s="243"/>
      <c r="BC320" s="243"/>
      <c r="BD320" s="243"/>
      <c r="BE320" s="243"/>
      <c r="BF320" s="243"/>
      <c r="BG320" s="243"/>
      <c r="BH320" s="243"/>
      <c r="BI320" s="243"/>
      <c r="BJ320" s="243"/>
      <c r="BK320" s="243"/>
      <c r="BL320" s="243"/>
    </row>
    <row r="321">
      <c r="A321" s="633"/>
      <c r="B321" s="547"/>
      <c r="C321" s="547"/>
      <c r="D321" s="547"/>
      <c r="E321" s="547"/>
      <c r="F321" s="547"/>
      <c r="G321" s="547"/>
      <c r="H321" s="547"/>
      <c r="I321" s="547"/>
      <c r="J321" s="555"/>
      <c r="K321" s="555"/>
      <c r="L321" s="243"/>
      <c r="M321" s="243"/>
      <c r="N321" s="243"/>
      <c r="O321" s="243"/>
      <c r="P321" s="243"/>
      <c r="Q321" s="243"/>
      <c r="R321" s="243"/>
      <c r="S321" s="243"/>
      <c r="T321" s="243"/>
      <c r="U321" s="243"/>
      <c r="V321" s="243"/>
      <c r="W321" s="243"/>
      <c r="X321" s="243"/>
      <c r="Y321" s="243"/>
      <c r="Z321" s="243"/>
      <c r="AA321" s="243"/>
      <c r="AB321" s="243"/>
      <c r="AC321" s="243"/>
      <c r="AD321" s="243"/>
      <c r="AE321" s="243"/>
      <c r="AF321" s="243"/>
      <c r="AG321" s="243"/>
      <c r="AH321" s="243"/>
      <c r="AI321" s="243"/>
      <c r="AJ321" s="938"/>
      <c r="AK321" s="555"/>
      <c r="AL321" s="243"/>
      <c r="AM321" s="243"/>
      <c r="AN321" s="243"/>
      <c r="AO321" s="243"/>
      <c r="AP321" s="250"/>
      <c r="AQ321" s="313"/>
      <c r="AR321" s="631"/>
      <c r="AS321" s="243"/>
      <c r="AT321" s="243"/>
      <c r="AU321" s="243"/>
      <c r="AV321" s="243"/>
      <c r="AW321" s="243"/>
      <c r="AX321" s="243"/>
      <c r="AY321" s="243"/>
      <c r="AZ321" s="243"/>
      <c r="BA321" s="243"/>
      <c r="BB321" s="243"/>
      <c r="BC321" s="243"/>
      <c r="BD321" s="243"/>
      <c r="BE321" s="243"/>
      <c r="BF321" s="243"/>
      <c r="BG321" s="243"/>
      <c r="BH321" s="243"/>
      <c r="BI321" s="243"/>
      <c r="BJ321" s="243"/>
      <c r="BK321" s="243"/>
      <c r="BL321" s="243"/>
    </row>
    <row r="322">
      <c r="A322" s="633"/>
      <c r="B322" s="547"/>
      <c r="C322" s="547"/>
      <c r="D322" s="547"/>
      <c r="E322" s="547"/>
      <c r="F322" s="547"/>
      <c r="G322" s="547"/>
      <c r="H322" s="547"/>
      <c r="I322" s="547"/>
      <c r="J322" s="555"/>
      <c r="K322" s="555"/>
      <c r="L322" s="243"/>
      <c r="M322" s="243"/>
      <c r="N322" s="243"/>
      <c r="O322" s="243"/>
      <c r="P322" s="243"/>
      <c r="Q322" s="243"/>
      <c r="R322" s="243"/>
      <c r="S322" s="243"/>
      <c r="T322" s="243"/>
      <c r="U322" s="243"/>
      <c r="V322" s="243"/>
      <c r="W322" s="243"/>
      <c r="X322" s="243"/>
      <c r="Y322" s="243"/>
      <c r="Z322" s="243"/>
      <c r="AA322" s="243"/>
      <c r="AB322" s="243"/>
      <c r="AC322" s="243"/>
      <c r="AD322" s="243"/>
      <c r="AE322" s="243"/>
      <c r="AF322" s="243"/>
      <c r="AG322" s="243"/>
      <c r="AH322" s="243"/>
      <c r="AI322" s="243"/>
      <c r="AJ322" s="938"/>
      <c r="AK322" s="555"/>
      <c r="AL322" s="243"/>
      <c r="AM322" s="243"/>
      <c r="AN322" s="243"/>
      <c r="AO322" s="243"/>
      <c r="AP322" s="250"/>
      <c r="AQ322" s="313"/>
      <c r="AR322" s="631"/>
      <c r="AS322" s="243"/>
      <c r="AT322" s="243"/>
      <c r="AU322" s="243"/>
      <c r="AV322" s="243"/>
      <c r="AW322" s="243"/>
      <c r="AX322" s="243"/>
      <c r="AY322" s="243"/>
      <c r="AZ322" s="243"/>
      <c r="BA322" s="243"/>
      <c r="BB322" s="243"/>
      <c r="BC322" s="243"/>
      <c r="BD322" s="243"/>
      <c r="BE322" s="243"/>
      <c r="BF322" s="243"/>
      <c r="BG322" s="243"/>
      <c r="BH322" s="243"/>
      <c r="BI322" s="243"/>
      <c r="BJ322" s="243"/>
      <c r="BK322" s="243"/>
      <c r="BL322" s="243"/>
    </row>
    <row r="323">
      <c r="A323" s="633"/>
      <c r="B323" s="547"/>
      <c r="C323" s="547"/>
      <c r="D323" s="547"/>
      <c r="E323" s="547"/>
      <c r="F323" s="547"/>
      <c r="G323" s="547"/>
      <c r="H323" s="547"/>
      <c r="I323" s="547"/>
      <c r="J323" s="555"/>
      <c r="K323" s="555"/>
      <c r="L323" s="243"/>
      <c r="M323" s="243"/>
      <c r="N323" s="243"/>
      <c r="O323" s="243"/>
      <c r="P323" s="243"/>
      <c r="Q323" s="243"/>
      <c r="R323" s="243"/>
      <c r="S323" s="243"/>
      <c r="T323" s="243"/>
      <c r="U323" s="243"/>
      <c r="V323" s="243"/>
      <c r="W323" s="243"/>
      <c r="X323" s="243"/>
      <c r="Y323" s="243"/>
      <c r="Z323" s="243"/>
      <c r="AA323" s="243"/>
      <c r="AB323" s="243"/>
      <c r="AC323" s="243"/>
      <c r="AD323" s="243"/>
      <c r="AE323" s="243"/>
      <c r="AF323" s="243"/>
      <c r="AG323" s="243"/>
      <c r="AH323" s="243"/>
      <c r="AI323" s="243"/>
      <c r="AJ323" s="938"/>
      <c r="AK323" s="555"/>
      <c r="AL323" s="243"/>
      <c r="AM323" s="243"/>
      <c r="AN323" s="243"/>
      <c r="AO323" s="243"/>
      <c r="AP323" s="250"/>
      <c r="AQ323" s="313"/>
      <c r="AR323" s="631"/>
      <c r="AS323" s="243"/>
      <c r="AT323" s="243"/>
      <c r="AU323" s="243"/>
      <c r="AV323" s="243"/>
      <c r="AW323" s="243"/>
      <c r="AX323" s="243"/>
      <c r="AY323" s="243"/>
      <c r="AZ323" s="243"/>
      <c r="BA323" s="243"/>
      <c r="BB323" s="243"/>
      <c r="BC323" s="243"/>
      <c r="BD323" s="243"/>
      <c r="BE323" s="243"/>
      <c r="BF323" s="243"/>
      <c r="BG323" s="243"/>
      <c r="BH323" s="243"/>
      <c r="BI323" s="243"/>
      <c r="BJ323" s="243"/>
      <c r="BK323" s="243"/>
      <c r="BL323" s="243"/>
    </row>
    <row r="324">
      <c r="A324" s="633"/>
      <c r="B324" s="547"/>
      <c r="C324" s="547"/>
      <c r="D324" s="547"/>
      <c r="E324" s="547"/>
      <c r="F324" s="547"/>
      <c r="G324" s="547"/>
      <c r="H324" s="547"/>
      <c r="I324" s="547"/>
      <c r="J324" s="555"/>
      <c r="K324" s="555"/>
      <c r="L324" s="243"/>
      <c r="M324" s="243"/>
      <c r="N324" s="243"/>
      <c r="O324" s="243"/>
      <c r="P324" s="243"/>
      <c r="Q324" s="243"/>
      <c r="R324" s="243"/>
      <c r="S324" s="243"/>
      <c r="T324" s="243"/>
      <c r="U324" s="243"/>
      <c r="V324" s="243"/>
      <c r="W324" s="243"/>
      <c r="X324" s="243"/>
      <c r="Y324" s="243"/>
      <c r="Z324" s="243"/>
      <c r="AA324" s="243"/>
      <c r="AB324" s="243"/>
      <c r="AC324" s="243"/>
      <c r="AD324" s="243"/>
      <c r="AE324" s="243"/>
      <c r="AF324" s="243"/>
      <c r="AG324" s="243"/>
      <c r="AH324" s="243"/>
      <c r="AI324" s="243"/>
      <c r="AJ324" s="938"/>
      <c r="AK324" s="555"/>
      <c r="AL324" s="243"/>
      <c r="AM324" s="243"/>
      <c r="AN324" s="243"/>
      <c r="AO324" s="243"/>
      <c r="AP324" s="250"/>
      <c r="AQ324" s="313"/>
      <c r="AR324" s="631"/>
      <c r="AS324" s="243"/>
      <c r="AT324" s="243"/>
      <c r="AU324" s="243"/>
      <c r="AV324" s="243"/>
      <c r="AW324" s="243"/>
      <c r="AX324" s="243"/>
      <c r="AY324" s="243"/>
      <c r="AZ324" s="243"/>
      <c r="BA324" s="243"/>
      <c r="BB324" s="243"/>
      <c r="BC324" s="243"/>
      <c r="BD324" s="243"/>
      <c r="BE324" s="243"/>
      <c r="BF324" s="243"/>
      <c r="BG324" s="243"/>
      <c r="BH324" s="243"/>
      <c r="BI324" s="243"/>
      <c r="BJ324" s="243"/>
      <c r="BK324" s="243"/>
      <c r="BL324" s="243"/>
    </row>
    <row r="325">
      <c r="A325" s="633"/>
      <c r="B325" s="547"/>
      <c r="C325" s="547"/>
      <c r="D325" s="547"/>
      <c r="E325" s="547"/>
      <c r="F325" s="547"/>
      <c r="G325" s="547"/>
      <c r="H325" s="547"/>
      <c r="I325" s="547"/>
      <c r="J325" s="555"/>
      <c r="K325" s="555"/>
      <c r="L325" s="243"/>
      <c r="M325" s="243"/>
      <c r="N325" s="243"/>
      <c r="O325" s="243"/>
      <c r="P325" s="243"/>
      <c r="Q325" s="243"/>
      <c r="R325" s="243"/>
      <c r="S325" s="243"/>
      <c r="T325" s="243"/>
      <c r="U325" s="243"/>
      <c r="V325" s="243"/>
      <c r="W325" s="243"/>
      <c r="X325" s="243"/>
      <c r="Y325" s="243"/>
      <c r="Z325" s="243"/>
      <c r="AA325" s="243"/>
      <c r="AB325" s="243"/>
      <c r="AC325" s="243"/>
      <c r="AD325" s="243"/>
      <c r="AE325" s="243"/>
      <c r="AF325" s="243"/>
      <c r="AG325" s="243"/>
      <c r="AH325" s="243"/>
      <c r="AI325" s="243"/>
      <c r="AJ325" s="938"/>
      <c r="AK325" s="555"/>
      <c r="AL325" s="243"/>
      <c r="AM325" s="243"/>
      <c r="AN325" s="243"/>
      <c r="AO325" s="243"/>
      <c r="AP325" s="250"/>
      <c r="AQ325" s="313"/>
      <c r="AR325" s="631"/>
      <c r="AS325" s="243"/>
      <c r="AT325" s="243"/>
      <c r="AU325" s="243"/>
      <c r="AV325" s="243"/>
      <c r="AW325" s="243"/>
      <c r="AX325" s="243"/>
      <c r="AY325" s="243"/>
      <c r="AZ325" s="243"/>
      <c r="BA325" s="243"/>
      <c r="BB325" s="243"/>
      <c r="BC325" s="243"/>
      <c r="BD325" s="243"/>
      <c r="BE325" s="243"/>
      <c r="BF325" s="243"/>
      <c r="BG325" s="243"/>
      <c r="BH325" s="243"/>
      <c r="BI325" s="243"/>
      <c r="BJ325" s="243"/>
      <c r="BK325" s="243"/>
      <c r="BL325" s="243"/>
    </row>
    <row r="326">
      <c r="A326" s="633"/>
      <c r="B326" s="547"/>
      <c r="C326" s="547"/>
      <c r="D326" s="547"/>
      <c r="E326" s="547"/>
      <c r="F326" s="547"/>
      <c r="G326" s="547"/>
      <c r="H326" s="547"/>
      <c r="I326" s="547"/>
      <c r="J326" s="555"/>
      <c r="K326" s="555"/>
      <c r="L326" s="243"/>
      <c r="M326" s="243"/>
      <c r="N326" s="243"/>
      <c r="O326" s="243"/>
      <c r="P326" s="243"/>
      <c r="Q326" s="243"/>
      <c r="R326" s="243"/>
      <c r="S326" s="243"/>
      <c r="T326" s="243"/>
      <c r="U326" s="243"/>
      <c r="V326" s="243"/>
      <c r="W326" s="243"/>
      <c r="X326" s="243"/>
      <c r="Y326" s="243"/>
      <c r="Z326" s="243"/>
      <c r="AA326" s="243"/>
      <c r="AB326" s="243"/>
      <c r="AC326" s="243"/>
      <c r="AD326" s="243"/>
      <c r="AE326" s="243"/>
      <c r="AF326" s="243"/>
      <c r="AG326" s="243"/>
      <c r="AH326" s="243"/>
      <c r="AI326" s="243"/>
      <c r="AJ326" s="938"/>
      <c r="AK326" s="555"/>
      <c r="AL326" s="243"/>
      <c r="AM326" s="243"/>
      <c r="AN326" s="243"/>
      <c r="AO326" s="243"/>
      <c r="AP326" s="250"/>
      <c r="AQ326" s="313"/>
      <c r="AR326" s="631"/>
      <c r="AS326" s="243"/>
      <c r="AT326" s="243"/>
      <c r="AU326" s="243"/>
      <c r="AV326" s="243"/>
      <c r="AW326" s="243"/>
      <c r="AX326" s="243"/>
      <c r="AY326" s="243"/>
      <c r="AZ326" s="243"/>
      <c r="BA326" s="243"/>
      <c r="BB326" s="243"/>
      <c r="BC326" s="243"/>
      <c r="BD326" s="243"/>
      <c r="BE326" s="243"/>
      <c r="BF326" s="243"/>
      <c r="BG326" s="243"/>
      <c r="BH326" s="243"/>
      <c r="BI326" s="243"/>
      <c r="BJ326" s="243"/>
      <c r="BK326" s="243"/>
      <c r="BL326" s="243"/>
    </row>
    <row r="327">
      <c r="A327" s="633"/>
      <c r="B327" s="547"/>
      <c r="C327" s="547"/>
      <c r="D327" s="547"/>
      <c r="E327" s="547"/>
      <c r="F327" s="547"/>
      <c r="G327" s="547"/>
      <c r="H327" s="547"/>
      <c r="I327" s="547"/>
      <c r="J327" s="555"/>
      <c r="K327" s="555"/>
      <c r="L327" s="243"/>
      <c r="M327" s="243"/>
      <c r="N327" s="243"/>
      <c r="O327" s="243"/>
      <c r="P327" s="243"/>
      <c r="Q327" s="243"/>
      <c r="R327" s="243"/>
      <c r="S327" s="243"/>
      <c r="T327" s="243"/>
      <c r="U327" s="243"/>
      <c r="V327" s="243"/>
      <c r="W327" s="243"/>
      <c r="X327" s="243"/>
      <c r="Y327" s="243"/>
      <c r="Z327" s="243"/>
      <c r="AA327" s="243"/>
      <c r="AB327" s="243"/>
      <c r="AC327" s="243"/>
      <c r="AD327" s="243"/>
      <c r="AE327" s="243"/>
      <c r="AF327" s="243"/>
      <c r="AG327" s="243"/>
      <c r="AH327" s="243"/>
      <c r="AI327" s="243"/>
      <c r="AJ327" s="938"/>
      <c r="AK327" s="555"/>
      <c r="AL327" s="243"/>
      <c r="AM327" s="243"/>
      <c r="AN327" s="243"/>
      <c r="AO327" s="243"/>
      <c r="AP327" s="250"/>
      <c r="AQ327" s="313"/>
      <c r="AR327" s="631"/>
      <c r="AS327" s="243"/>
      <c r="AT327" s="243"/>
      <c r="AU327" s="243"/>
      <c r="AV327" s="243"/>
      <c r="AW327" s="243"/>
      <c r="AX327" s="243"/>
      <c r="AY327" s="243"/>
      <c r="AZ327" s="243"/>
      <c r="BA327" s="243"/>
      <c r="BB327" s="243"/>
      <c r="BC327" s="243"/>
      <c r="BD327" s="243"/>
      <c r="BE327" s="243"/>
      <c r="BF327" s="243"/>
      <c r="BG327" s="243"/>
      <c r="BH327" s="243"/>
      <c r="BI327" s="243"/>
      <c r="BJ327" s="243"/>
      <c r="BK327" s="243"/>
      <c r="BL327" s="243"/>
    </row>
    <row r="328">
      <c r="A328" s="633"/>
      <c r="B328" s="547"/>
      <c r="C328" s="547"/>
      <c r="D328" s="547"/>
      <c r="E328" s="547"/>
      <c r="F328" s="547"/>
      <c r="G328" s="547"/>
      <c r="H328" s="547"/>
      <c r="I328" s="547"/>
      <c r="J328" s="555"/>
      <c r="K328" s="555"/>
      <c r="L328" s="243"/>
      <c r="M328" s="243"/>
      <c r="N328" s="243"/>
      <c r="O328" s="243"/>
      <c r="P328" s="243"/>
      <c r="Q328" s="243"/>
      <c r="R328" s="243"/>
      <c r="S328" s="243"/>
      <c r="T328" s="243"/>
      <c r="U328" s="243"/>
      <c r="V328" s="243"/>
      <c r="W328" s="243"/>
      <c r="X328" s="243"/>
      <c r="Y328" s="243"/>
      <c r="Z328" s="243"/>
      <c r="AA328" s="243"/>
      <c r="AB328" s="243"/>
      <c r="AC328" s="243"/>
      <c r="AD328" s="243"/>
      <c r="AE328" s="243"/>
      <c r="AF328" s="243"/>
      <c r="AG328" s="243"/>
      <c r="AH328" s="243"/>
      <c r="AI328" s="243"/>
      <c r="AJ328" s="938"/>
      <c r="AK328" s="555"/>
      <c r="AL328" s="243"/>
      <c r="AM328" s="243"/>
      <c r="AN328" s="243"/>
      <c r="AO328" s="243"/>
      <c r="AP328" s="250"/>
      <c r="AQ328" s="313"/>
      <c r="AR328" s="631"/>
      <c r="AS328" s="243"/>
      <c r="AT328" s="243"/>
      <c r="AU328" s="243"/>
      <c r="AV328" s="243"/>
      <c r="AW328" s="243"/>
      <c r="AX328" s="243"/>
      <c r="AY328" s="243"/>
      <c r="AZ328" s="243"/>
      <c r="BA328" s="243"/>
      <c r="BB328" s="243"/>
      <c r="BC328" s="243"/>
      <c r="BD328" s="243"/>
      <c r="BE328" s="243"/>
      <c r="BF328" s="243"/>
      <c r="BG328" s="243"/>
      <c r="BH328" s="243"/>
      <c r="BI328" s="243"/>
      <c r="BJ328" s="243"/>
      <c r="BK328" s="243"/>
      <c r="BL328" s="243"/>
    </row>
    <row r="329">
      <c r="A329" s="633"/>
      <c r="B329" s="547"/>
      <c r="C329" s="547"/>
      <c r="D329" s="547"/>
      <c r="E329" s="547"/>
      <c r="F329" s="547"/>
      <c r="G329" s="547"/>
      <c r="H329" s="547"/>
      <c r="I329" s="547"/>
      <c r="J329" s="555"/>
      <c r="K329" s="555"/>
      <c r="L329" s="243"/>
      <c r="M329" s="243"/>
      <c r="N329" s="243"/>
      <c r="O329" s="243"/>
      <c r="P329" s="243"/>
      <c r="Q329" s="243"/>
      <c r="R329" s="243"/>
      <c r="S329" s="243"/>
      <c r="T329" s="243"/>
      <c r="U329" s="243"/>
      <c r="V329" s="243"/>
      <c r="W329" s="243"/>
      <c r="X329" s="243"/>
      <c r="Y329" s="243"/>
      <c r="Z329" s="243"/>
      <c r="AA329" s="243"/>
      <c r="AB329" s="243"/>
      <c r="AC329" s="243"/>
      <c r="AD329" s="243"/>
      <c r="AE329" s="243"/>
      <c r="AF329" s="243"/>
      <c r="AG329" s="243"/>
      <c r="AH329" s="243"/>
      <c r="AI329" s="243"/>
      <c r="AJ329" s="938"/>
      <c r="AK329" s="555"/>
      <c r="AL329" s="243"/>
      <c r="AM329" s="243"/>
      <c r="AN329" s="243"/>
      <c r="AO329" s="243"/>
      <c r="AP329" s="250"/>
      <c r="AQ329" s="313"/>
      <c r="AR329" s="631"/>
      <c r="AS329" s="243"/>
      <c r="AT329" s="243"/>
      <c r="AU329" s="243"/>
      <c r="AV329" s="243"/>
      <c r="AW329" s="243"/>
      <c r="AX329" s="243"/>
      <c r="AY329" s="243"/>
      <c r="AZ329" s="243"/>
      <c r="BA329" s="243"/>
      <c r="BB329" s="243"/>
      <c r="BC329" s="243"/>
      <c r="BD329" s="243"/>
      <c r="BE329" s="243"/>
      <c r="BF329" s="243"/>
      <c r="BG329" s="243"/>
      <c r="BH329" s="243"/>
      <c r="BI329" s="243"/>
      <c r="BJ329" s="243"/>
      <c r="BK329" s="243"/>
      <c r="BL329" s="243"/>
    </row>
    <row r="330">
      <c r="A330" s="633"/>
      <c r="B330" s="547"/>
      <c r="C330" s="547"/>
      <c r="D330" s="547"/>
      <c r="E330" s="547"/>
      <c r="F330" s="547"/>
      <c r="G330" s="547"/>
      <c r="H330" s="547"/>
      <c r="I330" s="547"/>
      <c r="J330" s="555"/>
      <c r="K330" s="555"/>
      <c r="L330" s="243"/>
      <c r="M330" s="243"/>
      <c r="N330" s="243"/>
      <c r="O330" s="243"/>
      <c r="P330" s="243"/>
      <c r="Q330" s="243"/>
      <c r="R330" s="243"/>
      <c r="S330" s="243"/>
      <c r="T330" s="243"/>
      <c r="U330" s="243"/>
      <c r="V330" s="243"/>
      <c r="W330" s="243"/>
      <c r="X330" s="243"/>
      <c r="Y330" s="243"/>
      <c r="Z330" s="243"/>
      <c r="AA330" s="243"/>
      <c r="AB330" s="243"/>
      <c r="AC330" s="243"/>
      <c r="AD330" s="243"/>
      <c r="AE330" s="243"/>
      <c r="AF330" s="243"/>
      <c r="AG330" s="243"/>
      <c r="AH330" s="243"/>
      <c r="AI330" s="243"/>
      <c r="AJ330" s="938"/>
      <c r="AK330" s="555"/>
      <c r="AL330" s="243"/>
      <c r="AM330" s="243"/>
      <c r="AN330" s="243"/>
      <c r="AO330" s="243"/>
      <c r="AP330" s="250"/>
      <c r="AQ330" s="313"/>
      <c r="AR330" s="631"/>
      <c r="AS330" s="243"/>
      <c r="AT330" s="243"/>
      <c r="AU330" s="243"/>
      <c r="AV330" s="243"/>
      <c r="AW330" s="243"/>
      <c r="AX330" s="243"/>
      <c r="AY330" s="243"/>
      <c r="AZ330" s="243"/>
      <c r="BA330" s="243"/>
      <c r="BB330" s="243"/>
      <c r="BC330" s="243"/>
      <c r="BD330" s="243"/>
      <c r="BE330" s="243"/>
      <c r="BF330" s="243"/>
      <c r="BG330" s="243"/>
      <c r="BH330" s="243"/>
      <c r="BI330" s="243"/>
      <c r="BJ330" s="243"/>
      <c r="BK330" s="243"/>
      <c r="BL330" s="243"/>
    </row>
    <row r="331">
      <c r="A331" s="633"/>
      <c r="B331" s="547"/>
      <c r="C331" s="547"/>
      <c r="D331" s="547"/>
      <c r="E331" s="547"/>
      <c r="F331" s="547"/>
      <c r="G331" s="547"/>
      <c r="H331" s="547"/>
      <c r="I331" s="547"/>
      <c r="J331" s="555"/>
      <c r="K331" s="555"/>
      <c r="L331" s="243"/>
      <c r="M331" s="243"/>
      <c r="N331" s="243"/>
      <c r="O331" s="243"/>
      <c r="P331" s="243"/>
      <c r="Q331" s="243"/>
      <c r="R331" s="243"/>
      <c r="S331" s="243"/>
      <c r="T331" s="243"/>
      <c r="U331" s="243"/>
      <c r="V331" s="243"/>
      <c r="W331" s="243"/>
      <c r="X331" s="243"/>
      <c r="Y331" s="243"/>
      <c r="Z331" s="243"/>
      <c r="AA331" s="243"/>
      <c r="AB331" s="243"/>
      <c r="AC331" s="243"/>
      <c r="AD331" s="243"/>
      <c r="AE331" s="243"/>
      <c r="AF331" s="243"/>
      <c r="AG331" s="243"/>
      <c r="AH331" s="243"/>
      <c r="AI331" s="243"/>
      <c r="AJ331" s="938"/>
      <c r="AK331" s="555"/>
      <c r="AL331" s="243"/>
      <c r="AM331" s="243"/>
      <c r="AN331" s="243"/>
      <c r="AO331" s="243"/>
      <c r="AP331" s="250"/>
      <c r="AQ331" s="313"/>
      <c r="AR331" s="631"/>
      <c r="AS331" s="243"/>
      <c r="AT331" s="243"/>
      <c r="AU331" s="243"/>
      <c r="AV331" s="243"/>
      <c r="AW331" s="243"/>
      <c r="AX331" s="243"/>
      <c r="AY331" s="243"/>
      <c r="AZ331" s="243"/>
      <c r="BA331" s="243"/>
      <c r="BB331" s="243"/>
      <c r="BC331" s="243"/>
      <c r="BD331" s="243"/>
      <c r="BE331" s="243"/>
      <c r="BF331" s="243"/>
      <c r="BG331" s="243"/>
      <c r="BH331" s="243"/>
      <c r="BI331" s="243"/>
      <c r="BJ331" s="243"/>
      <c r="BK331" s="243"/>
      <c r="BL331" s="243"/>
    </row>
    <row r="332">
      <c r="A332" s="633"/>
      <c r="B332" s="547"/>
      <c r="C332" s="547"/>
      <c r="D332" s="547"/>
      <c r="E332" s="547"/>
      <c r="F332" s="547"/>
      <c r="G332" s="547"/>
      <c r="H332" s="547"/>
      <c r="I332" s="547"/>
      <c r="J332" s="555"/>
      <c r="K332" s="555"/>
      <c r="L332" s="243"/>
      <c r="M332" s="243"/>
      <c r="N332" s="243"/>
      <c r="O332" s="243"/>
      <c r="P332" s="243"/>
      <c r="Q332" s="243"/>
      <c r="R332" s="243"/>
      <c r="S332" s="243"/>
      <c r="T332" s="243"/>
      <c r="U332" s="243"/>
      <c r="V332" s="243"/>
      <c r="W332" s="243"/>
      <c r="X332" s="243"/>
      <c r="Y332" s="243"/>
      <c r="Z332" s="243"/>
      <c r="AA332" s="243"/>
      <c r="AB332" s="243"/>
      <c r="AC332" s="243"/>
      <c r="AD332" s="243"/>
      <c r="AE332" s="243"/>
      <c r="AF332" s="243"/>
      <c r="AG332" s="243"/>
      <c r="AH332" s="243"/>
      <c r="AI332" s="243"/>
      <c r="AJ332" s="938"/>
      <c r="AK332" s="555"/>
      <c r="AL332" s="243"/>
      <c r="AM332" s="243"/>
      <c r="AN332" s="243"/>
      <c r="AO332" s="243"/>
      <c r="AP332" s="250"/>
      <c r="AQ332" s="313"/>
      <c r="AR332" s="631"/>
      <c r="AS332" s="243"/>
      <c r="AT332" s="243"/>
      <c r="AU332" s="243"/>
      <c r="AV332" s="243"/>
      <c r="AW332" s="243"/>
      <c r="AX332" s="243"/>
      <c r="AY332" s="243"/>
      <c r="AZ332" s="243"/>
      <c r="BA332" s="243"/>
      <c r="BB332" s="243"/>
      <c r="BC332" s="243"/>
      <c r="BD332" s="243"/>
      <c r="BE332" s="243"/>
      <c r="BF332" s="243"/>
      <c r="BG332" s="243"/>
      <c r="BH332" s="243"/>
      <c r="BI332" s="243"/>
      <c r="BJ332" s="243"/>
      <c r="BK332" s="243"/>
      <c r="BL332" s="243"/>
    </row>
    <row r="333">
      <c r="A333" s="633"/>
      <c r="B333" s="547"/>
      <c r="C333" s="547"/>
      <c r="D333" s="547"/>
      <c r="E333" s="547"/>
      <c r="F333" s="547"/>
      <c r="G333" s="547"/>
      <c r="H333" s="547"/>
      <c r="I333" s="547"/>
      <c r="J333" s="555"/>
      <c r="K333" s="555"/>
      <c r="L333" s="243"/>
      <c r="M333" s="243"/>
      <c r="N333" s="243"/>
      <c r="O333" s="243"/>
      <c r="P333" s="243"/>
      <c r="Q333" s="243"/>
      <c r="R333" s="243"/>
      <c r="S333" s="243"/>
      <c r="T333" s="243"/>
      <c r="U333" s="243"/>
      <c r="V333" s="243"/>
      <c r="W333" s="243"/>
      <c r="X333" s="243"/>
      <c r="Y333" s="243"/>
      <c r="Z333" s="243"/>
      <c r="AA333" s="243"/>
      <c r="AB333" s="243"/>
      <c r="AC333" s="243"/>
      <c r="AD333" s="243"/>
      <c r="AE333" s="243"/>
      <c r="AF333" s="243"/>
      <c r="AG333" s="243"/>
      <c r="AH333" s="243"/>
      <c r="AI333" s="243"/>
      <c r="AJ333" s="938"/>
      <c r="AK333" s="555"/>
      <c r="AL333" s="243"/>
      <c r="AM333" s="243"/>
      <c r="AN333" s="243"/>
      <c r="AO333" s="243"/>
      <c r="AP333" s="250"/>
      <c r="AQ333" s="313"/>
      <c r="AR333" s="631"/>
      <c r="AS333" s="243"/>
      <c r="AT333" s="243"/>
      <c r="AU333" s="243"/>
      <c r="AV333" s="243"/>
      <c r="AW333" s="243"/>
      <c r="AX333" s="243"/>
      <c r="AY333" s="243"/>
      <c r="AZ333" s="243"/>
      <c r="BA333" s="243"/>
      <c r="BB333" s="243"/>
      <c r="BC333" s="243"/>
      <c r="BD333" s="243"/>
      <c r="BE333" s="243"/>
      <c r="BF333" s="243"/>
      <c r="BG333" s="243"/>
      <c r="BH333" s="243"/>
      <c r="BI333" s="243"/>
      <c r="BJ333" s="243"/>
      <c r="BK333" s="243"/>
      <c r="BL333" s="243"/>
    </row>
    <row r="334">
      <c r="A334" s="633"/>
      <c r="B334" s="547"/>
      <c r="C334" s="547"/>
      <c r="D334" s="547"/>
      <c r="E334" s="547"/>
      <c r="F334" s="547"/>
      <c r="G334" s="547"/>
      <c r="H334" s="547"/>
      <c r="I334" s="547"/>
      <c r="J334" s="555"/>
      <c r="K334" s="555"/>
      <c r="L334" s="243"/>
      <c r="M334" s="243"/>
      <c r="N334" s="243"/>
      <c r="O334" s="243"/>
      <c r="P334" s="243"/>
      <c r="Q334" s="243"/>
      <c r="R334" s="243"/>
      <c r="S334" s="243"/>
      <c r="T334" s="243"/>
      <c r="U334" s="243"/>
      <c r="V334" s="243"/>
      <c r="W334" s="243"/>
      <c r="X334" s="243"/>
      <c r="Y334" s="243"/>
      <c r="Z334" s="243"/>
      <c r="AA334" s="243"/>
      <c r="AB334" s="243"/>
      <c r="AC334" s="243"/>
      <c r="AD334" s="243"/>
      <c r="AE334" s="243"/>
      <c r="AF334" s="243"/>
      <c r="AG334" s="243"/>
      <c r="AH334" s="243"/>
      <c r="AI334" s="243"/>
      <c r="AJ334" s="938"/>
      <c r="AK334" s="555"/>
      <c r="AL334" s="243"/>
      <c r="AM334" s="243"/>
      <c r="AN334" s="243"/>
      <c r="AO334" s="243"/>
      <c r="AP334" s="250"/>
      <c r="AQ334" s="313"/>
      <c r="AR334" s="631"/>
      <c r="AS334" s="243"/>
      <c r="AT334" s="243"/>
      <c r="AU334" s="243"/>
      <c r="AV334" s="243"/>
      <c r="AW334" s="243"/>
      <c r="AX334" s="243"/>
      <c r="AY334" s="243"/>
      <c r="AZ334" s="243"/>
      <c r="BA334" s="243"/>
      <c r="BB334" s="243"/>
      <c r="BC334" s="243"/>
      <c r="BD334" s="243"/>
      <c r="BE334" s="243"/>
      <c r="BF334" s="243"/>
      <c r="BG334" s="243"/>
      <c r="BH334" s="243"/>
      <c r="BI334" s="243"/>
      <c r="BJ334" s="243"/>
      <c r="BK334" s="243"/>
      <c r="BL334" s="243"/>
    </row>
    <row r="335">
      <c r="A335" s="633"/>
      <c r="B335" s="547"/>
      <c r="C335" s="547"/>
      <c r="D335" s="547"/>
      <c r="E335" s="547"/>
      <c r="F335" s="547"/>
      <c r="G335" s="547"/>
      <c r="H335" s="547"/>
      <c r="I335" s="547"/>
      <c r="J335" s="555"/>
      <c r="K335" s="555"/>
      <c r="L335" s="243"/>
      <c r="M335" s="243"/>
      <c r="N335" s="243"/>
      <c r="O335" s="243"/>
      <c r="P335" s="243"/>
      <c r="Q335" s="243"/>
      <c r="R335" s="243"/>
      <c r="S335" s="243"/>
      <c r="T335" s="243"/>
      <c r="U335" s="243"/>
      <c r="V335" s="243"/>
      <c r="W335" s="243"/>
      <c r="X335" s="243"/>
      <c r="Y335" s="243"/>
      <c r="Z335" s="243"/>
      <c r="AA335" s="243"/>
      <c r="AB335" s="243"/>
      <c r="AC335" s="243"/>
      <c r="AD335" s="243"/>
      <c r="AE335" s="243"/>
      <c r="AF335" s="243"/>
      <c r="AG335" s="243"/>
      <c r="AH335" s="243"/>
      <c r="AI335" s="243"/>
      <c r="AJ335" s="938"/>
      <c r="AK335" s="555"/>
      <c r="AL335" s="243"/>
      <c r="AM335" s="243"/>
      <c r="AN335" s="243"/>
      <c r="AO335" s="243"/>
      <c r="AP335" s="250"/>
      <c r="AQ335" s="313"/>
      <c r="AR335" s="631"/>
      <c r="AS335" s="243"/>
      <c r="AT335" s="243"/>
      <c r="AU335" s="243"/>
      <c r="AV335" s="243"/>
      <c r="AW335" s="243"/>
      <c r="AX335" s="243"/>
      <c r="AY335" s="243"/>
      <c r="AZ335" s="243"/>
      <c r="BA335" s="243"/>
      <c r="BB335" s="243"/>
      <c r="BC335" s="243"/>
      <c r="BD335" s="243"/>
      <c r="BE335" s="243"/>
      <c r="BF335" s="243"/>
      <c r="BG335" s="243"/>
      <c r="BH335" s="243"/>
      <c r="BI335" s="243"/>
      <c r="BJ335" s="243"/>
      <c r="BK335" s="243"/>
      <c r="BL335" s="243"/>
    </row>
    <row r="336">
      <c r="A336" s="633"/>
      <c r="B336" s="547"/>
      <c r="C336" s="547"/>
      <c r="D336" s="547"/>
      <c r="E336" s="547"/>
      <c r="F336" s="547"/>
      <c r="G336" s="547"/>
      <c r="H336" s="547"/>
      <c r="I336" s="547"/>
      <c r="J336" s="555"/>
      <c r="K336" s="555"/>
      <c r="L336" s="243"/>
      <c r="M336" s="243"/>
      <c r="N336" s="243"/>
      <c r="O336" s="243"/>
      <c r="P336" s="243"/>
      <c r="Q336" s="243"/>
      <c r="R336" s="243"/>
      <c r="S336" s="243"/>
      <c r="T336" s="243"/>
      <c r="U336" s="243"/>
      <c r="V336" s="243"/>
      <c r="W336" s="243"/>
      <c r="X336" s="243"/>
      <c r="Y336" s="243"/>
      <c r="Z336" s="243"/>
      <c r="AA336" s="243"/>
      <c r="AB336" s="243"/>
      <c r="AC336" s="243"/>
      <c r="AD336" s="243"/>
      <c r="AE336" s="243"/>
      <c r="AF336" s="243"/>
      <c r="AG336" s="243"/>
      <c r="AH336" s="243"/>
      <c r="AI336" s="243"/>
      <c r="AJ336" s="938"/>
      <c r="AK336" s="555"/>
      <c r="AL336" s="243"/>
      <c r="AM336" s="243"/>
      <c r="AN336" s="243"/>
      <c r="AO336" s="243"/>
      <c r="AP336" s="250"/>
      <c r="AQ336" s="313"/>
      <c r="AR336" s="631"/>
      <c r="AS336" s="243"/>
      <c r="AT336" s="243"/>
      <c r="AU336" s="243"/>
      <c r="AV336" s="243"/>
      <c r="AW336" s="243"/>
      <c r="AX336" s="243"/>
      <c r="AY336" s="243"/>
      <c r="AZ336" s="243"/>
      <c r="BA336" s="243"/>
      <c r="BB336" s="243"/>
      <c r="BC336" s="243"/>
      <c r="BD336" s="243"/>
      <c r="BE336" s="243"/>
      <c r="BF336" s="243"/>
      <c r="BG336" s="243"/>
      <c r="BH336" s="243"/>
      <c r="BI336" s="243"/>
      <c r="BJ336" s="243"/>
      <c r="BK336" s="243"/>
      <c r="BL336" s="243"/>
    </row>
    <row r="337">
      <c r="A337" s="633"/>
      <c r="B337" s="547"/>
      <c r="C337" s="547"/>
      <c r="D337" s="547"/>
      <c r="E337" s="547"/>
      <c r="F337" s="547"/>
      <c r="G337" s="547"/>
      <c r="H337" s="547"/>
      <c r="I337" s="547"/>
      <c r="J337" s="555"/>
      <c r="K337" s="555"/>
      <c r="L337" s="243"/>
      <c r="M337" s="243"/>
      <c r="N337" s="243"/>
      <c r="O337" s="243"/>
      <c r="P337" s="243"/>
      <c r="Q337" s="243"/>
      <c r="R337" s="243"/>
      <c r="S337" s="243"/>
      <c r="T337" s="243"/>
      <c r="U337" s="243"/>
      <c r="V337" s="243"/>
      <c r="W337" s="243"/>
      <c r="X337" s="243"/>
      <c r="Y337" s="243"/>
      <c r="Z337" s="243"/>
      <c r="AA337" s="243"/>
      <c r="AB337" s="243"/>
      <c r="AC337" s="243"/>
      <c r="AD337" s="243"/>
      <c r="AE337" s="243"/>
      <c r="AF337" s="243"/>
      <c r="AG337" s="243"/>
      <c r="AH337" s="243"/>
      <c r="AI337" s="243"/>
      <c r="AJ337" s="938"/>
      <c r="AK337" s="555"/>
      <c r="AL337" s="243"/>
      <c r="AM337" s="243"/>
      <c r="AN337" s="243"/>
      <c r="AO337" s="243"/>
      <c r="AP337" s="250"/>
      <c r="AQ337" s="313"/>
      <c r="AR337" s="631"/>
      <c r="AS337" s="243"/>
      <c r="AT337" s="243"/>
      <c r="AU337" s="243"/>
      <c r="AV337" s="243"/>
      <c r="AW337" s="243"/>
      <c r="AX337" s="243"/>
      <c r="AY337" s="243"/>
      <c r="AZ337" s="243"/>
      <c r="BA337" s="243"/>
      <c r="BB337" s="243"/>
      <c r="BC337" s="243"/>
      <c r="BD337" s="243"/>
      <c r="BE337" s="243"/>
      <c r="BF337" s="243"/>
      <c r="BG337" s="243"/>
      <c r="BH337" s="243"/>
      <c r="BI337" s="243"/>
      <c r="BJ337" s="243"/>
      <c r="BK337" s="243"/>
      <c r="BL337" s="243"/>
    </row>
    <row r="338">
      <c r="A338" s="633"/>
      <c r="B338" s="547"/>
      <c r="C338" s="547"/>
      <c r="D338" s="547"/>
      <c r="E338" s="547"/>
      <c r="F338" s="547"/>
      <c r="G338" s="547"/>
      <c r="H338" s="547"/>
      <c r="I338" s="547"/>
      <c r="J338" s="555"/>
      <c r="K338" s="555"/>
      <c r="L338" s="243"/>
      <c r="M338" s="243"/>
      <c r="N338" s="243"/>
      <c r="O338" s="243"/>
      <c r="P338" s="243"/>
      <c r="Q338" s="243"/>
      <c r="R338" s="243"/>
      <c r="S338" s="243"/>
      <c r="T338" s="243"/>
      <c r="U338" s="243"/>
      <c r="V338" s="243"/>
      <c r="W338" s="243"/>
      <c r="X338" s="243"/>
      <c r="Y338" s="243"/>
      <c r="Z338" s="243"/>
      <c r="AA338" s="243"/>
      <c r="AB338" s="243"/>
      <c r="AC338" s="243"/>
      <c r="AD338" s="243"/>
      <c r="AE338" s="243"/>
      <c r="AF338" s="243"/>
      <c r="AG338" s="243"/>
      <c r="AH338" s="243"/>
      <c r="AI338" s="243"/>
      <c r="AJ338" s="938"/>
      <c r="AK338" s="555"/>
      <c r="AL338" s="243"/>
      <c r="AM338" s="243"/>
      <c r="AN338" s="243"/>
      <c r="AO338" s="243"/>
      <c r="AP338" s="250"/>
      <c r="AQ338" s="313"/>
      <c r="AR338" s="631"/>
      <c r="AS338" s="243"/>
      <c r="AT338" s="243"/>
      <c r="AU338" s="243"/>
      <c r="AV338" s="243"/>
      <c r="AW338" s="243"/>
      <c r="AX338" s="243"/>
      <c r="AY338" s="243"/>
      <c r="AZ338" s="243"/>
      <c r="BA338" s="243"/>
      <c r="BB338" s="243"/>
      <c r="BC338" s="243"/>
      <c r="BD338" s="243"/>
      <c r="BE338" s="243"/>
      <c r="BF338" s="243"/>
      <c r="BG338" s="243"/>
      <c r="BH338" s="243"/>
      <c r="BI338" s="243"/>
      <c r="BJ338" s="243"/>
      <c r="BK338" s="243"/>
      <c r="BL338" s="243"/>
    </row>
    <row r="339">
      <c r="A339" s="633"/>
      <c r="B339" s="547"/>
      <c r="C339" s="547"/>
      <c r="D339" s="547"/>
      <c r="E339" s="547"/>
      <c r="F339" s="547"/>
      <c r="G339" s="547"/>
      <c r="H339" s="547"/>
      <c r="I339" s="547"/>
      <c r="J339" s="555"/>
      <c r="K339" s="555"/>
      <c r="L339" s="243"/>
      <c r="M339" s="243"/>
      <c r="N339" s="243"/>
      <c r="O339" s="243"/>
      <c r="P339" s="243"/>
      <c r="Q339" s="243"/>
      <c r="R339" s="243"/>
      <c r="S339" s="243"/>
      <c r="T339" s="243"/>
      <c r="U339" s="243"/>
      <c r="V339" s="243"/>
      <c r="W339" s="243"/>
      <c r="X339" s="243"/>
      <c r="Y339" s="243"/>
      <c r="Z339" s="243"/>
      <c r="AA339" s="243"/>
      <c r="AB339" s="243"/>
      <c r="AC339" s="243"/>
      <c r="AD339" s="243"/>
      <c r="AE339" s="243"/>
      <c r="AF339" s="243"/>
      <c r="AG339" s="243"/>
      <c r="AH339" s="243"/>
      <c r="AI339" s="243"/>
      <c r="AJ339" s="938"/>
      <c r="AK339" s="555"/>
      <c r="AL339" s="243"/>
      <c r="AM339" s="243"/>
      <c r="AN339" s="243"/>
      <c r="AO339" s="243"/>
      <c r="AP339" s="250"/>
      <c r="AQ339" s="313"/>
      <c r="AR339" s="631"/>
      <c r="AS339" s="243"/>
      <c r="AT339" s="243"/>
      <c r="AU339" s="243"/>
      <c r="AV339" s="243"/>
      <c r="AW339" s="243"/>
      <c r="AX339" s="243"/>
      <c r="AY339" s="243"/>
      <c r="AZ339" s="243"/>
      <c r="BA339" s="243"/>
      <c r="BB339" s="243"/>
      <c r="BC339" s="243"/>
      <c r="BD339" s="243"/>
      <c r="BE339" s="243"/>
      <c r="BF339" s="243"/>
      <c r="BG339" s="243"/>
      <c r="BH339" s="243"/>
      <c r="BI339" s="243"/>
      <c r="BJ339" s="243"/>
      <c r="BK339" s="243"/>
      <c r="BL339" s="243"/>
    </row>
    <row r="340">
      <c r="A340" s="633"/>
      <c r="B340" s="547"/>
      <c r="C340" s="547"/>
      <c r="D340" s="547"/>
      <c r="E340" s="547"/>
      <c r="F340" s="547"/>
      <c r="G340" s="547"/>
      <c r="H340" s="547"/>
      <c r="I340" s="547"/>
      <c r="J340" s="555"/>
      <c r="K340" s="555"/>
      <c r="L340" s="243"/>
      <c r="M340" s="243"/>
      <c r="N340" s="243"/>
      <c r="O340" s="243"/>
      <c r="P340" s="243"/>
      <c r="Q340" s="243"/>
      <c r="R340" s="243"/>
      <c r="S340" s="243"/>
      <c r="T340" s="243"/>
      <c r="U340" s="243"/>
      <c r="V340" s="243"/>
      <c r="W340" s="243"/>
      <c r="X340" s="243"/>
      <c r="Y340" s="243"/>
      <c r="Z340" s="243"/>
      <c r="AA340" s="243"/>
      <c r="AB340" s="243"/>
      <c r="AC340" s="243"/>
      <c r="AD340" s="243"/>
      <c r="AE340" s="243"/>
      <c r="AF340" s="243"/>
      <c r="AG340" s="243"/>
      <c r="AH340" s="243"/>
      <c r="AI340" s="243"/>
      <c r="AJ340" s="938"/>
      <c r="AK340" s="555"/>
      <c r="AL340" s="243"/>
      <c r="AM340" s="243"/>
      <c r="AN340" s="243"/>
      <c r="AO340" s="243"/>
      <c r="AP340" s="250"/>
      <c r="AQ340" s="313"/>
      <c r="AR340" s="631"/>
      <c r="AS340" s="243"/>
      <c r="AT340" s="243"/>
      <c r="AU340" s="243"/>
      <c r="AV340" s="243"/>
      <c r="AW340" s="243"/>
      <c r="AX340" s="243"/>
      <c r="AY340" s="243"/>
      <c r="AZ340" s="243"/>
      <c r="BA340" s="243"/>
      <c r="BB340" s="243"/>
      <c r="BC340" s="243"/>
      <c r="BD340" s="243"/>
      <c r="BE340" s="243"/>
      <c r="BF340" s="243"/>
      <c r="BG340" s="243"/>
      <c r="BH340" s="243"/>
      <c r="BI340" s="243"/>
      <c r="BJ340" s="243"/>
      <c r="BK340" s="243"/>
      <c r="BL340" s="243"/>
    </row>
    <row r="341">
      <c r="A341" s="633"/>
      <c r="B341" s="547"/>
      <c r="C341" s="547"/>
      <c r="D341" s="547"/>
      <c r="E341" s="547"/>
      <c r="F341" s="547"/>
      <c r="G341" s="547"/>
      <c r="H341" s="547"/>
      <c r="I341" s="547"/>
      <c r="J341" s="555"/>
      <c r="K341" s="555"/>
      <c r="L341" s="243"/>
      <c r="M341" s="243"/>
      <c r="N341" s="243"/>
      <c r="O341" s="243"/>
      <c r="P341" s="243"/>
      <c r="Q341" s="243"/>
      <c r="R341" s="243"/>
      <c r="S341" s="243"/>
      <c r="T341" s="243"/>
      <c r="U341" s="243"/>
      <c r="V341" s="243"/>
      <c r="W341" s="243"/>
      <c r="X341" s="243"/>
      <c r="Y341" s="243"/>
      <c r="Z341" s="243"/>
      <c r="AA341" s="243"/>
      <c r="AB341" s="243"/>
      <c r="AC341" s="243"/>
      <c r="AD341" s="243"/>
      <c r="AE341" s="243"/>
      <c r="AF341" s="243"/>
      <c r="AG341" s="243"/>
      <c r="AH341" s="243"/>
      <c r="AI341" s="243"/>
      <c r="AJ341" s="938"/>
      <c r="AK341" s="555"/>
      <c r="AL341" s="243"/>
      <c r="AM341" s="243"/>
      <c r="AN341" s="243"/>
      <c r="AO341" s="243"/>
      <c r="AP341" s="250"/>
      <c r="AQ341" s="313"/>
      <c r="AR341" s="631"/>
      <c r="AS341" s="243"/>
      <c r="AT341" s="243"/>
      <c r="AU341" s="243"/>
      <c r="AV341" s="243"/>
      <c r="AW341" s="243"/>
      <c r="AX341" s="243"/>
      <c r="AY341" s="243"/>
      <c r="AZ341" s="243"/>
      <c r="BA341" s="243"/>
      <c r="BB341" s="243"/>
      <c r="BC341" s="243"/>
      <c r="BD341" s="243"/>
      <c r="BE341" s="243"/>
      <c r="BF341" s="243"/>
      <c r="BG341" s="243"/>
      <c r="BH341" s="243"/>
      <c r="BI341" s="243"/>
      <c r="BJ341" s="243"/>
      <c r="BK341" s="243"/>
      <c r="BL341" s="243"/>
    </row>
    <row r="342">
      <c r="A342" s="633"/>
      <c r="B342" s="547"/>
      <c r="C342" s="547"/>
      <c r="D342" s="547"/>
      <c r="E342" s="547"/>
      <c r="F342" s="547"/>
      <c r="G342" s="547"/>
      <c r="H342" s="547"/>
      <c r="I342" s="547"/>
      <c r="J342" s="555"/>
      <c r="K342" s="555"/>
      <c r="L342" s="243"/>
      <c r="M342" s="243"/>
      <c r="N342" s="243"/>
      <c r="O342" s="243"/>
      <c r="P342" s="243"/>
      <c r="Q342" s="243"/>
      <c r="R342" s="243"/>
      <c r="S342" s="243"/>
      <c r="T342" s="243"/>
      <c r="U342" s="243"/>
      <c r="V342" s="243"/>
      <c r="W342" s="243"/>
      <c r="X342" s="243"/>
      <c r="Y342" s="243"/>
      <c r="Z342" s="243"/>
      <c r="AA342" s="243"/>
      <c r="AB342" s="243"/>
      <c r="AC342" s="243"/>
      <c r="AD342" s="243"/>
      <c r="AE342" s="243"/>
      <c r="AF342" s="243"/>
      <c r="AG342" s="243"/>
      <c r="AH342" s="243"/>
      <c r="AI342" s="243"/>
      <c r="AJ342" s="938"/>
      <c r="AK342" s="555"/>
      <c r="AL342" s="243"/>
      <c r="AM342" s="243"/>
      <c r="AN342" s="243"/>
      <c r="AO342" s="243"/>
      <c r="AP342" s="250"/>
      <c r="AQ342" s="313"/>
      <c r="AR342" s="631"/>
      <c r="AS342" s="243"/>
      <c r="AT342" s="243"/>
      <c r="AU342" s="243"/>
      <c r="AV342" s="243"/>
      <c r="AW342" s="243"/>
      <c r="AX342" s="243"/>
      <c r="AY342" s="243"/>
      <c r="AZ342" s="243"/>
      <c r="BA342" s="243"/>
      <c r="BB342" s="243"/>
      <c r="BC342" s="243"/>
      <c r="BD342" s="243"/>
      <c r="BE342" s="243"/>
      <c r="BF342" s="243"/>
      <c r="BG342" s="243"/>
      <c r="BH342" s="243"/>
      <c r="BI342" s="243"/>
      <c r="BJ342" s="243"/>
      <c r="BK342" s="243"/>
      <c r="BL342" s="243"/>
    </row>
    <row r="343">
      <c r="A343" s="633"/>
      <c r="B343" s="547"/>
      <c r="C343" s="547"/>
      <c r="D343" s="547"/>
      <c r="E343" s="547"/>
      <c r="F343" s="547"/>
      <c r="G343" s="547"/>
      <c r="H343" s="547"/>
      <c r="I343" s="547"/>
      <c r="J343" s="555"/>
      <c r="K343" s="555"/>
      <c r="L343" s="243"/>
      <c r="M343" s="243"/>
      <c r="N343" s="243"/>
      <c r="O343" s="243"/>
      <c r="P343" s="243"/>
      <c r="Q343" s="243"/>
      <c r="R343" s="243"/>
      <c r="S343" s="243"/>
      <c r="T343" s="243"/>
      <c r="U343" s="243"/>
      <c r="V343" s="243"/>
      <c r="W343" s="243"/>
      <c r="X343" s="243"/>
      <c r="Y343" s="243"/>
      <c r="Z343" s="243"/>
      <c r="AA343" s="243"/>
      <c r="AB343" s="243"/>
      <c r="AC343" s="243"/>
      <c r="AD343" s="243"/>
      <c r="AE343" s="243"/>
      <c r="AF343" s="243"/>
      <c r="AG343" s="243"/>
      <c r="AH343" s="243"/>
      <c r="AI343" s="243"/>
      <c r="AJ343" s="938"/>
      <c r="AK343" s="555"/>
      <c r="AL343" s="243"/>
      <c r="AM343" s="243"/>
      <c r="AN343" s="243"/>
      <c r="AO343" s="243"/>
      <c r="AP343" s="250"/>
      <c r="AQ343" s="313"/>
      <c r="AR343" s="631"/>
      <c r="AS343" s="243"/>
      <c r="AT343" s="243"/>
      <c r="AU343" s="243"/>
      <c r="AV343" s="243"/>
      <c r="AW343" s="243"/>
      <c r="AX343" s="243"/>
      <c r="AY343" s="243"/>
      <c r="AZ343" s="243"/>
      <c r="BA343" s="243"/>
      <c r="BB343" s="243"/>
      <c r="BC343" s="243"/>
      <c r="BD343" s="243"/>
      <c r="BE343" s="243"/>
      <c r="BF343" s="243"/>
      <c r="BG343" s="243"/>
      <c r="BH343" s="243"/>
      <c r="BI343" s="243"/>
      <c r="BJ343" s="243"/>
      <c r="BK343" s="243"/>
      <c r="BL343" s="243"/>
    </row>
    <row r="344">
      <c r="A344" s="633"/>
      <c r="B344" s="547"/>
      <c r="C344" s="547"/>
      <c r="D344" s="547"/>
      <c r="E344" s="547"/>
      <c r="F344" s="547"/>
      <c r="G344" s="547"/>
      <c r="H344" s="547"/>
      <c r="I344" s="547"/>
      <c r="J344" s="555"/>
      <c r="K344" s="555"/>
      <c r="L344" s="243"/>
      <c r="M344" s="243"/>
      <c r="N344" s="243"/>
      <c r="O344" s="243"/>
      <c r="P344" s="243"/>
      <c r="Q344" s="243"/>
      <c r="R344" s="243"/>
      <c r="S344" s="243"/>
      <c r="T344" s="243"/>
      <c r="U344" s="243"/>
      <c r="V344" s="243"/>
      <c r="W344" s="243"/>
      <c r="X344" s="243"/>
      <c r="Y344" s="243"/>
      <c r="Z344" s="243"/>
      <c r="AA344" s="243"/>
      <c r="AB344" s="243"/>
      <c r="AC344" s="243"/>
      <c r="AD344" s="243"/>
      <c r="AE344" s="243"/>
      <c r="AF344" s="243"/>
      <c r="AG344" s="243"/>
      <c r="AH344" s="243"/>
      <c r="AI344" s="243"/>
      <c r="AJ344" s="938"/>
      <c r="AK344" s="555"/>
      <c r="AL344" s="243"/>
      <c r="AM344" s="243"/>
      <c r="AN344" s="243"/>
      <c r="AO344" s="243"/>
      <c r="AP344" s="250"/>
      <c r="AQ344" s="313"/>
      <c r="AR344" s="631"/>
      <c r="AS344" s="243"/>
      <c r="AT344" s="243"/>
      <c r="AU344" s="243"/>
      <c r="AV344" s="243"/>
      <c r="AW344" s="243"/>
      <c r="AX344" s="243"/>
      <c r="AY344" s="243"/>
      <c r="AZ344" s="243"/>
      <c r="BA344" s="243"/>
      <c r="BB344" s="243"/>
      <c r="BC344" s="243"/>
      <c r="BD344" s="243"/>
      <c r="BE344" s="243"/>
      <c r="BF344" s="243"/>
      <c r="BG344" s="243"/>
      <c r="BH344" s="243"/>
      <c r="BI344" s="243"/>
      <c r="BJ344" s="243"/>
      <c r="BK344" s="243"/>
      <c r="BL344" s="243"/>
    </row>
    <row r="345">
      <c r="A345" s="633"/>
      <c r="B345" s="547"/>
      <c r="C345" s="547"/>
      <c r="D345" s="547"/>
      <c r="E345" s="547"/>
      <c r="F345" s="547"/>
      <c r="G345" s="547"/>
      <c r="H345" s="547"/>
      <c r="I345" s="547"/>
      <c r="J345" s="555"/>
      <c r="K345" s="555"/>
      <c r="L345" s="243"/>
      <c r="M345" s="243"/>
      <c r="N345" s="243"/>
      <c r="O345" s="243"/>
      <c r="P345" s="243"/>
      <c r="Q345" s="243"/>
      <c r="R345" s="243"/>
      <c r="S345" s="243"/>
      <c r="T345" s="243"/>
      <c r="U345" s="243"/>
      <c r="V345" s="243"/>
      <c r="W345" s="243"/>
      <c r="X345" s="243"/>
      <c r="Y345" s="243"/>
      <c r="Z345" s="243"/>
      <c r="AA345" s="243"/>
      <c r="AB345" s="243"/>
      <c r="AC345" s="243"/>
      <c r="AD345" s="243"/>
      <c r="AE345" s="243"/>
      <c r="AF345" s="243"/>
      <c r="AG345" s="243"/>
      <c r="AH345" s="243"/>
      <c r="AI345" s="243"/>
      <c r="AJ345" s="938"/>
      <c r="AK345" s="555"/>
      <c r="AL345" s="243"/>
      <c r="AM345" s="243"/>
      <c r="AN345" s="243"/>
      <c r="AO345" s="243"/>
      <c r="AP345" s="250"/>
      <c r="AQ345" s="313"/>
      <c r="AR345" s="631"/>
      <c r="AS345" s="243"/>
      <c r="AT345" s="243"/>
      <c r="AU345" s="243"/>
      <c r="AV345" s="243"/>
      <c r="AW345" s="243"/>
      <c r="AX345" s="243"/>
      <c r="AY345" s="243"/>
      <c r="AZ345" s="243"/>
      <c r="BA345" s="243"/>
      <c r="BB345" s="243"/>
      <c r="BC345" s="243"/>
      <c r="BD345" s="243"/>
      <c r="BE345" s="243"/>
      <c r="BF345" s="243"/>
      <c r="BG345" s="243"/>
      <c r="BH345" s="243"/>
      <c r="BI345" s="243"/>
      <c r="BJ345" s="243"/>
      <c r="BK345" s="243"/>
      <c r="BL345" s="243"/>
    </row>
    <row r="346">
      <c r="A346" s="633"/>
      <c r="B346" s="547"/>
      <c r="C346" s="547"/>
      <c r="D346" s="547"/>
      <c r="E346" s="547"/>
      <c r="F346" s="547"/>
      <c r="G346" s="547"/>
      <c r="H346" s="547"/>
      <c r="I346" s="547"/>
      <c r="J346" s="555"/>
      <c r="K346" s="555"/>
      <c r="L346" s="243"/>
      <c r="M346" s="243"/>
      <c r="N346" s="243"/>
      <c r="O346" s="243"/>
      <c r="P346" s="243"/>
      <c r="Q346" s="243"/>
      <c r="R346" s="243"/>
      <c r="S346" s="243"/>
      <c r="T346" s="243"/>
      <c r="U346" s="243"/>
      <c r="V346" s="243"/>
      <c r="W346" s="243"/>
      <c r="X346" s="243"/>
      <c r="Y346" s="243"/>
      <c r="Z346" s="243"/>
      <c r="AA346" s="243"/>
      <c r="AB346" s="243"/>
      <c r="AC346" s="243"/>
      <c r="AD346" s="243"/>
      <c r="AE346" s="243"/>
      <c r="AF346" s="243"/>
      <c r="AG346" s="243"/>
      <c r="AH346" s="243"/>
      <c r="AI346" s="243"/>
      <c r="AJ346" s="938"/>
      <c r="AK346" s="555"/>
      <c r="AL346" s="243"/>
      <c r="AM346" s="243"/>
      <c r="AN346" s="243"/>
      <c r="AO346" s="243"/>
      <c r="AP346" s="250"/>
      <c r="AQ346" s="313"/>
      <c r="AR346" s="631"/>
      <c r="AS346" s="243"/>
      <c r="AT346" s="243"/>
      <c r="AU346" s="243"/>
      <c r="AV346" s="243"/>
      <c r="AW346" s="243"/>
      <c r="AX346" s="243"/>
      <c r="AY346" s="243"/>
      <c r="AZ346" s="243"/>
      <c r="BA346" s="243"/>
      <c r="BB346" s="243"/>
      <c r="BC346" s="243"/>
      <c r="BD346" s="243"/>
      <c r="BE346" s="243"/>
      <c r="BF346" s="243"/>
      <c r="BG346" s="243"/>
      <c r="BH346" s="243"/>
      <c r="BI346" s="243"/>
      <c r="BJ346" s="243"/>
      <c r="BK346" s="243"/>
      <c r="BL346" s="243"/>
    </row>
    <row r="347">
      <c r="A347" s="633"/>
      <c r="B347" s="547"/>
      <c r="C347" s="547"/>
      <c r="D347" s="547"/>
      <c r="E347" s="547"/>
      <c r="F347" s="547"/>
      <c r="G347" s="547"/>
      <c r="H347" s="547"/>
      <c r="I347" s="547"/>
      <c r="J347" s="555"/>
      <c r="K347" s="555"/>
      <c r="L347" s="243"/>
      <c r="M347" s="243"/>
      <c r="N347" s="243"/>
      <c r="O347" s="243"/>
      <c r="P347" s="243"/>
      <c r="Q347" s="243"/>
      <c r="R347" s="243"/>
      <c r="S347" s="243"/>
      <c r="T347" s="243"/>
      <c r="U347" s="243"/>
      <c r="V347" s="243"/>
      <c r="W347" s="243"/>
      <c r="X347" s="243"/>
      <c r="Y347" s="243"/>
      <c r="Z347" s="243"/>
      <c r="AA347" s="243"/>
      <c r="AB347" s="243"/>
      <c r="AC347" s="243"/>
      <c r="AD347" s="243"/>
      <c r="AE347" s="243"/>
      <c r="AF347" s="243"/>
      <c r="AG347" s="243"/>
      <c r="AH347" s="243"/>
      <c r="AI347" s="243"/>
      <c r="AJ347" s="938"/>
      <c r="AK347" s="555"/>
      <c r="AL347" s="243"/>
      <c r="AM347" s="243"/>
      <c r="AN347" s="243"/>
      <c r="AO347" s="243"/>
      <c r="AP347" s="250"/>
      <c r="AQ347" s="313"/>
      <c r="AR347" s="631"/>
      <c r="AS347" s="243"/>
      <c r="AT347" s="243"/>
      <c r="AU347" s="243"/>
      <c r="AV347" s="243"/>
      <c r="AW347" s="243"/>
      <c r="AX347" s="243"/>
      <c r="AY347" s="243"/>
      <c r="AZ347" s="243"/>
      <c r="BA347" s="243"/>
      <c r="BB347" s="243"/>
      <c r="BC347" s="243"/>
      <c r="BD347" s="243"/>
      <c r="BE347" s="243"/>
      <c r="BF347" s="243"/>
      <c r="BG347" s="243"/>
      <c r="BH347" s="243"/>
      <c r="BI347" s="243"/>
      <c r="BJ347" s="243"/>
      <c r="BK347" s="243"/>
      <c r="BL347" s="243"/>
    </row>
    <row r="348">
      <c r="A348" s="633"/>
      <c r="B348" s="547"/>
      <c r="C348" s="547"/>
      <c r="D348" s="547"/>
      <c r="E348" s="547"/>
      <c r="F348" s="547"/>
      <c r="G348" s="547"/>
      <c r="H348" s="547"/>
      <c r="I348" s="547"/>
      <c r="J348" s="555"/>
      <c r="K348" s="555"/>
      <c r="L348" s="243"/>
      <c r="M348" s="243"/>
      <c r="N348" s="243"/>
      <c r="O348" s="243"/>
      <c r="P348" s="243"/>
      <c r="Q348" s="243"/>
      <c r="R348" s="243"/>
      <c r="S348" s="243"/>
      <c r="T348" s="243"/>
      <c r="U348" s="243"/>
      <c r="V348" s="243"/>
      <c r="W348" s="243"/>
      <c r="X348" s="243"/>
      <c r="Y348" s="243"/>
      <c r="Z348" s="243"/>
      <c r="AA348" s="243"/>
      <c r="AB348" s="243"/>
      <c r="AC348" s="243"/>
      <c r="AD348" s="243"/>
      <c r="AE348" s="243"/>
      <c r="AF348" s="243"/>
      <c r="AG348" s="243"/>
      <c r="AH348" s="243"/>
      <c r="AI348" s="243"/>
      <c r="AJ348" s="938"/>
      <c r="AK348" s="555"/>
      <c r="AL348" s="243"/>
      <c r="AM348" s="243"/>
      <c r="AN348" s="243"/>
      <c r="AO348" s="243"/>
      <c r="AP348" s="250"/>
      <c r="AQ348" s="313"/>
      <c r="AR348" s="631"/>
      <c r="AS348" s="243"/>
      <c r="AT348" s="243"/>
      <c r="AU348" s="243"/>
      <c r="AV348" s="243"/>
      <c r="AW348" s="243"/>
      <c r="AX348" s="243"/>
      <c r="AY348" s="243"/>
      <c r="AZ348" s="243"/>
      <c r="BA348" s="243"/>
      <c r="BB348" s="243"/>
      <c r="BC348" s="243"/>
      <c r="BD348" s="243"/>
      <c r="BE348" s="243"/>
      <c r="BF348" s="243"/>
      <c r="BG348" s="243"/>
      <c r="BH348" s="243"/>
      <c r="BI348" s="243"/>
      <c r="BJ348" s="243"/>
      <c r="BK348" s="243"/>
      <c r="BL348" s="243"/>
    </row>
    <row r="349">
      <c r="A349" s="633"/>
      <c r="B349" s="547"/>
      <c r="C349" s="547"/>
      <c r="D349" s="547"/>
      <c r="E349" s="547"/>
      <c r="F349" s="547"/>
      <c r="G349" s="547"/>
      <c r="H349" s="547"/>
      <c r="I349" s="547"/>
      <c r="J349" s="555"/>
      <c r="K349" s="555"/>
      <c r="L349" s="243"/>
      <c r="M349" s="243"/>
      <c r="N349" s="243"/>
      <c r="O349" s="243"/>
      <c r="P349" s="243"/>
      <c r="Q349" s="243"/>
      <c r="R349" s="243"/>
      <c r="S349" s="243"/>
      <c r="T349" s="243"/>
      <c r="U349" s="243"/>
      <c r="V349" s="243"/>
      <c r="W349" s="243"/>
      <c r="X349" s="243"/>
      <c r="Y349" s="243"/>
      <c r="Z349" s="243"/>
      <c r="AA349" s="243"/>
      <c r="AB349" s="243"/>
      <c r="AC349" s="243"/>
      <c r="AD349" s="243"/>
      <c r="AE349" s="243"/>
      <c r="AF349" s="243"/>
      <c r="AG349" s="243"/>
      <c r="AH349" s="243"/>
      <c r="AI349" s="243"/>
      <c r="AJ349" s="938"/>
      <c r="AK349" s="555"/>
      <c r="AL349" s="243"/>
      <c r="AM349" s="243"/>
      <c r="AN349" s="243"/>
      <c r="AO349" s="243"/>
      <c r="AP349" s="250"/>
      <c r="AQ349" s="313"/>
      <c r="AR349" s="631"/>
      <c r="AS349" s="243"/>
      <c r="AT349" s="243"/>
      <c r="AU349" s="243"/>
      <c r="AV349" s="243"/>
      <c r="AW349" s="243"/>
      <c r="AX349" s="243"/>
      <c r="AY349" s="243"/>
      <c r="AZ349" s="243"/>
      <c r="BA349" s="243"/>
      <c r="BB349" s="243"/>
      <c r="BC349" s="243"/>
      <c r="BD349" s="243"/>
      <c r="BE349" s="243"/>
      <c r="BF349" s="243"/>
      <c r="BG349" s="243"/>
      <c r="BH349" s="243"/>
      <c r="BI349" s="243"/>
      <c r="BJ349" s="243"/>
      <c r="BK349" s="243"/>
      <c r="BL349" s="243"/>
    </row>
    <row r="350">
      <c r="A350" s="633"/>
      <c r="B350" s="547"/>
      <c r="C350" s="547"/>
      <c r="D350" s="547"/>
      <c r="E350" s="547"/>
      <c r="F350" s="547"/>
      <c r="G350" s="547"/>
      <c r="H350" s="547"/>
      <c r="I350" s="547"/>
      <c r="J350" s="555"/>
      <c r="K350" s="555"/>
      <c r="L350" s="243"/>
      <c r="M350" s="243"/>
      <c r="N350" s="243"/>
      <c r="O350" s="243"/>
      <c r="P350" s="243"/>
      <c r="Q350" s="243"/>
      <c r="R350" s="243"/>
      <c r="S350" s="243"/>
      <c r="T350" s="243"/>
      <c r="U350" s="243"/>
      <c r="V350" s="243"/>
      <c r="W350" s="243"/>
      <c r="X350" s="243"/>
      <c r="Y350" s="243"/>
      <c r="Z350" s="243"/>
      <c r="AA350" s="243"/>
      <c r="AB350" s="243"/>
      <c r="AC350" s="243"/>
      <c r="AD350" s="243"/>
      <c r="AE350" s="243"/>
      <c r="AF350" s="243"/>
      <c r="AG350" s="243"/>
      <c r="AH350" s="243"/>
      <c r="AI350" s="243"/>
      <c r="AJ350" s="938"/>
      <c r="AK350" s="555"/>
      <c r="AL350" s="243"/>
      <c r="AM350" s="243"/>
      <c r="AN350" s="243"/>
      <c r="AO350" s="243"/>
      <c r="AP350" s="250"/>
      <c r="AQ350" s="313"/>
      <c r="AR350" s="631"/>
      <c r="AS350" s="243"/>
      <c r="AT350" s="243"/>
      <c r="AU350" s="243"/>
      <c r="AV350" s="243"/>
      <c r="AW350" s="243"/>
      <c r="AX350" s="243"/>
      <c r="AY350" s="243"/>
      <c r="AZ350" s="243"/>
      <c r="BA350" s="243"/>
      <c r="BB350" s="243"/>
      <c r="BC350" s="243"/>
      <c r="BD350" s="243"/>
      <c r="BE350" s="243"/>
      <c r="BF350" s="243"/>
      <c r="BG350" s="243"/>
      <c r="BH350" s="243"/>
      <c r="BI350" s="243"/>
      <c r="BJ350" s="243"/>
      <c r="BK350" s="243"/>
      <c r="BL350" s="243"/>
    </row>
    <row r="351">
      <c r="A351" s="633"/>
      <c r="B351" s="547"/>
      <c r="C351" s="547"/>
      <c r="D351" s="547"/>
      <c r="E351" s="547"/>
      <c r="F351" s="547"/>
      <c r="G351" s="547"/>
      <c r="H351" s="547"/>
      <c r="I351" s="547"/>
      <c r="J351" s="555"/>
      <c r="K351" s="555"/>
      <c r="L351" s="243"/>
      <c r="M351" s="243"/>
      <c r="N351" s="243"/>
      <c r="O351" s="243"/>
      <c r="P351" s="243"/>
      <c r="Q351" s="243"/>
      <c r="R351" s="243"/>
      <c r="S351" s="243"/>
      <c r="T351" s="243"/>
      <c r="U351" s="243"/>
      <c r="V351" s="243"/>
      <c r="W351" s="243"/>
      <c r="X351" s="243"/>
      <c r="Y351" s="243"/>
      <c r="Z351" s="243"/>
      <c r="AA351" s="243"/>
      <c r="AB351" s="243"/>
      <c r="AC351" s="243"/>
      <c r="AD351" s="243"/>
      <c r="AE351" s="243"/>
      <c r="AF351" s="243"/>
      <c r="AG351" s="243"/>
      <c r="AH351" s="243"/>
      <c r="AI351" s="243"/>
      <c r="AJ351" s="938"/>
      <c r="AK351" s="555"/>
      <c r="AL351" s="243"/>
      <c r="AM351" s="243"/>
      <c r="AN351" s="243"/>
      <c r="AO351" s="243"/>
      <c r="AP351" s="250"/>
      <c r="AQ351" s="313"/>
      <c r="AR351" s="631"/>
      <c r="AS351" s="243"/>
      <c r="AT351" s="243"/>
      <c r="AU351" s="243"/>
      <c r="AV351" s="243"/>
      <c r="AW351" s="243"/>
      <c r="AX351" s="243"/>
      <c r="AY351" s="243"/>
      <c r="AZ351" s="243"/>
      <c r="BA351" s="243"/>
      <c r="BB351" s="243"/>
      <c r="BC351" s="243"/>
      <c r="BD351" s="243"/>
      <c r="BE351" s="243"/>
      <c r="BF351" s="243"/>
      <c r="BG351" s="243"/>
      <c r="BH351" s="243"/>
      <c r="BI351" s="243"/>
      <c r="BJ351" s="243"/>
      <c r="BK351" s="243"/>
      <c r="BL351" s="243"/>
    </row>
    <row r="352">
      <c r="A352" s="633"/>
      <c r="B352" s="547"/>
      <c r="C352" s="547"/>
      <c r="D352" s="547"/>
      <c r="E352" s="547"/>
      <c r="F352" s="547"/>
      <c r="G352" s="547"/>
      <c r="H352" s="547"/>
      <c r="I352" s="547"/>
      <c r="J352" s="555"/>
      <c r="K352" s="555"/>
      <c r="L352" s="243"/>
      <c r="M352" s="243"/>
      <c r="N352" s="243"/>
      <c r="O352" s="243"/>
      <c r="P352" s="243"/>
      <c r="Q352" s="243"/>
      <c r="R352" s="243"/>
      <c r="S352" s="243"/>
      <c r="T352" s="243"/>
      <c r="U352" s="243"/>
      <c r="V352" s="243"/>
      <c r="W352" s="243"/>
      <c r="X352" s="243"/>
      <c r="Y352" s="243"/>
      <c r="Z352" s="243"/>
      <c r="AA352" s="243"/>
      <c r="AB352" s="243"/>
      <c r="AC352" s="243"/>
      <c r="AD352" s="243"/>
      <c r="AE352" s="243"/>
      <c r="AF352" s="243"/>
      <c r="AG352" s="243"/>
      <c r="AH352" s="243"/>
      <c r="AI352" s="243"/>
      <c r="AJ352" s="938"/>
      <c r="AK352" s="555"/>
      <c r="AL352" s="243"/>
      <c r="AM352" s="243"/>
      <c r="AN352" s="243"/>
      <c r="AO352" s="243"/>
      <c r="AP352" s="250"/>
      <c r="AQ352" s="313"/>
      <c r="AR352" s="631"/>
      <c r="AS352" s="243"/>
      <c r="AT352" s="243"/>
      <c r="AU352" s="243"/>
      <c r="AV352" s="243"/>
      <c r="AW352" s="243"/>
      <c r="AX352" s="243"/>
      <c r="AY352" s="243"/>
      <c r="AZ352" s="243"/>
      <c r="BA352" s="243"/>
      <c r="BB352" s="243"/>
      <c r="BC352" s="243"/>
      <c r="BD352" s="243"/>
      <c r="BE352" s="243"/>
      <c r="BF352" s="243"/>
      <c r="BG352" s="243"/>
      <c r="BH352" s="243"/>
      <c r="BI352" s="243"/>
      <c r="BJ352" s="243"/>
      <c r="BK352" s="243"/>
      <c r="BL352" s="243"/>
    </row>
    <row r="353">
      <c r="A353" s="633"/>
      <c r="B353" s="547"/>
      <c r="C353" s="547"/>
      <c r="D353" s="547"/>
      <c r="E353" s="547"/>
      <c r="F353" s="547"/>
      <c r="G353" s="547"/>
      <c r="H353" s="547"/>
      <c r="I353" s="547"/>
      <c r="J353" s="555"/>
      <c r="K353" s="555"/>
      <c r="L353" s="243"/>
      <c r="M353" s="243"/>
      <c r="N353" s="243"/>
      <c r="O353" s="243"/>
      <c r="P353" s="243"/>
      <c r="Q353" s="243"/>
      <c r="R353" s="243"/>
      <c r="S353" s="243"/>
      <c r="T353" s="243"/>
      <c r="U353" s="243"/>
      <c r="V353" s="243"/>
      <c r="W353" s="243"/>
      <c r="X353" s="243"/>
      <c r="Y353" s="243"/>
      <c r="Z353" s="243"/>
      <c r="AA353" s="243"/>
      <c r="AB353" s="243"/>
      <c r="AC353" s="243"/>
      <c r="AD353" s="243"/>
      <c r="AE353" s="243"/>
      <c r="AF353" s="243"/>
      <c r="AG353" s="243"/>
      <c r="AH353" s="243"/>
      <c r="AI353" s="243"/>
      <c r="AJ353" s="938"/>
      <c r="AK353" s="555"/>
      <c r="AL353" s="243"/>
      <c r="AM353" s="243"/>
      <c r="AN353" s="243"/>
      <c r="AO353" s="243"/>
      <c r="AP353" s="250"/>
      <c r="AQ353" s="313"/>
      <c r="AR353" s="631"/>
      <c r="AS353" s="243"/>
      <c r="AT353" s="243"/>
      <c r="AU353" s="243"/>
      <c r="AV353" s="243"/>
      <c r="AW353" s="243"/>
      <c r="AX353" s="243"/>
      <c r="AY353" s="243"/>
      <c r="AZ353" s="243"/>
      <c r="BA353" s="243"/>
      <c r="BB353" s="243"/>
      <c r="BC353" s="243"/>
      <c r="BD353" s="243"/>
      <c r="BE353" s="243"/>
      <c r="BF353" s="243"/>
      <c r="BG353" s="243"/>
      <c r="BH353" s="243"/>
      <c r="BI353" s="243"/>
      <c r="BJ353" s="243"/>
      <c r="BK353" s="243"/>
      <c r="BL353" s="243"/>
    </row>
    <row r="354">
      <c r="A354" s="633"/>
      <c r="B354" s="547"/>
      <c r="C354" s="547"/>
      <c r="D354" s="547"/>
      <c r="E354" s="547"/>
      <c r="F354" s="547"/>
      <c r="G354" s="547"/>
      <c r="H354" s="547"/>
      <c r="I354" s="547"/>
      <c r="J354" s="555"/>
      <c r="K354" s="555"/>
      <c r="L354" s="243"/>
      <c r="M354" s="243"/>
      <c r="N354" s="243"/>
      <c r="O354" s="243"/>
      <c r="P354" s="243"/>
      <c r="Q354" s="243"/>
      <c r="R354" s="243"/>
      <c r="S354" s="243"/>
      <c r="T354" s="243"/>
      <c r="U354" s="243"/>
      <c r="V354" s="243"/>
      <c r="W354" s="243"/>
      <c r="X354" s="243"/>
      <c r="Y354" s="243"/>
      <c r="Z354" s="243"/>
      <c r="AA354" s="243"/>
      <c r="AB354" s="243"/>
      <c r="AC354" s="243"/>
      <c r="AD354" s="243"/>
      <c r="AE354" s="243"/>
      <c r="AF354" s="243"/>
      <c r="AG354" s="243"/>
      <c r="AH354" s="243"/>
      <c r="AI354" s="243"/>
      <c r="AJ354" s="938"/>
      <c r="AK354" s="555"/>
      <c r="AL354" s="243"/>
      <c r="AM354" s="243"/>
      <c r="AN354" s="243"/>
      <c r="AO354" s="243"/>
      <c r="AP354" s="250"/>
      <c r="AQ354" s="313"/>
      <c r="AR354" s="631"/>
      <c r="AS354" s="243"/>
      <c r="AT354" s="243"/>
      <c r="AU354" s="243"/>
      <c r="AV354" s="243"/>
      <c r="AW354" s="243"/>
      <c r="AX354" s="243"/>
      <c r="AY354" s="243"/>
      <c r="AZ354" s="243"/>
      <c r="BA354" s="243"/>
      <c r="BB354" s="243"/>
      <c r="BC354" s="243"/>
      <c r="BD354" s="243"/>
      <c r="BE354" s="243"/>
      <c r="BF354" s="243"/>
      <c r="BG354" s="243"/>
      <c r="BH354" s="243"/>
      <c r="BI354" s="243"/>
      <c r="BJ354" s="243"/>
      <c r="BK354" s="243"/>
      <c r="BL354" s="243"/>
    </row>
    <row r="355">
      <c r="A355" s="633"/>
      <c r="B355" s="547"/>
      <c r="C355" s="547"/>
      <c r="D355" s="547"/>
      <c r="E355" s="547"/>
      <c r="F355" s="547"/>
      <c r="G355" s="547"/>
      <c r="H355" s="547"/>
      <c r="I355" s="547"/>
      <c r="J355" s="555"/>
      <c r="K355" s="555"/>
      <c r="L355" s="243"/>
      <c r="M355" s="243"/>
      <c r="N355" s="243"/>
      <c r="O355" s="243"/>
      <c r="P355" s="243"/>
      <c r="Q355" s="243"/>
      <c r="R355" s="243"/>
      <c r="S355" s="243"/>
      <c r="T355" s="243"/>
      <c r="U355" s="243"/>
      <c r="V355" s="243"/>
      <c r="W355" s="243"/>
      <c r="X355" s="243"/>
      <c r="Y355" s="243"/>
      <c r="Z355" s="243"/>
      <c r="AA355" s="243"/>
      <c r="AB355" s="243"/>
      <c r="AC355" s="243"/>
      <c r="AD355" s="243"/>
      <c r="AE355" s="243"/>
      <c r="AF355" s="243"/>
      <c r="AG355" s="243"/>
      <c r="AH355" s="243"/>
      <c r="AI355" s="243"/>
      <c r="AJ355" s="938"/>
      <c r="AK355" s="555"/>
      <c r="AL355" s="243"/>
      <c r="AM355" s="243"/>
      <c r="AN355" s="243"/>
      <c r="AO355" s="243"/>
      <c r="AP355" s="250"/>
      <c r="AQ355" s="313"/>
      <c r="AR355" s="631"/>
      <c r="AS355" s="243"/>
      <c r="AT355" s="243"/>
      <c r="AU355" s="243"/>
      <c r="AV355" s="243"/>
      <c r="AW355" s="243"/>
      <c r="AX355" s="243"/>
      <c r="AY355" s="243"/>
      <c r="AZ355" s="243"/>
      <c r="BA355" s="243"/>
      <c r="BB355" s="243"/>
      <c r="BC355" s="243"/>
      <c r="BD355" s="243"/>
      <c r="BE355" s="243"/>
      <c r="BF355" s="243"/>
      <c r="BG355" s="243"/>
      <c r="BH355" s="243"/>
      <c r="BI355" s="243"/>
      <c r="BJ355" s="243"/>
      <c r="BK355" s="243"/>
      <c r="BL355" s="243"/>
    </row>
    <row r="356">
      <c r="A356" s="633"/>
      <c r="B356" s="547"/>
      <c r="C356" s="547"/>
      <c r="D356" s="547"/>
      <c r="E356" s="547"/>
      <c r="F356" s="547"/>
      <c r="G356" s="547"/>
      <c r="H356" s="547"/>
      <c r="I356" s="547"/>
      <c r="J356" s="555"/>
      <c r="K356" s="555"/>
      <c r="L356" s="243"/>
      <c r="M356" s="243"/>
      <c r="N356" s="243"/>
      <c r="O356" s="243"/>
      <c r="P356" s="243"/>
      <c r="Q356" s="243"/>
      <c r="R356" s="243"/>
      <c r="S356" s="243"/>
      <c r="T356" s="243"/>
      <c r="U356" s="243"/>
      <c r="V356" s="243"/>
      <c r="W356" s="243"/>
      <c r="X356" s="243"/>
      <c r="Y356" s="243"/>
      <c r="Z356" s="243"/>
      <c r="AA356" s="243"/>
      <c r="AB356" s="243"/>
      <c r="AC356" s="243"/>
      <c r="AD356" s="243"/>
      <c r="AE356" s="243"/>
      <c r="AF356" s="243"/>
      <c r="AG356" s="243"/>
      <c r="AH356" s="243"/>
      <c r="AI356" s="243"/>
      <c r="AJ356" s="938"/>
      <c r="AK356" s="555"/>
      <c r="AL356" s="243"/>
      <c r="AM356" s="243"/>
      <c r="AN356" s="243"/>
      <c r="AO356" s="243"/>
      <c r="AP356" s="250"/>
      <c r="AQ356" s="313"/>
      <c r="AR356" s="631"/>
      <c r="AS356" s="243"/>
      <c r="AT356" s="243"/>
      <c r="AU356" s="243"/>
      <c r="AV356" s="243"/>
      <c r="AW356" s="243"/>
      <c r="AX356" s="243"/>
      <c r="AY356" s="243"/>
      <c r="AZ356" s="243"/>
      <c r="BA356" s="243"/>
      <c r="BB356" s="243"/>
      <c r="BC356" s="243"/>
      <c r="BD356" s="243"/>
      <c r="BE356" s="243"/>
      <c r="BF356" s="243"/>
      <c r="BG356" s="243"/>
      <c r="BH356" s="243"/>
      <c r="BI356" s="243"/>
      <c r="BJ356" s="243"/>
      <c r="BK356" s="243"/>
      <c r="BL356" s="243"/>
    </row>
    <row r="357">
      <c r="A357" s="633"/>
      <c r="B357" s="547"/>
      <c r="C357" s="547"/>
      <c r="D357" s="547"/>
      <c r="E357" s="547"/>
      <c r="F357" s="547"/>
      <c r="G357" s="547"/>
      <c r="H357" s="547"/>
      <c r="I357" s="547"/>
      <c r="J357" s="555"/>
      <c r="K357" s="555"/>
      <c r="L357" s="243"/>
      <c r="M357" s="243"/>
      <c r="N357" s="243"/>
      <c r="O357" s="243"/>
      <c r="P357" s="243"/>
      <c r="Q357" s="243"/>
      <c r="R357" s="243"/>
      <c r="S357" s="243"/>
      <c r="T357" s="243"/>
      <c r="U357" s="243"/>
      <c r="V357" s="243"/>
      <c r="W357" s="243"/>
      <c r="X357" s="243"/>
      <c r="Y357" s="243"/>
      <c r="Z357" s="243"/>
      <c r="AA357" s="243"/>
      <c r="AB357" s="243"/>
      <c r="AC357" s="243"/>
      <c r="AD357" s="243"/>
      <c r="AE357" s="243"/>
      <c r="AF357" s="243"/>
      <c r="AG357" s="243"/>
      <c r="AH357" s="243"/>
      <c r="AI357" s="243"/>
      <c r="AJ357" s="938"/>
      <c r="AK357" s="555"/>
      <c r="AL357" s="243"/>
      <c r="AM357" s="243"/>
      <c r="AN357" s="243"/>
      <c r="AO357" s="243"/>
      <c r="AP357" s="250"/>
      <c r="AQ357" s="313"/>
      <c r="AR357" s="631"/>
      <c r="AS357" s="243"/>
      <c r="AT357" s="243"/>
      <c r="AU357" s="243"/>
      <c r="AV357" s="243"/>
      <c r="AW357" s="243"/>
      <c r="AX357" s="243"/>
      <c r="AY357" s="243"/>
      <c r="AZ357" s="243"/>
      <c r="BA357" s="243"/>
      <c r="BB357" s="243"/>
      <c r="BC357" s="243"/>
      <c r="BD357" s="243"/>
      <c r="BE357" s="243"/>
      <c r="BF357" s="243"/>
      <c r="BG357" s="243"/>
      <c r="BH357" s="243"/>
      <c r="BI357" s="243"/>
      <c r="BJ357" s="243"/>
      <c r="BK357" s="243"/>
      <c r="BL357" s="243"/>
    </row>
    <row r="358">
      <c r="A358" s="633"/>
      <c r="B358" s="547"/>
      <c r="C358" s="547"/>
      <c r="D358" s="547"/>
      <c r="E358" s="547"/>
      <c r="F358" s="547"/>
      <c r="G358" s="547"/>
      <c r="H358" s="547"/>
      <c r="I358" s="547"/>
      <c r="J358" s="555"/>
      <c r="K358" s="555"/>
      <c r="L358" s="243"/>
      <c r="M358" s="243"/>
      <c r="N358" s="243"/>
      <c r="O358" s="243"/>
      <c r="P358" s="243"/>
      <c r="Q358" s="243"/>
      <c r="R358" s="243"/>
      <c r="S358" s="243"/>
      <c r="T358" s="243"/>
      <c r="U358" s="243"/>
      <c r="V358" s="243"/>
      <c r="W358" s="243"/>
      <c r="X358" s="243"/>
      <c r="Y358" s="243"/>
      <c r="Z358" s="243"/>
      <c r="AA358" s="243"/>
      <c r="AB358" s="243"/>
      <c r="AC358" s="243"/>
      <c r="AD358" s="243"/>
      <c r="AE358" s="243"/>
      <c r="AF358" s="243"/>
      <c r="AG358" s="243"/>
      <c r="AH358" s="243"/>
      <c r="AI358" s="243"/>
      <c r="AJ358" s="938"/>
      <c r="AK358" s="555"/>
      <c r="AL358" s="243"/>
      <c r="AM358" s="243"/>
      <c r="AN358" s="243"/>
      <c r="AO358" s="243"/>
      <c r="AP358" s="250"/>
      <c r="AQ358" s="313"/>
      <c r="AR358" s="631"/>
      <c r="AS358" s="243"/>
      <c r="AT358" s="243"/>
      <c r="AU358" s="243"/>
      <c r="AV358" s="243"/>
      <c r="AW358" s="243"/>
      <c r="AX358" s="243"/>
      <c r="AY358" s="243"/>
      <c r="AZ358" s="243"/>
      <c r="BA358" s="243"/>
      <c r="BB358" s="243"/>
      <c r="BC358" s="243"/>
      <c r="BD358" s="243"/>
      <c r="BE358" s="243"/>
      <c r="BF358" s="243"/>
      <c r="BG358" s="243"/>
      <c r="BH358" s="243"/>
      <c r="BI358" s="243"/>
      <c r="BJ358" s="243"/>
      <c r="BK358" s="243"/>
      <c r="BL358" s="243"/>
    </row>
    <row r="359">
      <c r="A359" s="633"/>
      <c r="B359" s="547"/>
      <c r="C359" s="547"/>
      <c r="D359" s="547"/>
      <c r="E359" s="547"/>
      <c r="F359" s="547"/>
      <c r="G359" s="547"/>
      <c r="H359" s="547"/>
      <c r="I359" s="547"/>
      <c r="J359" s="555"/>
      <c r="K359" s="555"/>
      <c r="L359" s="243"/>
      <c r="M359" s="243"/>
      <c r="N359" s="243"/>
      <c r="O359" s="243"/>
      <c r="P359" s="243"/>
      <c r="Q359" s="243"/>
      <c r="R359" s="243"/>
      <c r="S359" s="243"/>
      <c r="T359" s="243"/>
      <c r="U359" s="243"/>
      <c r="V359" s="243"/>
      <c r="W359" s="243"/>
      <c r="X359" s="243"/>
      <c r="Y359" s="243"/>
      <c r="Z359" s="243"/>
      <c r="AA359" s="243"/>
      <c r="AB359" s="243"/>
      <c r="AC359" s="243"/>
      <c r="AD359" s="243"/>
      <c r="AE359" s="243"/>
      <c r="AF359" s="243"/>
      <c r="AG359" s="243"/>
      <c r="AH359" s="243"/>
      <c r="AI359" s="243"/>
      <c r="AJ359" s="938"/>
      <c r="AK359" s="555"/>
      <c r="AL359" s="243"/>
      <c r="AM359" s="243"/>
      <c r="AN359" s="243"/>
      <c r="AO359" s="243"/>
      <c r="AP359" s="250"/>
      <c r="AQ359" s="313"/>
      <c r="AR359" s="631"/>
      <c r="AS359" s="243"/>
      <c r="AT359" s="243"/>
      <c r="AU359" s="243"/>
      <c r="AV359" s="243"/>
      <c r="AW359" s="243"/>
      <c r="AX359" s="243"/>
      <c r="AY359" s="243"/>
      <c r="AZ359" s="243"/>
      <c r="BA359" s="243"/>
      <c r="BB359" s="243"/>
      <c r="BC359" s="243"/>
      <c r="BD359" s="243"/>
      <c r="BE359" s="243"/>
      <c r="BF359" s="243"/>
      <c r="BG359" s="243"/>
      <c r="BH359" s="243"/>
      <c r="BI359" s="243"/>
      <c r="BJ359" s="243"/>
      <c r="BK359" s="243"/>
      <c r="BL359" s="243"/>
    </row>
    <row r="360">
      <c r="A360" s="633"/>
      <c r="B360" s="547"/>
      <c r="C360" s="547"/>
      <c r="D360" s="547"/>
      <c r="E360" s="547"/>
      <c r="F360" s="547"/>
      <c r="G360" s="547"/>
      <c r="H360" s="547"/>
      <c r="I360" s="547"/>
      <c r="J360" s="555"/>
      <c r="K360" s="555"/>
      <c r="L360" s="243"/>
      <c r="M360" s="243"/>
      <c r="N360" s="243"/>
      <c r="O360" s="243"/>
      <c r="P360" s="243"/>
      <c r="Q360" s="243"/>
      <c r="R360" s="243"/>
      <c r="S360" s="243"/>
      <c r="T360" s="243"/>
      <c r="U360" s="243"/>
      <c r="V360" s="243"/>
      <c r="W360" s="243"/>
      <c r="X360" s="243"/>
      <c r="Y360" s="243"/>
      <c r="Z360" s="243"/>
      <c r="AA360" s="243"/>
      <c r="AB360" s="243"/>
      <c r="AC360" s="243"/>
      <c r="AD360" s="243"/>
      <c r="AE360" s="243"/>
      <c r="AF360" s="243"/>
      <c r="AG360" s="243"/>
      <c r="AH360" s="243"/>
      <c r="AI360" s="243"/>
      <c r="AJ360" s="938"/>
      <c r="AK360" s="555"/>
      <c r="AL360" s="243"/>
      <c r="AM360" s="243"/>
      <c r="AN360" s="243"/>
      <c r="AO360" s="243"/>
      <c r="AP360" s="250"/>
      <c r="AQ360" s="313"/>
      <c r="AR360" s="631"/>
      <c r="AS360" s="243"/>
      <c r="AT360" s="243"/>
      <c r="AU360" s="243"/>
      <c r="AV360" s="243"/>
      <c r="AW360" s="243"/>
      <c r="AX360" s="243"/>
      <c r="AY360" s="243"/>
      <c r="AZ360" s="243"/>
      <c r="BA360" s="243"/>
      <c r="BB360" s="243"/>
      <c r="BC360" s="243"/>
      <c r="BD360" s="243"/>
      <c r="BE360" s="243"/>
      <c r="BF360" s="243"/>
      <c r="BG360" s="243"/>
      <c r="BH360" s="243"/>
      <c r="BI360" s="243"/>
      <c r="BJ360" s="243"/>
      <c r="BK360" s="243"/>
      <c r="BL360" s="243"/>
    </row>
    <row r="361">
      <c r="A361" s="633"/>
      <c r="B361" s="547"/>
      <c r="C361" s="547"/>
      <c r="D361" s="547"/>
      <c r="E361" s="547"/>
      <c r="F361" s="547"/>
      <c r="G361" s="547"/>
      <c r="H361" s="547"/>
      <c r="I361" s="547"/>
      <c r="J361" s="555"/>
      <c r="K361" s="555"/>
      <c r="L361" s="243"/>
      <c r="M361" s="243"/>
      <c r="N361" s="243"/>
      <c r="O361" s="243"/>
      <c r="P361" s="243"/>
      <c r="Q361" s="243"/>
      <c r="R361" s="243"/>
      <c r="S361" s="243"/>
      <c r="T361" s="243"/>
      <c r="U361" s="243"/>
      <c r="V361" s="243"/>
      <c r="W361" s="243"/>
      <c r="X361" s="243"/>
      <c r="Y361" s="243"/>
      <c r="Z361" s="243"/>
      <c r="AA361" s="243"/>
      <c r="AB361" s="243"/>
      <c r="AC361" s="243"/>
      <c r="AD361" s="243"/>
      <c r="AE361" s="243"/>
      <c r="AF361" s="243"/>
      <c r="AG361" s="243"/>
      <c r="AH361" s="243"/>
      <c r="AI361" s="243"/>
      <c r="AJ361" s="938"/>
      <c r="AK361" s="555"/>
      <c r="AL361" s="243"/>
      <c r="AM361" s="243"/>
      <c r="AN361" s="243"/>
      <c r="AO361" s="243"/>
      <c r="AP361" s="250"/>
      <c r="AQ361" s="313"/>
      <c r="AR361" s="631"/>
      <c r="AS361" s="243"/>
      <c r="AT361" s="243"/>
      <c r="AU361" s="243"/>
      <c r="AV361" s="243"/>
      <c r="AW361" s="243"/>
      <c r="AX361" s="243"/>
      <c r="AY361" s="243"/>
      <c r="AZ361" s="243"/>
      <c r="BA361" s="243"/>
      <c r="BB361" s="243"/>
      <c r="BC361" s="243"/>
      <c r="BD361" s="243"/>
      <c r="BE361" s="243"/>
      <c r="BF361" s="243"/>
      <c r="BG361" s="243"/>
      <c r="BH361" s="243"/>
      <c r="BI361" s="243"/>
      <c r="BJ361" s="243"/>
      <c r="BK361" s="243"/>
      <c r="BL361" s="243"/>
    </row>
    <row r="362">
      <c r="A362" s="633"/>
      <c r="B362" s="547"/>
      <c r="C362" s="547"/>
      <c r="D362" s="547"/>
      <c r="E362" s="547"/>
      <c r="F362" s="547"/>
      <c r="G362" s="547"/>
      <c r="H362" s="547"/>
      <c r="I362" s="547"/>
      <c r="J362" s="555"/>
      <c r="K362" s="555"/>
      <c r="L362" s="243"/>
      <c r="M362" s="243"/>
      <c r="N362" s="243"/>
      <c r="O362" s="243"/>
      <c r="P362" s="243"/>
      <c r="Q362" s="243"/>
      <c r="R362" s="243"/>
      <c r="S362" s="243"/>
      <c r="T362" s="243"/>
      <c r="U362" s="243"/>
      <c r="V362" s="243"/>
      <c r="W362" s="243"/>
      <c r="X362" s="243"/>
      <c r="Y362" s="243"/>
      <c r="Z362" s="243"/>
      <c r="AA362" s="243"/>
      <c r="AB362" s="243"/>
      <c r="AC362" s="243"/>
      <c r="AD362" s="243"/>
      <c r="AE362" s="243"/>
      <c r="AF362" s="243"/>
      <c r="AG362" s="243"/>
      <c r="AH362" s="243"/>
      <c r="AI362" s="243"/>
      <c r="AJ362" s="938"/>
      <c r="AK362" s="555"/>
      <c r="AL362" s="243"/>
      <c r="AM362" s="243"/>
      <c r="AN362" s="243"/>
      <c r="AO362" s="243"/>
      <c r="AP362" s="250"/>
      <c r="AQ362" s="313"/>
      <c r="AR362" s="631"/>
      <c r="AS362" s="243"/>
      <c r="AT362" s="243"/>
      <c r="AU362" s="243"/>
      <c r="AV362" s="243"/>
      <c r="AW362" s="243"/>
      <c r="AX362" s="243"/>
      <c r="AY362" s="243"/>
      <c r="AZ362" s="243"/>
      <c r="BA362" s="243"/>
      <c r="BB362" s="243"/>
      <c r="BC362" s="243"/>
      <c r="BD362" s="243"/>
      <c r="BE362" s="243"/>
      <c r="BF362" s="243"/>
      <c r="BG362" s="243"/>
      <c r="BH362" s="243"/>
      <c r="BI362" s="243"/>
      <c r="BJ362" s="243"/>
      <c r="BK362" s="243"/>
      <c r="BL362" s="243"/>
    </row>
    <row r="363">
      <c r="A363" s="633"/>
      <c r="B363" s="547"/>
      <c r="C363" s="547"/>
      <c r="D363" s="547"/>
      <c r="E363" s="547"/>
      <c r="F363" s="547"/>
      <c r="G363" s="547"/>
      <c r="H363" s="547"/>
      <c r="I363" s="547"/>
      <c r="J363" s="555"/>
      <c r="K363" s="555"/>
      <c r="L363" s="243"/>
      <c r="M363" s="243"/>
      <c r="N363" s="243"/>
      <c r="O363" s="243"/>
      <c r="P363" s="243"/>
      <c r="Q363" s="243"/>
      <c r="R363" s="243"/>
      <c r="S363" s="243"/>
      <c r="T363" s="243"/>
      <c r="U363" s="243"/>
      <c r="V363" s="243"/>
      <c r="W363" s="243"/>
      <c r="X363" s="243"/>
      <c r="Y363" s="243"/>
      <c r="Z363" s="243"/>
      <c r="AA363" s="243"/>
      <c r="AB363" s="243"/>
      <c r="AC363" s="243"/>
      <c r="AD363" s="243"/>
      <c r="AE363" s="243"/>
      <c r="AF363" s="243"/>
      <c r="AG363" s="243"/>
      <c r="AH363" s="243"/>
      <c r="AI363" s="243"/>
      <c r="AJ363" s="938"/>
      <c r="AK363" s="555"/>
      <c r="AL363" s="243"/>
      <c r="AM363" s="243"/>
      <c r="AN363" s="243"/>
      <c r="AO363" s="243"/>
      <c r="AP363" s="250"/>
      <c r="AQ363" s="313"/>
      <c r="AR363" s="631"/>
      <c r="AS363" s="243"/>
      <c r="AT363" s="243"/>
      <c r="AU363" s="243"/>
      <c r="AV363" s="243"/>
      <c r="AW363" s="243"/>
      <c r="AX363" s="243"/>
      <c r="AY363" s="243"/>
      <c r="AZ363" s="243"/>
      <c r="BA363" s="243"/>
      <c r="BB363" s="243"/>
      <c r="BC363" s="243"/>
      <c r="BD363" s="243"/>
      <c r="BE363" s="243"/>
      <c r="BF363" s="243"/>
      <c r="BG363" s="243"/>
      <c r="BH363" s="243"/>
      <c r="BI363" s="243"/>
      <c r="BJ363" s="243"/>
      <c r="BK363" s="243"/>
      <c r="BL363" s="243"/>
    </row>
    <row r="364">
      <c r="A364" s="633"/>
      <c r="B364" s="547"/>
      <c r="C364" s="547"/>
      <c r="D364" s="547"/>
      <c r="E364" s="547"/>
      <c r="F364" s="547"/>
      <c r="G364" s="547"/>
      <c r="H364" s="547"/>
      <c r="I364" s="547"/>
      <c r="J364" s="555"/>
      <c r="K364" s="555"/>
      <c r="L364" s="243"/>
      <c r="M364" s="243"/>
      <c r="N364" s="243"/>
      <c r="O364" s="243"/>
      <c r="P364" s="243"/>
      <c r="Q364" s="243"/>
      <c r="R364" s="243"/>
      <c r="S364" s="243"/>
      <c r="T364" s="243"/>
      <c r="U364" s="243"/>
      <c r="V364" s="243"/>
      <c r="W364" s="243"/>
      <c r="X364" s="243"/>
      <c r="Y364" s="243"/>
      <c r="Z364" s="243"/>
      <c r="AA364" s="243"/>
      <c r="AB364" s="243"/>
      <c r="AC364" s="243"/>
      <c r="AD364" s="243"/>
      <c r="AE364" s="243"/>
      <c r="AF364" s="243"/>
      <c r="AG364" s="243"/>
      <c r="AH364" s="243"/>
      <c r="AI364" s="243"/>
      <c r="AJ364" s="938"/>
      <c r="AK364" s="555"/>
      <c r="AL364" s="243"/>
      <c r="AM364" s="243"/>
      <c r="AN364" s="243"/>
      <c r="AO364" s="243"/>
      <c r="AP364" s="250"/>
      <c r="AQ364" s="313"/>
      <c r="AR364" s="631"/>
      <c r="AS364" s="243"/>
      <c r="AT364" s="243"/>
      <c r="AU364" s="243"/>
      <c r="AV364" s="243"/>
      <c r="AW364" s="243"/>
      <c r="AX364" s="243"/>
      <c r="AY364" s="243"/>
      <c r="AZ364" s="243"/>
      <c r="BA364" s="243"/>
      <c r="BB364" s="243"/>
      <c r="BC364" s="243"/>
      <c r="BD364" s="243"/>
      <c r="BE364" s="243"/>
      <c r="BF364" s="243"/>
      <c r="BG364" s="243"/>
      <c r="BH364" s="243"/>
      <c r="BI364" s="243"/>
      <c r="BJ364" s="243"/>
      <c r="BK364" s="243"/>
      <c r="BL364" s="243"/>
    </row>
    <row r="365">
      <c r="A365" s="633"/>
      <c r="B365" s="547"/>
      <c r="C365" s="547"/>
      <c r="D365" s="547"/>
      <c r="E365" s="547"/>
      <c r="F365" s="547"/>
      <c r="G365" s="547"/>
      <c r="H365" s="547"/>
      <c r="I365" s="547"/>
      <c r="J365" s="555"/>
      <c r="K365" s="555"/>
      <c r="L365" s="243"/>
      <c r="M365" s="243"/>
      <c r="N365" s="243"/>
      <c r="O365" s="243"/>
      <c r="P365" s="243"/>
      <c r="Q365" s="243"/>
      <c r="R365" s="243"/>
      <c r="S365" s="243"/>
      <c r="T365" s="243"/>
      <c r="U365" s="243"/>
      <c r="V365" s="243"/>
      <c r="W365" s="243"/>
      <c r="X365" s="243"/>
      <c r="Y365" s="243"/>
      <c r="Z365" s="243"/>
      <c r="AA365" s="243"/>
      <c r="AB365" s="243"/>
      <c r="AC365" s="243"/>
      <c r="AD365" s="243"/>
      <c r="AE365" s="243"/>
      <c r="AF365" s="243"/>
      <c r="AG365" s="243"/>
      <c r="AH365" s="243"/>
      <c r="AI365" s="243"/>
      <c r="AJ365" s="938"/>
      <c r="AK365" s="555"/>
      <c r="AL365" s="243"/>
      <c r="AM365" s="243"/>
      <c r="AN365" s="243"/>
      <c r="AO365" s="243"/>
      <c r="AP365" s="250"/>
      <c r="AQ365" s="313"/>
      <c r="AR365" s="631"/>
      <c r="AS365" s="243"/>
      <c r="AT365" s="243"/>
      <c r="AU365" s="243"/>
      <c r="AV365" s="243"/>
      <c r="AW365" s="243"/>
      <c r="AX365" s="243"/>
      <c r="AY365" s="243"/>
      <c r="AZ365" s="243"/>
      <c r="BA365" s="243"/>
      <c r="BB365" s="243"/>
      <c r="BC365" s="243"/>
      <c r="BD365" s="243"/>
      <c r="BE365" s="243"/>
      <c r="BF365" s="243"/>
      <c r="BG365" s="243"/>
      <c r="BH365" s="243"/>
      <c r="BI365" s="243"/>
      <c r="BJ365" s="243"/>
      <c r="BK365" s="243"/>
      <c r="BL365" s="243"/>
    </row>
    <row r="366">
      <c r="A366" s="633"/>
      <c r="B366" s="547"/>
      <c r="C366" s="547"/>
      <c r="D366" s="547"/>
      <c r="E366" s="547"/>
      <c r="F366" s="547"/>
      <c r="G366" s="547"/>
      <c r="H366" s="547"/>
      <c r="I366" s="547"/>
      <c r="J366" s="555"/>
      <c r="K366" s="555"/>
      <c r="L366" s="243"/>
      <c r="M366" s="243"/>
      <c r="N366" s="243"/>
      <c r="O366" s="243"/>
      <c r="P366" s="243"/>
      <c r="Q366" s="243"/>
      <c r="R366" s="243"/>
      <c r="S366" s="243"/>
      <c r="T366" s="243"/>
      <c r="U366" s="243"/>
      <c r="V366" s="243"/>
      <c r="W366" s="243"/>
      <c r="X366" s="243"/>
      <c r="Y366" s="243"/>
      <c r="Z366" s="243"/>
      <c r="AA366" s="243"/>
      <c r="AB366" s="243"/>
      <c r="AC366" s="243"/>
      <c r="AD366" s="243"/>
      <c r="AE366" s="243"/>
      <c r="AF366" s="243"/>
      <c r="AG366" s="243"/>
      <c r="AH366" s="243"/>
      <c r="AI366" s="243"/>
      <c r="AJ366" s="938"/>
      <c r="AK366" s="555"/>
      <c r="AL366" s="243"/>
      <c r="AM366" s="243"/>
      <c r="AN366" s="243"/>
      <c r="AO366" s="243"/>
      <c r="AP366" s="250"/>
      <c r="AQ366" s="313"/>
      <c r="AR366" s="631"/>
      <c r="AS366" s="243"/>
      <c r="AT366" s="243"/>
      <c r="AU366" s="243"/>
      <c r="AV366" s="243"/>
      <c r="AW366" s="243"/>
      <c r="AX366" s="243"/>
      <c r="AY366" s="243"/>
      <c r="AZ366" s="243"/>
      <c r="BA366" s="243"/>
      <c r="BB366" s="243"/>
      <c r="BC366" s="243"/>
      <c r="BD366" s="243"/>
      <c r="BE366" s="243"/>
      <c r="BF366" s="243"/>
      <c r="BG366" s="243"/>
      <c r="BH366" s="243"/>
      <c r="BI366" s="243"/>
      <c r="BJ366" s="243"/>
      <c r="BK366" s="243"/>
      <c r="BL366" s="243"/>
    </row>
  </sheetData>
  <hyperlinks>
    <hyperlink r:id="rId2" ref="A240"/>
    <hyperlink r:id="rId3" ref="A241"/>
    <hyperlink r:id="rId4" ref="A242"/>
    <hyperlink r:id="rId5" ref="A243"/>
    <hyperlink r:id="rId6" ref="A244"/>
    <hyperlink r:id="rId7" ref="A245"/>
    <hyperlink r:id="rId8" ref="A246"/>
    <hyperlink r:id="rId9" ref="A247"/>
    <hyperlink r:id="rId10" ref="A248"/>
    <hyperlink r:id="rId11" ref="A249"/>
    <hyperlink r:id="rId12" ref="A250"/>
    <hyperlink r:id="rId13" ref="A251"/>
    <hyperlink r:id="rId14" ref="A252"/>
    <hyperlink r:id="rId15" ref="A253"/>
    <hyperlink r:id="rId16" ref="A254"/>
    <hyperlink r:id="rId17" ref="A255"/>
    <hyperlink r:id="rId18" ref="A256"/>
    <hyperlink r:id="rId19" ref="A257"/>
    <hyperlink r:id="rId20" ref="A258"/>
    <hyperlink r:id="rId21" ref="A259"/>
    <hyperlink r:id="rId22" ref="A260"/>
    <hyperlink r:id="rId23" ref="A261"/>
    <hyperlink r:id="rId24" ref="A262"/>
    <hyperlink r:id="rId25" ref="A263"/>
    <hyperlink r:id="rId26" ref="A264"/>
    <hyperlink r:id="rId27" ref="A265"/>
    <hyperlink r:id="rId28" ref="A266"/>
    <hyperlink r:id="rId29" ref="A267"/>
    <hyperlink r:id="rId30" ref="A268"/>
    <hyperlink r:id="rId31" ref="A269"/>
    <hyperlink r:id="rId32" ref="A270"/>
    <hyperlink r:id="rId33" ref="A271"/>
    <hyperlink r:id="rId34" ref="A272"/>
    <hyperlink r:id="rId35" ref="A273"/>
    <hyperlink r:id="rId36" ref="A274"/>
    <hyperlink r:id="rId37" ref="A275"/>
    <hyperlink r:id="rId38" ref="A276"/>
    <hyperlink r:id="rId39" ref="A277"/>
  </hyperlinks>
  <drawing r:id="rId40"/>
  <legacyDrawing r:id="rId4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4" width="12.38"/>
  </cols>
  <sheetData>
    <row r="1">
      <c r="A1" s="741" t="s">
        <v>827</v>
      </c>
      <c r="N1" s="436"/>
    </row>
    <row r="2">
      <c r="A2" s="436"/>
      <c r="B2" s="742" t="s">
        <v>829</v>
      </c>
      <c r="C2" s="743"/>
      <c r="D2" s="743"/>
      <c r="E2" s="743"/>
      <c r="G2" s="744" t="s">
        <v>830</v>
      </c>
      <c r="J2" s="436"/>
      <c r="K2" s="745"/>
      <c r="L2" s="745"/>
      <c r="N2" s="436"/>
      <c r="U2" s="746"/>
    </row>
    <row r="3">
      <c r="A3" s="747"/>
      <c r="B3" s="748" t="str">
        <f>"Class 1: "&amp;'Main Sheet'!$AE$2</f>
        <v>Class 1: Rajah</v>
      </c>
      <c r="C3" s="749" t="str">
        <f>"Class 2: "&amp;'Main Sheet'!$AE$3</f>
        <v>Class 2: Stalker</v>
      </c>
      <c r="D3" s="749" t="str">
        <f>"Class 3: "&amp;'Main Sheet'!$AE$4</f>
        <v>Class 3: </v>
      </c>
      <c r="E3" s="750" t="str">
        <f>'Main Sheet'!AD5</f>
        <v/>
      </c>
      <c r="G3" s="751"/>
      <c r="H3" s="619" t="s">
        <v>832</v>
      </c>
      <c r="I3" s="619" t="s">
        <v>833</v>
      </c>
      <c r="J3" s="619" t="s">
        <v>834</v>
      </c>
      <c r="K3" s="752" t="s">
        <v>835</v>
      </c>
      <c r="L3" s="752" t="s">
        <v>131</v>
      </c>
      <c r="M3" s="619" t="s">
        <v>837</v>
      </c>
      <c r="N3" s="436"/>
      <c r="P3" s="753"/>
      <c r="U3" s="746"/>
    </row>
    <row r="4">
      <c r="A4" s="754" t="s">
        <v>838</v>
      </c>
      <c r="B4" s="755">
        <f>SUM(B5:B25)</f>
        <v>41</v>
      </c>
      <c r="C4" s="756">
        <f t="shared" ref="C4:E4" si="1">sum(C5:C25)</f>
        <v>17</v>
      </c>
      <c r="D4" s="756">
        <f t="shared" si="1"/>
        <v>31</v>
      </c>
      <c r="E4" s="757">
        <f t="shared" si="1"/>
        <v>0</v>
      </c>
      <c r="G4" s="758" t="s">
        <v>839</v>
      </c>
      <c r="H4" s="759">
        <f t="shared" ref="H4:M4" si="2">rounddown(SUM(H5:H8),0)</f>
        <v>47</v>
      </c>
      <c r="I4" s="760">
        <f t="shared" si="2"/>
        <v>54</v>
      </c>
      <c r="J4" s="760">
        <f t="shared" si="2"/>
        <v>51</v>
      </c>
      <c r="K4" s="760">
        <f t="shared" si="2"/>
        <v>56</v>
      </c>
      <c r="L4" s="760">
        <f t="shared" si="2"/>
        <v>66</v>
      </c>
      <c r="M4" s="761">
        <f t="shared" si="2"/>
        <v>89</v>
      </c>
      <c r="N4" s="436"/>
      <c r="O4" s="762" t="s">
        <v>841</v>
      </c>
      <c r="P4" s="762" t="s">
        <v>843</v>
      </c>
    </row>
    <row r="5">
      <c r="A5" s="747" t="s">
        <v>844</v>
      </c>
      <c r="B5" s="763">
        <f>'Main Sheet'!G11*'Main Sheet'!AQ2</f>
        <v>12</v>
      </c>
      <c r="C5" s="765">
        <f>'Main Sheet'!$G$11*'Main Sheet'!$AQ$3</f>
        <v>12</v>
      </c>
      <c r="D5" s="765">
        <f>'Main Sheet'!$G$11*'Main Sheet'!$AQ$4</f>
        <v>0</v>
      </c>
      <c r="E5" s="766">
        <f>'Main Sheet'!$G$11*'Main Sheet'!$AQ$5</f>
        <v>0</v>
      </c>
      <c r="G5" s="436" t="s">
        <v>846</v>
      </c>
      <c r="H5" s="767">
        <f>floor((('Main Sheet'!$AK2+1)/2+'Main Sheet'!$G$11)*'Main Sheet'!$AQ2,1)</f>
        <v>22</v>
      </c>
      <c r="I5" s="768">
        <f>MAX(0,(('Main Sheet'!$AK2+1)/2+'Main Sheet'!$G$11)*('Main Sheet'!$AQ2-1)
 + ('Main Sheet'!$AK2+'Main Sheet'!$G$11))</f>
        <v>25</v>
      </c>
      <c r="J5" s="768">
        <f>(int('Main Sheet'!$AK2/2+1)+'Main Sheet'!$G$11)*'Main Sheet'!$AQ2</f>
        <v>24</v>
      </c>
      <c r="K5" s="768">
        <f>max(0,(int('Main Sheet'!$AK2/2+1)+'Main Sheet'!$G$11)*('Main Sheet'!$AQ2-1)
+ ('Main Sheet'!$AK2+'Main Sheet'!$G$11))</f>
        <v>26</v>
      </c>
      <c r="L5" s="768">
        <f>('Main Sheet'!$AK2+'Main Sheet'!$G$11)*'Main Sheet'!$AQ2</f>
        <v>30</v>
      </c>
      <c r="M5" s="770">
        <f>SUM($B$5:$B$25)</f>
        <v>41</v>
      </c>
      <c r="N5" s="436"/>
      <c r="O5" s="762" t="s">
        <v>859</v>
      </c>
      <c r="P5" s="762" t="s">
        <v>860</v>
      </c>
    </row>
    <row r="6">
      <c r="A6" s="747">
        <v>1.0</v>
      </c>
      <c r="B6" s="772">
        <v>12.0</v>
      </c>
      <c r="C6" s="773"/>
      <c r="D6" s="773"/>
      <c r="E6" s="774"/>
      <c r="G6" s="436" t="s">
        <v>863</v>
      </c>
      <c r="H6" s="775">
        <f>floor((('Main Sheet'!$AK3+1)/2+'Main Sheet'!$G$11)*'Main Sheet'!$AQ3,1)</f>
        <v>25</v>
      </c>
      <c r="I6" s="775">
        <f>If('Main Sheet'!AC6=FALSE,(('Main Sheet'!$AK3+1)/2+'Main Sheet'!$G$11)*'Main Sheet'!$AQ3, MAX(0,(('Main Sheet'!$AK3+1)/2+'Main Sheet'!$G$11)*('Main Sheet'!$AQ3-1)
 + ('Main Sheet'!$AK3+'Main Sheet'!$G$11)))</f>
        <v>29</v>
      </c>
      <c r="J6" s="777">
        <f>(int('Main Sheet'!$AK3/2+1)+'Main Sheet'!$G$11)*'Main Sheet'!$AQ3</f>
        <v>27</v>
      </c>
      <c r="K6" s="777">
        <f>max(0,(int('Main Sheet'!$AK3/2+1)+'Main Sheet'!$G$11)*('Main Sheet'!$AQ3-1)
+ ('Main Sheet'!$AK3+'Main Sheet'!$G$11))</f>
        <v>30</v>
      </c>
      <c r="L6" s="777">
        <f>('Main Sheet'!$AK3+'Main Sheet'!$G$11)*'Main Sheet'!$AQ3</f>
        <v>36</v>
      </c>
      <c r="M6" s="778">
        <f>SUM($C$5:$C$25)</f>
        <v>17</v>
      </c>
      <c r="N6" s="436"/>
      <c r="O6" s="762" t="s">
        <v>867</v>
      </c>
      <c r="P6" s="762" t="s">
        <v>869</v>
      </c>
    </row>
    <row r="7">
      <c r="A7" s="436">
        <v>2.0</v>
      </c>
      <c r="B7" s="772"/>
      <c r="C7" s="779">
        <v>1.0</v>
      </c>
      <c r="D7" s="773"/>
      <c r="E7" s="774"/>
      <c r="G7" s="436" t="s">
        <v>871</v>
      </c>
      <c r="H7" s="775">
        <f>(('Main Sheet'!$AK4+1)/2+'Main Sheet'!$G$11)*'Main Sheet'!$AQ4</f>
        <v>0</v>
      </c>
      <c r="I7" s="775">
        <f>(('Main Sheet'!$AK4+1)/2+'Main Sheet'!$G$11)*'Main Sheet'!$AQ4</f>
        <v>0</v>
      </c>
      <c r="J7" s="777">
        <f>(int('Main Sheet'!$AK4/2+1)+'Main Sheet'!$G$11)*'Main Sheet'!$AQ4</f>
        <v>0</v>
      </c>
      <c r="K7" s="777">
        <f>max(0,(int('Main Sheet'!$AK4/2+1)+'Main Sheet'!$G$11)*('Main Sheet'!$AQ4-1)
+ ('Main Sheet'!$AK4+'Main Sheet'!$G$11))</f>
        <v>0</v>
      </c>
      <c r="L7" s="777">
        <f>('Main Sheet'!$AK4+'Main Sheet'!$G$11)*'Main Sheet'!$AQ4</f>
        <v>0</v>
      </c>
      <c r="M7" s="778">
        <f>SUM($D$5:$D$25)</f>
        <v>31</v>
      </c>
      <c r="N7" s="436"/>
      <c r="O7" s="762" t="s">
        <v>873</v>
      </c>
      <c r="P7" s="762" t="s">
        <v>874</v>
      </c>
    </row>
    <row r="8">
      <c r="A8" s="436">
        <v>3.0</v>
      </c>
      <c r="B8" s="785"/>
      <c r="C8" s="779">
        <v>4.0</v>
      </c>
      <c r="D8" s="773"/>
      <c r="E8" s="774"/>
      <c r="G8" s="436" t="s">
        <v>876</v>
      </c>
      <c r="H8" s="786" t="str">
        <f>if(isblank('Main Sheet'!AK5),,(('Main Sheet'!$AK5+1)/2+'Main Sheet'!$G$11)*'Main Sheet'!$AQ5)</f>
        <v/>
      </c>
      <c r="I8" s="790" t="str">
        <f>if(isblank('Main Sheet'!AK5),,MAX(0,(('Main Sheet'!$AK5+1)/2+'Main Sheet'!$G$11)*('Main Sheet'!$AQ5-1)
 + ('Main Sheet'!$AK5+'Main Sheet'!$G$11)))</f>
        <v/>
      </c>
      <c r="J8" s="790" t="str">
        <f>if(isblank('Main Sheet'!AK5),,(int('Main Sheet'!$AK5/2+1)+'Main Sheet'!$G$11)*'Main Sheet'!$AQ5)</f>
        <v/>
      </c>
      <c r="K8" s="790" t="str">
        <f>if(isblank('Main Sheet'!AK5),,max(0,(int('Main Sheet'!$AK5/2+1)+'Main Sheet'!$G$11)*('Main Sheet'!$AQ5-1)
+ ('Main Sheet'!$AK5+'Main Sheet'!$G$11)))</f>
        <v/>
      </c>
      <c r="L8" s="790" t="str">
        <f>if(isblank('Main Sheet'!AK5),,('Main Sheet'!$AK5+'Main Sheet'!$G$11)*'Main Sheet'!$AQ5)</f>
        <v/>
      </c>
      <c r="M8" s="794">
        <f>SUM($E$5:$E$25)</f>
        <v>0</v>
      </c>
      <c r="N8" s="436"/>
      <c r="O8" s="762" t="s">
        <v>881</v>
      </c>
      <c r="P8" s="762" t="s">
        <v>882</v>
      </c>
    </row>
    <row r="9">
      <c r="A9" s="436">
        <v>4.0</v>
      </c>
      <c r="B9" s="772">
        <v>6.0</v>
      </c>
      <c r="C9" s="779"/>
      <c r="D9" s="773"/>
      <c r="E9" s="774"/>
      <c r="N9" s="436"/>
      <c r="O9" s="762" t="s">
        <v>601</v>
      </c>
      <c r="P9" s="762" t="s">
        <v>883</v>
      </c>
    </row>
    <row r="10">
      <c r="A10" s="436">
        <v>5.0</v>
      </c>
      <c r="B10" s="772">
        <v>11.0</v>
      </c>
      <c r="C10" s="779"/>
      <c r="D10" s="773"/>
      <c r="E10" s="774"/>
      <c r="N10" s="436"/>
      <c r="O10" s="762" t="s">
        <v>885</v>
      </c>
      <c r="P10" s="762" t="s">
        <v>886</v>
      </c>
    </row>
    <row r="11">
      <c r="A11" s="436">
        <v>6.0</v>
      </c>
      <c r="B11" s="785"/>
      <c r="C11" s="773"/>
      <c r="D11" s="779">
        <v>8.0</v>
      </c>
      <c r="E11" s="774"/>
      <c r="N11" s="436"/>
      <c r="O11" s="762" t="s">
        <v>887</v>
      </c>
      <c r="P11" s="762" t="s">
        <v>889</v>
      </c>
    </row>
    <row r="12">
      <c r="A12" s="436">
        <v>7.0</v>
      </c>
      <c r="B12" s="785"/>
      <c r="C12" s="773"/>
      <c r="D12" s="779">
        <v>12.0</v>
      </c>
      <c r="E12" s="774"/>
      <c r="H12" s="797">
        <v>1.0</v>
      </c>
      <c r="I12" s="797">
        <f t="shared" ref="I12:I31" si="3">Floor(H12/6,1)+1</f>
        <v>1</v>
      </c>
      <c r="N12" s="436"/>
      <c r="O12" s="762" t="s">
        <v>890</v>
      </c>
      <c r="P12" s="762" t="s">
        <v>892</v>
      </c>
    </row>
    <row r="13">
      <c r="A13" s="436">
        <v>8.0</v>
      </c>
      <c r="B13" s="785"/>
      <c r="C13" s="773"/>
      <c r="D13" s="779">
        <v>2.0</v>
      </c>
      <c r="E13" s="774"/>
      <c r="H13" s="797">
        <f t="shared" ref="H13:H31" si="4">H12+1</f>
        <v>2</v>
      </c>
      <c r="I13" s="797">
        <f t="shared" si="3"/>
        <v>1</v>
      </c>
      <c r="N13" s="436"/>
      <c r="O13" s="762" t="s">
        <v>371</v>
      </c>
      <c r="P13" s="762" t="s">
        <v>894</v>
      </c>
    </row>
    <row r="14">
      <c r="A14" s="436">
        <v>9.0</v>
      </c>
      <c r="B14" s="785"/>
      <c r="C14" s="773"/>
      <c r="D14" s="779">
        <v>3.0</v>
      </c>
      <c r="E14" s="774"/>
      <c r="H14" s="797">
        <f t="shared" si="4"/>
        <v>3</v>
      </c>
      <c r="I14" s="797">
        <f t="shared" si="3"/>
        <v>1</v>
      </c>
      <c r="N14" s="436"/>
      <c r="O14" s="762" t="s">
        <v>45</v>
      </c>
      <c r="P14" s="762" t="s">
        <v>895</v>
      </c>
    </row>
    <row r="15">
      <c r="A15" s="436">
        <v>10.0</v>
      </c>
      <c r="B15" s="785"/>
      <c r="C15" s="773"/>
      <c r="D15" s="779">
        <v>6.0</v>
      </c>
      <c r="E15" s="774"/>
      <c r="H15" s="797">
        <f t="shared" si="4"/>
        <v>4</v>
      </c>
      <c r="I15" s="797">
        <f t="shared" si="3"/>
        <v>1</v>
      </c>
      <c r="N15" s="436"/>
      <c r="O15" s="762" t="s">
        <v>897</v>
      </c>
      <c r="P15" s="762" t="s">
        <v>898</v>
      </c>
    </row>
    <row r="16">
      <c r="A16" s="436">
        <v>11.0</v>
      </c>
      <c r="B16" s="785"/>
      <c r="C16" s="773"/>
      <c r="D16" s="773"/>
      <c r="E16" s="774"/>
      <c r="H16" s="797">
        <f t="shared" si="4"/>
        <v>5</v>
      </c>
      <c r="I16" s="797">
        <f t="shared" si="3"/>
        <v>1</v>
      </c>
      <c r="N16" s="436"/>
      <c r="O16" s="762" t="s">
        <v>899</v>
      </c>
      <c r="P16" s="762" t="s">
        <v>901</v>
      </c>
    </row>
    <row r="17">
      <c r="A17" s="436">
        <v>12.0</v>
      </c>
      <c r="B17" s="785"/>
      <c r="C17" s="773"/>
      <c r="D17" s="773"/>
      <c r="E17" s="774"/>
      <c r="H17" s="797">
        <f t="shared" si="4"/>
        <v>6</v>
      </c>
      <c r="I17" s="797">
        <f t="shared" si="3"/>
        <v>2</v>
      </c>
      <c r="N17" s="436"/>
      <c r="O17" s="762" t="s">
        <v>902</v>
      </c>
      <c r="P17" s="762" t="s">
        <v>903</v>
      </c>
    </row>
    <row r="18">
      <c r="A18" s="436">
        <v>13.0</v>
      </c>
      <c r="B18" s="785"/>
      <c r="C18" s="773"/>
      <c r="D18" s="773"/>
      <c r="E18" s="774"/>
      <c r="H18" s="797">
        <f t="shared" si="4"/>
        <v>7</v>
      </c>
      <c r="I18" s="797">
        <f t="shared" si="3"/>
        <v>2</v>
      </c>
      <c r="N18" s="436"/>
      <c r="O18" s="762" t="s">
        <v>905</v>
      </c>
      <c r="P18" s="762" t="s">
        <v>906</v>
      </c>
    </row>
    <row r="19">
      <c r="A19" s="436">
        <v>14.0</v>
      </c>
      <c r="B19" s="785"/>
      <c r="C19" s="773"/>
      <c r="D19" s="773"/>
      <c r="E19" s="774"/>
      <c r="H19" s="797">
        <f t="shared" si="4"/>
        <v>8</v>
      </c>
      <c r="I19" s="797">
        <f t="shared" si="3"/>
        <v>2</v>
      </c>
      <c r="N19" s="436"/>
      <c r="O19" s="762" t="s">
        <v>907</v>
      </c>
      <c r="P19" s="762" t="s">
        <v>908</v>
      </c>
    </row>
    <row r="20">
      <c r="A20" s="436">
        <v>15.0</v>
      </c>
      <c r="B20" s="785"/>
      <c r="C20" s="773"/>
      <c r="D20" s="773"/>
      <c r="E20" s="774"/>
      <c r="H20" s="797">
        <f t="shared" si="4"/>
        <v>9</v>
      </c>
      <c r="I20" s="797">
        <f t="shared" si="3"/>
        <v>2</v>
      </c>
      <c r="N20" s="436"/>
      <c r="O20" s="762" t="s">
        <v>910</v>
      </c>
      <c r="P20" s="762" t="s">
        <v>911</v>
      </c>
    </row>
    <row r="21">
      <c r="A21" s="436">
        <v>16.0</v>
      </c>
      <c r="B21" s="785"/>
      <c r="C21" s="773"/>
      <c r="D21" s="773"/>
      <c r="E21" s="774"/>
      <c r="H21" s="797">
        <f t="shared" si="4"/>
        <v>10</v>
      </c>
      <c r="I21" s="797">
        <f t="shared" si="3"/>
        <v>2</v>
      </c>
      <c r="N21" s="436"/>
      <c r="O21" s="762" t="s">
        <v>912</v>
      </c>
      <c r="P21" s="762" t="s">
        <v>914</v>
      </c>
    </row>
    <row r="22">
      <c r="A22" s="436">
        <v>17.0</v>
      </c>
      <c r="B22" s="785"/>
      <c r="C22" s="773"/>
      <c r="D22" s="773"/>
      <c r="E22" s="774"/>
      <c r="H22" s="797">
        <f t="shared" si="4"/>
        <v>11</v>
      </c>
      <c r="I22" s="797">
        <f t="shared" si="3"/>
        <v>2</v>
      </c>
      <c r="N22" s="436"/>
      <c r="O22" s="762" t="s">
        <v>465</v>
      </c>
      <c r="P22" s="762" t="s">
        <v>916</v>
      </c>
    </row>
    <row r="23">
      <c r="A23" s="436">
        <v>18.0</v>
      </c>
      <c r="B23" s="785"/>
      <c r="C23" s="773"/>
      <c r="D23" s="773"/>
      <c r="E23" s="774"/>
      <c r="H23" s="797">
        <f t="shared" si="4"/>
        <v>12</v>
      </c>
      <c r="I23" s="797">
        <f t="shared" si="3"/>
        <v>3</v>
      </c>
      <c r="N23" s="436"/>
      <c r="O23" s="762" t="s">
        <v>917</v>
      </c>
      <c r="P23" s="762" t="s">
        <v>919</v>
      </c>
    </row>
    <row r="24">
      <c r="A24" s="436">
        <v>19.0</v>
      </c>
      <c r="B24" s="785"/>
      <c r="C24" s="773"/>
      <c r="D24" s="773"/>
      <c r="E24" s="774"/>
      <c r="H24" s="797">
        <f t="shared" si="4"/>
        <v>13</v>
      </c>
      <c r="I24" s="797">
        <f t="shared" si="3"/>
        <v>3</v>
      </c>
      <c r="N24" s="436"/>
      <c r="O24" s="762" t="s">
        <v>920</v>
      </c>
      <c r="P24" s="762" t="s">
        <v>921</v>
      </c>
    </row>
    <row r="25">
      <c r="A25" s="436">
        <v>20.0</v>
      </c>
      <c r="B25" s="802"/>
      <c r="C25" s="803"/>
      <c r="D25" s="803"/>
      <c r="E25" s="804"/>
      <c r="H25" s="797">
        <f t="shared" si="4"/>
        <v>14</v>
      </c>
      <c r="I25" s="797">
        <f t="shared" si="3"/>
        <v>3</v>
      </c>
      <c r="N25" s="436"/>
      <c r="O25" s="762" t="s">
        <v>923</v>
      </c>
      <c r="P25" s="762" t="s">
        <v>924</v>
      </c>
    </row>
    <row r="26">
      <c r="E26" s="436"/>
      <c r="H26" s="797">
        <f t="shared" si="4"/>
        <v>15</v>
      </c>
      <c r="I26" s="797">
        <f t="shared" si="3"/>
        <v>3</v>
      </c>
      <c r="N26" s="436"/>
      <c r="O26" s="762" t="s">
        <v>926</v>
      </c>
      <c r="P26" s="762" t="s">
        <v>927</v>
      </c>
    </row>
    <row r="27">
      <c r="A27" s="741" t="s">
        <v>929</v>
      </c>
      <c r="E27" s="436"/>
      <c r="H27" s="797">
        <f t="shared" si="4"/>
        <v>16</v>
      </c>
      <c r="I27" s="797">
        <f t="shared" si="3"/>
        <v>3</v>
      </c>
      <c r="N27" s="436"/>
      <c r="O27" s="762" t="s">
        <v>930</v>
      </c>
      <c r="P27" s="762" t="s">
        <v>931</v>
      </c>
    </row>
    <row r="28">
      <c r="A28" s="805" t="s">
        <v>100</v>
      </c>
      <c r="B28" s="806" t="s">
        <v>933</v>
      </c>
      <c r="C28" s="808" t="s">
        <v>75</v>
      </c>
      <c r="D28" s="808" t="s">
        <v>934</v>
      </c>
      <c r="E28" s="808" t="s">
        <v>935</v>
      </c>
      <c r="F28" s="809" t="s">
        <v>936</v>
      </c>
      <c r="H28" s="797">
        <f t="shared" si="4"/>
        <v>17</v>
      </c>
      <c r="I28" s="797">
        <f t="shared" si="3"/>
        <v>3</v>
      </c>
      <c r="L28" s="810"/>
      <c r="O28" s="762" t="s">
        <v>937</v>
      </c>
      <c r="P28" s="762" t="s">
        <v>938</v>
      </c>
      <c r="Y28" s="810"/>
      <c r="Z28" s="810"/>
      <c r="AA28" s="810"/>
      <c r="AB28" s="810"/>
      <c r="AC28" s="810"/>
      <c r="AD28" s="810"/>
      <c r="AE28" s="810"/>
      <c r="AF28" s="810"/>
      <c r="AG28" s="810"/>
      <c r="AH28" s="810"/>
    </row>
    <row r="29">
      <c r="A29" s="811" t="s">
        <v>939</v>
      </c>
      <c r="B29" s="812">
        <v>-2.0</v>
      </c>
      <c r="C29" s="813">
        <v>0.0</v>
      </c>
      <c r="D29" s="813">
        <v>-1.0</v>
      </c>
      <c r="E29" s="813">
        <v>-3.0</v>
      </c>
      <c r="F29" s="813">
        <v>-6.0</v>
      </c>
      <c r="H29" s="797">
        <f t="shared" si="4"/>
        <v>18</v>
      </c>
      <c r="I29" s="797">
        <f t="shared" si="3"/>
        <v>4</v>
      </c>
      <c r="L29" s="814"/>
      <c r="O29" s="762" t="s">
        <v>940</v>
      </c>
      <c r="P29" s="815" t="s">
        <v>941</v>
      </c>
      <c r="Y29" s="810"/>
      <c r="Z29" s="814"/>
      <c r="AA29" s="814"/>
      <c r="AB29" s="814"/>
      <c r="AC29" s="814"/>
      <c r="AD29" s="814"/>
      <c r="AE29" s="814"/>
      <c r="AF29" s="814"/>
      <c r="AG29" s="814"/>
      <c r="AH29" s="814"/>
    </row>
    <row r="30">
      <c r="A30" s="816" t="s">
        <v>942</v>
      </c>
      <c r="B30" s="817">
        <v>2.0</v>
      </c>
      <c r="C30" s="818">
        <v>0.0</v>
      </c>
      <c r="D30" s="818">
        <v>-1.0</v>
      </c>
      <c r="E30" s="818">
        <v>-3.0</v>
      </c>
      <c r="F30" s="818">
        <v>-6.0</v>
      </c>
      <c r="H30" s="797">
        <f t="shared" si="4"/>
        <v>19</v>
      </c>
      <c r="I30" s="797">
        <f t="shared" si="3"/>
        <v>4</v>
      </c>
      <c r="L30" s="814"/>
      <c r="M30" s="814"/>
      <c r="N30" s="819"/>
      <c r="O30" s="814"/>
      <c r="P30" s="820"/>
      <c r="Q30" s="814"/>
      <c r="R30" s="814"/>
      <c r="S30" s="814"/>
      <c r="T30" s="814"/>
      <c r="U30" s="814"/>
      <c r="V30" s="810"/>
      <c r="W30" s="810"/>
      <c r="X30" s="810"/>
      <c r="Y30" s="810"/>
      <c r="Z30" s="814"/>
      <c r="AA30" s="810"/>
      <c r="AB30" s="810"/>
      <c r="AC30" s="810"/>
      <c r="AD30" s="810"/>
      <c r="AE30" s="814"/>
      <c r="AF30" s="814"/>
      <c r="AG30" s="814"/>
      <c r="AH30" s="814"/>
    </row>
    <row r="31">
      <c r="A31" s="811" t="s">
        <v>944</v>
      </c>
      <c r="B31" s="817">
        <v>-2.0</v>
      </c>
      <c r="C31" s="818">
        <v>0.0</v>
      </c>
      <c r="D31" s="818">
        <v>-1.0</v>
      </c>
      <c r="E31" s="818">
        <v>-3.0</v>
      </c>
      <c r="F31" s="818">
        <v>-6.0</v>
      </c>
      <c r="H31" s="797">
        <f t="shared" si="4"/>
        <v>20</v>
      </c>
      <c r="I31" s="797">
        <f t="shared" si="3"/>
        <v>4</v>
      </c>
      <c r="L31" s="814"/>
      <c r="M31" s="814"/>
      <c r="N31" s="819"/>
      <c r="O31" s="814"/>
      <c r="P31" s="814"/>
      <c r="Q31" s="814"/>
      <c r="R31" s="814"/>
      <c r="S31" s="814"/>
      <c r="T31" s="814"/>
      <c r="U31" s="814"/>
      <c r="V31" s="810"/>
      <c r="W31" s="810"/>
      <c r="X31" s="810"/>
      <c r="Y31" s="810"/>
      <c r="Z31" s="814"/>
      <c r="AA31" s="810"/>
      <c r="AB31" s="810"/>
      <c r="AC31" s="810"/>
      <c r="AD31" s="810"/>
      <c r="AE31" s="814"/>
      <c r="AF31" s="814"/>
      <c r="AG31" s="814"/>
      <c r="AH31" s="814"/>
    </row>
    <row r="32">
      <c r="A32" s="811" t="s">
        <v>114</v>
      </c>
      <c r="B32" s="818">
        <v>0.0</v>
      </c>
      <c r="C32" s="818">
        <v>0.0</v>
      </c>
      <c r="D32" s="818">
        <v>1.0</v>
      </c>
      <c r="E32" s="818">
        <v>2.0</v>
      </c>
      <c r="F32" s="818">
        <v>3.0</v>
      </c>
      <c r="L32" s="814"/>
      <c r="M32" s="814"/>
      <c r="N32" s="819"/>
      <c r="O32" s="814"/>
      <c r="P32" s="814"/>
      <c r="Q32" s="814"/>
      <c r="R32" s="814"/>
      <c r="S32" s="814"/>
      <c r="T32" s="814"/>
      <c r="U32" s="814"/>
      <c r="V32" s="810"/>
      <c r="W32" s="810"/>
      <c r="X32" s="810"/>
      <c r="Y32" s="810"/>
      <c r="Z32" s="814"/>
      <c r="AA32" s="810"/>
      <c r="AB32" s="810"/>
      <c r="AC32" s="810"/>
      <c r="AD32" s="810"/>
      <c r="AE32" s="814"/>
      <c r="AF32" s="814"/>
      <c r="AG32" s="814"/>
      <c r="AH32" s="814"/>
    </row>
    <row r="33">
      <c r="A33" s="811" t="s">
        <v>946</v>
      </c>
      <c r="B33" s="817">
        <v>-2.0</v>
      </c>
      <c r="C33" s="818">
        <v>0.0</v>
      </c>
      <c r="D33" s="818">
        <v>1.0</v>
      </c>
      <c r="E33" s="818">
        <v>2.0</v>
      </c>
      <c r="F33" s="818">
        <v>3.0</v>
      </c>
      <c r="L33" s="814"/>
      <c r="M33" s="814"/>
      <c r="N33" s="819"/>
      <c r="O33" s="814"/>
      <c r="P33" s="814"/>
      <c r="Q33" s="814"/>
      <c r="R33" s="814"/>
      <c r="S33" s="814"/>
      <c r="T33" s="814"/>
      <c r="U33" s="814"/>
      <c r="V33" s="810"/>
      <c r="W33" s="810"/>
      <c r="X33" s="810"/>
      <c r="Y33" s="810"/>
      <c r="Z33" s="814"/>
      <c r="AA33" s="810"/>
      <c r="AB33" s="810"/>
      <c r="AC33" s="810"/>
      <c r="AD33" s="810"/>
      <c r="AE33" s="814"/>
      <c r="AF33" s="814"/>
      <c r="AG33" s="814"/>
      <c r="AH33" s="814"/>
    </row>
    <row r="34">
      <c r="A34" s="811" t="s">
        <v>662</v>
      </c>
      <c r="B34" s="823">
        <v>0.0</v>
      </c>
      <c r="C34" s="823">
        <v>0.0</v>
      </c>
      <c r="D34" s="823">
        <v>1.0</v>
      </c>
      <c r="E34" s="823">
        <v>2.0</v>
      </c>
      <c r="F34" s="823">
        <v>3.0</v>
      </c>
      <c r="L34" s="814"/>
      <c r="M34" s="814"/>
      <c r="N34" s="819"/>
      <c r="O34" s="814"/>
      <c r="P34" s="814"/>
      <c r="Q34" s="814"/>
      <c r="R34" s="814"/>
      <c r="S34" s="814"/>
      <c r="T34" s="814"/>
      <c r="U34" s="814"/>
      <c r="V34" s="810"/>
      <c r="W34" s="810"/>
      <c r="X34" s="810"/>
      <c r="Y34" s="810"/>
      <c r="Z34" s="814"/>
      <c r="AA34" s="810"/>
      <c r="AB34" s="810"/>
      <c r="AC34" s="810"/>
      <c r="AD34" s="810"/>
      <c r="AE34" s="814"/>
      <c r="AF34" s="814"/>
      <c r="AG34" s="814"/>
      <c r="AH34" s="814"/>
    </row>
    <row r="35">
      <c r="A35" s="825"/>
      <c r="B35" s="825"/>
      <c r="C35" s="825"/>
      <c r="D35" s="825"/>
      <c r="E35" s="825"/>
      <c r="F35" s="826"/>
      <c r="L35" s="814"/>
      <c r="M35" s="814"/>
      <c r="N35" s="819"/>
      <c r="O35" s="814"/>
      <c r="P35" s="814"/>
      <c r="Q35" s="814"/>
      <c r="R35" s="814"/>
      <c r="S35" s="814"/>
      <c r="T35" s="814"/>
      <c r="U35" s="814"/>
      <c r="V35" s="810"/>
      <c r="W35" s="810"/>
      <c r="X35" s="810"/>
      <c r="Y35" s="810"/>
      <c r="Z35" s="814"/>
      <c r="AA35" s="810"/>
      <c r="AB35" s="810"/>
      <c r="AC35" s="810"/>
      <c r="AD35" s="810"/>
      <c r="AE35" s="814"/>
      <c r="AF35" s="814"/>
      <c r="AG35" s="814"/>
      <c r="AH35" s="814"/>
    </row>
    <row r="36">
      <c r="E36" s="436"/>
      <c r="N36" s="436"/>
    </row>
    <row r="37">
      <c r="A37" s="741" t="s">
        <v>948</v>
      </c>
      <c r="E37" s="436"/>
      <c r="N37" s="436"/>
    </row>
    <row r="38">
      <c r="A38" s="827" t="s">
        <v>949</v>
      </c>
      <c r="B38" s="828" t="s">
        <v>950</v>
      </c>
      <c r="C38" s="829" t="s">
        <v>951</v>
      </c>
      <c r="D38" s="829" t="s">
        <v>952</v>
      </c>
      <c r="E38" s="829" t="s">
        <v>953</v>
      </c>
      <c r="F38" s="829" t="s">
        <v>954</v>
      </c>
      <c r="G38" s="829" t="s">
        <v>955</v>
      </c>
      <c r="H38" s="829" t="s">
        <v>956</v>
      </c>
      <c r="I38" s="829" t="s">
        <v>957</v>
      </c>
      <c r="J38" s="829" t="s">
        <v>958</v>
      </c>
      <c r="K38" s="829" t="s">
        <v>960</v>
      </c>
      <c r="L38" s="829" t="s">
        <v>961</v>
      </c>
      <c r="N38" s="436"/>
    </row>
    <row r="39">
      <c r="A39" s="827" t="s">
        <v>962</v>
      </c>
      <c r="B39" s="831" t="str">
        <f>IFERROR(__xludf.DUMMYFUNCTION("SPLIT(""2,3,5,6,8,9,10,12;2,3,4,5,6,8,9,10,12;1,2,3,4,5,6,7,8,9,10,11,12,13;3,6.1,9;2,3,4,5,6,8,9.1,10;2,3,4,5,6,8,9.1,10;1,2,3,4,5,6,8,9.1,10,13.2;2,3,4,5,8,10;2,3,5,6,8,9.1;2,3,9;3,9"", "";"")"),"2,3,5,6,8,9,10,12")</f>
        <v>2,3,5,6,8,9,10,12</v>
      </c>
      <c r="C39" s="831" t="str">
        <f>IFERROR(__xludf.DUMMYFUNCTION("""COMPUTED_VALUE"""),"2,3,4,5,6,8,9,10,12")</f>
        <v>2,3,4,5,6,8,9,10,12</v>
      </c>
      <c r="D39" s="831" t="str">
        <f>IFERROR(__xludf.DUMMYFUNCTION("""COMPUTED_VALUE"""),"1,2,3,4,5,6,7,8,9,10,11,12,13")</f>
        <v>1,2,3,4,5,6,7,8,9,10,11,12,13</v>
      </c>
      <c r="E39" s="831" t="str">
        <f>IFERROR(__xludf.DUMMYFUNCTION("""COMPUTED_VALUE"""),"3,6.1,9")</f>
        <v>3,6.1,9</v>
      </c>
      <c r="F39" s="831" t="str">
        <f>IFERROR(__xludf.DUMMYFUNCTION("""COMPUTED_VALUE"""),"2,3,4,5,6,8,9.1,10")</f>
        <v>2,3,4,5,6,8,9.1,10</v>
      </c>
      <c r="G39" s="831" t="str">
        <f>IFERROR(__xludf.DUMMYFUNCTION("""COMPUTED_VALUE"""),"2,3,4,5,6,8,9.1,10")</f>
        <v>2,3,4,5,6,8,9.1,10</v>
      </c>
      <c r="H39" s="831" t="str">
        <f>IFERROR(__xludf.DUMMYFUNCTION("""COMPUTED_VALUE"""),"1,2,3,4,5,6,8,9.1,10,13.2")</f>
        <v>1,2,3,4,5,6,8,9.1,10,13.2</v>
      </c>
      <c r="I39" s="831" t="str">
        <f>IFERROR(__xludf.DUMMYFUNCTION("""COMPUTED_VALUE"""),"2,3,4,5,8,10")</f>
        <v>2,3,4,5,8,10</v>
      </c>
      <c r="J39" s="831" t="str">
        <f>IFERROR(__xludf.DUMMYFUNCTION("""COMPUTED_VALUE"""),"2,3,5,6,8,9.1")</f>
        <v>2,3,5,6,8,9.1</v>
      </c>
      <c r="K39" s="831" t="str">
        <f>IFERROR(__xludf.DUMMYFUNCTION("""COMPUTED_VALUE"""),"2,3,9")</f>
        <v>2,3,9</v>
      </c>
      <c r="L39" s="828" t="str">
        <f>IFERROR(__xludf.DUMMYFUNCTION("""COMPUTED_VALUE"""),"3,9")</f>
        <v>3,9</v>
      </c>
      <c r="N39" s="436"/>
    </row>
    <row r="40">
      <c r="E40" s="436"/>
      <c r="N40" s="436"/>
    </row>
    <row r="41">
      <c r="E41" s="436"/>
      <c r="N41" s="436"/>
    </row>
    <row r="42">
      <c r="A42" s="741" t="s">
        <v>969</v>
      </c>
      <c r="B42" s="837"/>
      <c r="C42" s="838"/>
      <c r="D42" s="838"/>
      <c r="E42" s="842"/>
      <c r="F42" s="837"/>
      <c r="G42" s="837"/>
      <c r="H42" s="837"/>
      <c r="I42" s="837"/>
      <c r="J42" s="844"/>
      <c r="K42" s="838"/>
      <c r="L42" s="844"/>
      <c r="M42" s="842"/>
      <c r="N42" s="842"/>
      <c r="O42" s="842"/>
      <c r="P42" s="844"/>
      <c r="Q42" s="844"/>
      <c r="R42" s="844"/>
      <c r="S42" s="844"/>
      <c r="T42" s="844"/>
      <c r="U42" s="844"/>
      <c r="V42" s="844"/>
      <c r="W42" s="844"/>
      <c r="X42" s="844"/>
      <c r="Y42" s="844"/>
      <c r="Z42" s="844"/>
      <c r="AA42" s="844"/>
      <c r="AB42" s="844"/>
      <c r="AC42" s="844"/>
      <c r="AD42" s="844"/>
      <c r="AE42" s="844"/>
      <c r="AF42" s="844"/>
      <c r="AG42" s="844"/>
      <c r="AH42" s="844"/>
    </row>
    <row r="43">
      <c r="A43" s="837"/>
      <c r="B43" s="844"/>
      <c r="C43" s="844"/>
      <c r="D43" s="844"/>
      <c r="E43" s="844"/>
      <c r="F43" s="844"/>
      <c r="G43" s="844"/>
      <c r="H43" s="844"/>
      <c r="I43" s="844"/>
      <c r="J43" s="844"/>
      <c r="K43" s="844"/>
      <c r="L43" s="844"/>
      <c r="M43" s="850"/>
      <c r="N43" s="850"/>
      <c r="O43" s="850"/>
      <c r="P43" s="844"/>
      <c r="Q43" s="844"/>
      <c r="R43" s="844"/>
      <c r="S43" s="844"/>
      <c r="T43" s="844"/>
      <c r="U43" s="844"/>
      <c r="V43" s="844"/>
      <c r="W43" s="844"/>
      <c r="X43" s="844"/>
      <c r="Y43" s="844"/>
      <c r="Z43" s="844"/>
      <c r="AA43" s="844"/>
      <c r="AB43" s="844"/>
      <c r="AC43" s="844"/>
      <c r="AD43" s="844"/>
      <c r="AE43" s="844"/>
      <c r="AF43" s="844"/>
      <c r="AG43" s="844"/>
      <c r="AH43" s="844"/>
    </row>
    <row r="44">
      <c r="A44" s="854" t="s">
        <v>978</v>
      </c>
      <c r="B44" s="857"/>
      <c r="C44" s="859" t="s">
        <v>663</v>
      </c>
      <c r="D44" s="862" t="s">
        <v>982</v>
      </c>
      <c r="E44" s="865">
        <f>MAX(1,1+int((BaseAttack-1)/5))</f>
        <v>1</v>
      </c>
      <c r="F44" s="859" t="s">
        <v>990</v>
      </c>
      <c r="G44" s="862" t="s">
        <v>982</v>
      </c>
      <c r="H44" s="869">
        <f>'Main Sheet'!$AH$74</f>
        <v>0</v>
      </c>
      <c r="I44" s="870" t="s">
        <v>995</v>
      </c>
      <c r="J44" s="862" t="s">
        <v>982</v>
      </c>
      <c r="K44" s="865">
        <f>MAX(1,1+int((BaseAttack-1)/5))</f>
        <v>1</v>
      </c>
      <c r="L44" s="859" t="s">
        <v>998</v>
      </c>
      <c r="M44" s="862" t="s">
        <v>982</v>
      </c>
      <c r="N44" s="869">
        <f>'Main Sheet'!$AH$74</f>
        <v>0</v>
      </c>
      <c r="O44" s="870" t="s">
        <v>1002</v>
      </c>
      <c r="P44" s="862"/>
      <c r="Q44" s="875" t="s">
        <v>1004</v>
      </c>
      <c r="R44" s="859" t="s">
        <v>1008</v>
      </c>
      <c r="S44" s="862"/>
      <c r="T44" s="878" t="s">
        <v>1004</v>
      </c>
      <c r="U44" s="859" t="s">
        <v>1013</v>
      </c>
      <c r="V44" s="862"/>
      <c r="W44" s="865">
        <f>MAX(1,1+int((BaseAttack-iferror(vlookup("Monk",'Main Sheet'!AE2:AQ4,9,false),"")+iferror(vlookup("Monk",'Main Sheet'!AE2:AQ4,13,false),"")-1)/5))</f>
        <v>1</v>
      </c>
      <c r="X44" s="859" t="s">
        <v>1018</v>
      </c>
      <c r="Y44" s="862"/>
      <c r="Z44" s="881" t="s">
        <v>1004</v>
      </c>
      <c r="AA44" s="883" t="s">
        <v>1019</v>
      </c>
      <c r="AB44" s="883"/>
      <c r="AC44" s="883"/>
      <c r="AD44" s="859" t="s">
        <v>242</v>
      </c>
      <c r="AE44" s="885"/>
      <c r="AF44" s="865">
        <f>MAX(1,1+int(('Main Sheet'!$BG$16-1)/5))</f>
        <v>1</v>
      </c>
      <c r="AG44" s="886"/>
      <c r="AH44" s="886"/>
    </row>
    <row r="45">
      <c r="A45" s="888" t="s">
        <v>663</v>
      </c>
      <c r="B45" s="857"/>
      <c r="C45" s="889" t="s">
        <v>1022</v>
      </c>
      <c r="D45" s="890">
        <f>BaseAttack+Strength+VLOOKUP(Size,SizeTable,3,false)+tMeleeAttack</f>
        <v>2</v>
      </c>
      <c r="E45" s="892">
        <f>Strength+tMeleeDamage</f>
        <v>0</v>
      </c>
      <c r="F45" s="889" t="s">
        <v>1026</v>
      </c>
      <c r="G45" s="890">
        <f>BaseAttack+Strength+VLOOKUP(Size,SizeTable,3,false)+tMeleeAttack</f>
        <v>2</v>
      </c>
      <c r="H45" s="892">
        <f>rounddown(0.5*Strength,0)+tMeleeDamage+tOHDamage</f>
        <v>0</v>
      </c>
      <c r="I45" s="889" t="s">
        <v>1028</v>
      </c>
      <c r="J45" s="890">
        <f>BaseAttack+Dexterity+VLOOKUP(Size,SizeTable,3,false)+tRangedAttack</f>
        <v>5</v>
      </c>
      <c r="K45" s="892">
        <f>tRangedDamage</f>
        <v>0</v>
      </c>
      <c r="L45" s="889" t="s">
        <v>1032</v>
      </c>
      <c r="M45" s="890">
        <f>BaseAttack+Dexterity+VLOOKUP(Size,SizeTable,3,false)+tRangedAttack</f>
        <v>5</v>
      </c>
      <c r="N45" s="892">
        <f>tRangedDamage</f>
        <v>0</v>
      </c>
      <c r="O45" s="889" t="s">
        <v>1033</v>
      </c>
      <c r="P45" s="890">
        <f>BaseAttack+Strength+VLOOKUP(Size,SizeTable,4,false)+tRangedAttack</f>
        <v>2</v>
      </c>
      <c r="Q45" s="895" t="str">
        <f t="shared" ref="Q45:Q47" si="5">1/0</f>
        <v>#DIV/0!</v>
      </c>
      <c r="R45" s="889" t="s">
        <v>1037</v>
      </c>
      <c r="S45" s="890" t="str">
        <f>#REF!</f>
        <v>#REF!</v>
      </c>
      <c r="T45" s="895" t="str">
        <f t="shared" ref="T45:T46" si="6">1/0</f>
        <v>#DIV/0!</v>
      </c>
      <c r="U45" s="889" t="s">
        <v>1038</v>
      </c>
      <c r="V45" s="890">
        <f>MAX(BaseAttack,iferror(vlookup("Monk",'Main Sheet'!$AE$2:$AQ$4,13,false),""))+Strength+VLOOKUP(Size,SizeTable,3,false)+tMeleeAttack</f>
        <v>2</v>
      </c>
      <c r="W45" s="892">
        <f>Strength+tMeleeDamage</f>
        <v>0</v>
      </c>
      <c r="X45" s="889" t="s">
        <v>1041</v>
      </c>
      <c r="Y45" s="890">
        <f>BaseAttack+Strength+VLOOKUP(Size,SizeTable,3,false)+tMeleeAttack</f>
        <v>2</v>
      </c>
      <c r="Z45" s="892">
        <f>Strength+tMeleeDamage</f>
        <v>0</v>
      </c>
      <c r="AA45" s="889" t="s">
        <v>1042</v>
      </c>
      <c r="AB45" s="890">
        <f>BaseAttack+Strength+VLOOKUP(Size,SizeTable,3,false)+tMeleeAttack</f>
        <v>2</v>
      </c>
      <c r="AC45" s="892">
        <f>INT(Strength*1.5)+tMeleeDamage+t2HDamage</f>
        <v>0</v>
      </c>
      <c r="AD45" s="897" t="s">
        <v>1045</v>
      </c>
      <c r="AE45" s="890">
        <f>BaseAttack+Dexterity+VLOOKUP(Size,SizeTable,3,false)+tRangedAttack</f>
        <v>5</v>
      </c>
      <c r="AF45" s="892">
        <f>Intelligence+tRangedDamage</f>
        <v>8</v>
      </c>
      <c r="AG45" s="886"/>
      <c r="AH45" s="886"/>
    </row>
    <row r="46">
      <c r="A46" s="888" t="s">
        <v>990</v>
      </c>
      <c r="B46" s="857"/>
      <c r="C46" s="889" t="s">
        <v>1047</v>
      </c>
      <c r="D46" s="890">
        <f>BaseAttack+Strength+VLOOKUP(Size,SizeTable,3,false)+tMeleeAttack</f>
        <v>2</v>
      </c>
      <c r="E46" s="892">
        <f>INT(Strength*1.5)+tMeleeDamage+t2HDamage</f>
        <v>0</v>
      </c>
      <c r="F46" s="889" t="s">
        <v>1049</v>
      </c>
      <c r="G46" s="890">
        <f>BaseAttack+Strength+VLOOKUP(Size,SizeTable,3,false)+tMeleeAttack</f>
        <v>2</v>
      </c>
      <c r="H46" s="892">
        <f>Strength+tMeleeDamage+tOHDamage</f>
        <v>0</v>
      </c>
      <c r="I46" s="889" t="s">
        <v>1051</v>
      </c>
      <c r="J46" s="890">
        <f>BaseAttack+Dexterity+VLOOKUP(Size,SizeTable,3,false)+tRangedAttack</f>
        <v>5</v>
      </c>
      <c r="K46" s="892">
        <f>Strength+tRangedDamage</f>
        <v>0</v>
      </c>
      <c r="L46" s="889" t="s">
        <v>1052</v>
      </c>
      <c r="M46" s="890">
        <f>BaseAttack+Dexterity+VLOOKUP(Size,SizeTable,3,false)+tRangedAttack</f>
        <v>5</v>
      </c>
      <c r="N46" s="892">
        <f>ROUNDDOWN(Strength*0.5,0)+tRangedDamage</f>
        <v>0</v>
      </c>
      <c r="O46" s="889" t="s">
        <v>1055</v>
      </c>
      <c r="P46" s="890">
        <f>BaseAttack+Dexterity+VLOOKUP(Size,SizeTable,4,false)+tRangedAttack</f>
        <v>5</v>
      </c>
      <c r="Q46" s="895" t="str">
        <f t="shared" si="5"/>
        <v>#DIV/0!</v>
      </c>
      <c r="R46" s="889" t="s">
        <v>1057</v>
      </c>
      <c r="S46" s="890" t="str">
        <f>#REF!+#REF!</f>
        <v>#REF!</v>
      </c>
      <c r="T46" s="895" t="str">
        <f t="shared" si="6"/>
        <v>#DIV/0!</v>
      </c>
      <c r="U46" s="889" t="s">
        <v>1058</v>
      </c>
      <c r="V46" s="890">
        <f>MAX(BaseAttack,iferror(vlookup("Monk",'Main Sheet'!$AE$2:$AQ$4,13,false),""))+Strength+VLOOKUP(Size,SizeTable,3,false)+tMeleeAttack</f>
        <v>2</v>
      </c>
      <c r="W46" s="892">
        <f>IFERROR(__xludf.DUMMYFUNCTION("if(or(arrayformula(regexmatch('Main Sheet'!$AE$2:$AE$4,""Monk \(Unchained\)""))),rounddown(Strength*1.5),Strength)+tMeleeDamage+t2HDamage"),0.0)</f>
        <v>0</v>
      </c>
      <c r="X46" s="889" t="s">
        <v>1059</v>
      </c>
      <c r="Y46" s="890">
        <f>BaseAttack+Strength+VLOOKUP(Size,SizeTable,3,false)+tMeleeAttack</f>
        <v>2</v>
      </c>
      <c r="Z46" s="892">
        <f>INT(Strength*1.5)+tMeleeDamage+t2HDamage</f>
        <v>0</v>
      </c>
      <c r="AA46" s="889" t="s">
        <v>1060</v>
      </c>
      <c r="AB46" s="890">
        <f>BaseAttack+Strength+VLOOKUP(Size,SizeTable,3,false)+tMeleeAttack</f>
        <v>2</v>
      </c>
      <c r="AC46" s="892">
        <f>Strength+tMeleeDamage</f>
        <v>0</v>
      </c>
      <c r="AD46" s="897" t="s">
        <v>1061</v>
      </c>
      <c r="AE46" s="890">
        <f>BaseAttack+Dexterity+VLOOKUP(Size,SizeTable,3,false)+tRangedAttack</f>
        <v>5</v>
      </c>
      <c r="AF46" s="892">
        <f>Intelligence+tRangedDamage</f>
        <v>8</v>
      </c>
      <c r="AG46" s="886"/>
      <c r="AH46" s="886"/>
    </row>
    <row r="47">
      <c r="A47" s="888" t="s">
        <v>995</v>
      </c>
      <c r="B47" s="857"/>
      <c r="C47" s="889"/>
      <c r="D47" s="890"/>
      <c r="E47" s="892"/>
      <c r="F47" s="889" t="s">
        <v>1062</v>
      </c>
      <c r="G47" s="890"/>
      <c r="H47" s="892"/>
      <c r="I47" s="889" t="s">
        <v>1063</v>
      </c>
      <c r="J47" s="890">
        <f>BaseAttack+Dexterity+VLOOKUP(Size,SizeTable,3,false)+tRangedAttack</f>
        <v>5</v>
      </c>
      <c r="K47" s="892">
        <f>Dexterity+tRangedDamage</f>
        <v>3</v>
      </c>
      <c r="L47" s="889" t="s">
        <v>1064</v>
      </c>
      <c r="M47" s="890">
        <f>BaseAttack+Dexterity+VLOOKUP(Size,SizeTable,3,false)+tRangedAttack</f>
        <v>5</v>
      </c>
      <c r="N47" s="892">
        <f>Strength+tRangedDamage</f>
        <v>0</v>
      </c>
      <c r="O47" s="889" t="s">
        <v>1066</v>
      </c>
      <c r="P47" s="890">
        <f>BaseAttack+Wisdom+VLOOKUP(Size,SizeTable,4,false)+tRangedAttack</f>
        <v>2</v>
      </c>
      <c r="Q47" s="895" t="str">
        <f t="shared" si="5"/>
        <v>#DIV/0!</v>
      </c>
      <c r="R47" s="889"/>
      <c r="S47" s="902"/>
      <c r="T47" s="892"/>
      <c r="U47" s="889" t="s">
        <v>1062</v>
      </c>
      <c r="V47" s="890"/>
      <c r="W47" s="892"/>
      <c r="X47" s="889"/>
      <c r="Y47" s="890"/>
      <c r="Z47" s="892"/>
      <c r="AA47" s="889" t="s">
        <v>1067</v>
      </c>
      <c r="AB47" s="890">
        <f>BaseAttack+Strength+VLOOKUP(Size,SizeTable,3,false)+tMeleeAttack</f>
        <v>2</v>
      </c>
      <c r="AC47" s="892">
        <f>Strength+tMeleeDamage</f>
        <v>0</v>
      </c>
      <c r="AD47" s="889" t="s">
        <v>1062</v>
      </c>
      <c r="AE47" s="890"/>
      <c r="AF47" s="892"/>
      <c r="AG47" s="886"/>
      <c r="AH47" s="886"/>
    </row>
    <row r="48">
      <c r="A48" s="888" t="s">
        <v>998</v>
      </c>
      <c r="B48" s="857"/>
      <c r="C48" s="889" t="s">
        <v>1062</v>
      </c>
      <c r="D48" s="890"/>
      <c r="E48" s="892"/>
      <c r="F48" s="889" t="s">
        <v>1068</v>
      </c>
      <c r="G48" s="890">
        <f>BaseAttack+Dexterity+VLOOKUP(Size,SizeTable,3,false)+tMeleeAttack</f>
        <v>5</v>
      </c>
      <c r="H48" s="892">
        <f>rounddown(0.5*Strength,0)+tMeleeDamage+tOHDamage</f>
        <v>0</v>
      </c>
      <c r="I48" s="889" t="s">
        <v>1062</v>
      </c>
      <c r="J48" s="890"/>
      <c r="K48" s="892"/>
      <c r="L48" s="889" t="s">
        <v>1063</v>
      </c>
      <c r="M48" s="890">
        <f>BaseAttack+Dexterity+VLOOKUP(Size,SizeTable,3,false)+tRangedAttack</f>
        <v>5</v>
      </c>
      <c r="N48" s="892">
        <f>Dexterity+tRangedDamage</f>
        <v>3</v>
      </c>
      <c r="O48" s="889" t="s">
        <v>1062</v>
      </c>
      <c r="P48" s="890"/>
      <c r="Q48" s="892"/>
      <c r="R48" s="889"/>
      <c r="S48" s="904"/>
      <c r="T48" s="892"/>
      <c r="U48" s="889" t="s">
        <v>1070</v>
      </c>
      <c r="V48" s="890">
        <f>MAX(BaseAttack,iferror(vlookup("Monk",'Main Sheet'!$AE$2:$AQ$4,13,false),""))+Dexterity+VLOOKUP(Size,SizeTable,3,false)+tMeleeAttack</f>
        <v>5</v>
      </c>
      <c r="W48" s="892">
        <f>Strength+tMeleeDamage</f>
        <v>0</v>
      </c>
      <c r="X48" s="889" t="s">
        <v>1072</v>
      </c>
      <c r="Y48" s="890">
        <f>BaseAttack+Dexterity+VLOOKUP(Size,SizeTable,3,false)+tMeleeAttack</f>
        <v>5</v>
      </c>
      <c r="Z48" s="892">
        <f>Strength+tMeleeDamage</f>
        <v>0</v>
      </c>
      <c r="AA48" s="889" t="s">
        <v>1073</v>
      </c>
      <c r="AB48" s="890">
        <f>BaseAttack+Strength+VLOOKUP(Size,SizeTable,3,false)+tMeleeAttack</f>
        <v>2</v>
      </c>
      <c r="AC48" s="892">
        <f>INT(Strength*0.5)+tMeleeDamage</f>
        <v>0</v>
      </c>
      <c r="AD48" s="889" t="s">
        <v>1075</v>
      </c>
      <c r="AE48" s="890">
        <f>BaseAttack+Intelligence+VLOOKUP(Size,SizeTable,3,false)+tMeleeAttack</f>
        <v>10</v>
      </c>
      <c r="AF48" s="892">
        <f>Intelligence+tMeleeDamage</f>
        <v>8</v>
      </c>
      <c r="AG48" s="886"/>
      <c r="AH48" s="886"/>
    </row>
    <row r="49">
      <c r="A49" s="888" t="s">
        <v>1002</v>
      </c>
      <c r="B49" s="857"/>
      <c r="C49" s="889" t="s">
        <v>1076</v>
      </c>
      <c r="D49" s="890">
        <f>BaseAttack+Dexterity+VLOOKUP(Size,SizeTable,3,false)+tMeleeAttack</f>
        <v>5</v>
      </c>
      <c r="E49" s="892">
        <f>Strength+tMeleeDamage</f>
        <v>0</v>
      </c>
      <c r="F49" s="889" t="s">
        <v>1077</v>
      </c>
      <c r="G49" s="890">
        <f>BaseAttack+Dexterity+VLOOKUP(Size,SizeTable,3,false)+tMeleeAttack</f>
        <v>5</v>
      </c>
      <c r="H49" s="892">
        <f>Strength+tMeleeDamage+tOHDamage</f>
        <v>0</v>
      </c>
      <c r="I49" s="889" t="s">
        <v>1079</v>
      </c>
      <c r="J49" s="890">
        <f>BaseAttack+Strength+VLOOKUP(Size,SizeTable,3,false)+tRangedAttack</f>
        <v>2</v>
      </c>
      <c r="K49" s="892">
        <f>Strength+tRangedDamage</f>
        <v>0</v>
      </c>
      <c r="L49" s="889" t="s">
        <v>1062</v>
      </c>
      <c r="M49" s="890"/>
      <c r="N49" s="892"/>
      <c r="O49" s="889" t="s">
        <v>1081</v>
      </c>
      <c r="P49" s="890">
        <f>BaseAttack-'Main Sheet'!$AM$2+'Main Sheet'!$AQ$2+Strength+VLOOKUP(Size,SizeTable,4,false)+tRangedAttack</f>
        <v>4</v>
      </c>
      <c r="Q49" s="895" t="str">
        <f t="shared" ref="Q49:Q51" si="7">1/0</f>
        <v>#DIV/0!</v>
      </c>
      <c r="R49" s="910"/>
      <c r="S49" s="904"/>
      <c r="T49" s="892"/>
      <c r="U49" s="889" t="s">
        <v>1082</v>
      </c>
      <c r="V49" s="890">
        <f>MAX(BaseAttack,iferror(vlookup("Monk",'Main Sheet'!$AE$2:$AQ$4,13,false),""))+Dexterity+VLOOKUP(Size,SizeTable,3,false)+tMeleeAttack</f>
        <v>5</v>
      </c>
      <c r="W49" s="892">
        <f>Dexterity+tMeleeDamage</f>
        <v>3</v>
      </c>
      <c r="X49" s="889" t="s">
        <v>1084</v>
      </c>
      <c r="Y49" s="890">
        <f>BaseAttack+Dexterity+VLOOKUP(Size,SizeTable,3,false)+tMeleeAttack</f>
        <v>5</v>
      </c>
      <c r="Z49" s="892">
        <f>Dexterity+tMeleeDamage</f>
        <v>3</v>
      </c>
      <c r="AA49" s="889" t="s">
        <v>1062</v>
      </c>
      <c r="AB49" s="890"/>
      <c r="AC49" s="892"/>
      <c r="AD49" s="889" t="s">
        <v>1085</v>
      </c>
      <c r="AE49" s="890">
        <f>BaseAttack+Strength+VLOOKUP(Size,SizeTable,3,false)+tMeleeAttack</f>
        <v>2</v>
      </c>
      <c r="AF49" s="892">
        <f>Intelligence+tMeleeDamage</f>
        <v>8</v>
      </c>
      <c r="AG49" s="886"/>
      <c r="AH49" s="886"/>
    </row>
    <row r="50">
      <c r="A50" s="888" t="s">
        <v>1008</v>
      </c>
      <c r="B50" s="886"/>
      <c r="C50" s="889" t="s">
        <v>1088</v>
      </c>
      <c r="D50" s="890">
        <f>BaseAttack+Dexterity+VLOOKUP(Size,SizeTable,3,false)+tMeleeAttack</f>
        <v>5</v>
      </c>
      <c r="E50" s="892">
        <f>Dexterity+tMeleeDamage</f>
        <v>3</v>
      </c>
      <c r="F50" s="889" t="s">
        <v>1089</v>
      </c>
      <c r="G50" s="890">
        <f>BaseAttack+Dexterity+VLOOKUP(Size,SizeTable,3,false)+tMeleeAttack</f>
        <v>5</v>
      </c>
      <c r="H50" s="892">
        <f>rounddown(0.5*Dexterity,0)+tMeleeDamage+tOHDamage</f>
        <v>1</v>
      </c>
      <c r="I50" s="889" t="s">
        <v>1090</v>
      </c>
      <c r="J50" s="890"/>
      <c r="K50" s="892"/>
      <c r="L50" s="889" t="s">
        <v>1091</v>
      </c>
      <c r="M50" s="890">
        <f>BaseAttack+Strength+VLOOKUP(Size,SizeTable,3,false)+tRangedAttack</f>
        <v>2</v>
      </c>
      <c r="N50" s="892">
        <f>ROUNDDOWN(Strength*0.5,0)+tRangedDamage</f>
        <v>0</v>
      </c>
      <c r="O50" s="889" t="s">
        <v>1094</v>
      </c>
      <c r="P50" s="890">
        <f>BaseAttack-'Main Sheet'!$AM$2+'Main Sheet'!$AQ$2+Dexterity+VLOOKUP(Size,SizeTable,4,false)+tRangedAttack</f>
        <v>7</v>
      </c>
      <c r="Q50" s="895" t="str">
        <f t="shared" si="7"/>
        <v>#DIV/0!</v>
      </c>
      <c r="R50" s="910"/>
      <c r="S50" s="904"/>
      <c r="T50" s="892"/>
      <c r="U50" s="889" t="s">
        <v>1090</v>
      </c>
      <c r="V50" s="890"/>
      <c r="W50" s="892"/>
      <c r="X50" s="889" t="s">
        <v>1096</v>
      </c>
      <c r="Y50" s="890">
        <f>BaseAttack+Dexterity+VLOOKUP(Size,SizeTable,3,false)+tMeleeAttack</f>
        <v>5</v>
      </c>
      <c r="Z50" s="892">
        <f>INT(Dexterity*1.5)+tMeleeDamage+t2HDamage</f>
        <v>4</v>
      </c>
      <c r="AA50" s="889" t="s">
        <v>1099</v>
      </c>
      <c r="AB50" s="890">
        <f>BaseAttack+Dexterity+VLOOKUP(Size,SizeTable,3,false)+tMeleeAttack</f>
        <v>5</v>
      </c>
      <c r="AC50" s="892">
        <f>INT(Strength*1.5)+tMeleeDamage+t2HDamage</f>
        <v>0</v>
      </c>
      <c r="AD50" s="889" t="s">
        <v>1103</v>
      </c>
      <c r="AE50" s="890">
        <f>BaseAttack+Dexterity+VLOOKUP(Size,SizeTable,3,false)+tMeleeAttack</f>
        <v>5</v>
      </c>
      <c r="AF50" s="892">
        <f>Intelligence+tMeleeDamage</f>
        <v>8</v>
      </c>
      <c r="AG50" s="886"/>
      <c r="AH50" s="886"/>
    </row>
    <row r="51">
      <c r="A51" s="888" t="s">
        <v>1013</v>
      </c>
      <c r="B51" s="886"/>
      <c r="C51" s="889" t="s">
        <v>1107</v>
      </c>
      <c r="D51" s="890">
        <f>BaseAttack+Dexterity+VLOOKUP(Size,SizeTable,3,false)+tMeleeAttack</f>
        <v>5</v>
      </c>
      <c r="E51" s="892">
        <f>INT(Dexterity*1.5)+tMeleeDamage+t2HDamage</f>
        <v>4</v>
      </c>
      <c r="F51" s="889" t="s">
        <v>1110</v>
      </c>
      <c r="G51" s="890">
        <f>BaseAttack+Dexterity+VLOOKUP(Size,SizeTable,3,false)+tMeleeAttack</f>
        <v>5</v>
      </c>
      <c r="H51" s="892">
        <f>Dexterity+tMeleeDamage+tOHDamage</f>
        <v>3</v>
      </c>
      <c r="I51" s="889" t="s">
        <v>1066</v>
      </c>
      <c r="J51" s="890">
        <f>BaseAttack+Wisdom+VLOOKUP(Size,SizeTable,3,false)+tRangedAttack</f>
        <v>2</v>
      </c>
      <c r="K51" s="892">
        <f>tRangedDamage</f>
        <v>0</v>
      </c>
      <c r="L51" s="889" t="s">
        <v>1090</v>
      </c>
      <c r="M51" s="890"/>
      <c r="N51" s="892"/>
      <c r="O51" s="889" t="s">
        <v>1114</v>
      </c>
      <c r="P51" s="890">
        <f>BaseAttack-'Main Sheet'!$AM$2+'Main Sheet'!$AQ$2+Wisdom+VLOOKUP(Size,SizeTable,4,false)+tRangedAttack</f>
        <v>4</v>
      </c>
      <c r="Q51" s="895" t="str">
        <f t="shared" si="7"/>
        <v>#DIV/0!</v>
      </c>
      <c r="R51" s="910"/>
      <c r="S51" s="904"/>
      <c r="T51" s="892"/>
      <c r="U51" s="889" t="s">
        <v>1115</v>
      </c>
      <c r="V51" s="890">
        <f>MAX(BaseAttack,iferror(vlookup("Monk",'Main Sheet'!$AE$2:$AQ$4,13,false),""))+Wisdom+VLOOKUP(Size,SizeTable,3,false)+tMeleeAttack</f>
        <v>2</v>
      </c>
      <c r="W51" s="892">
        <f>Strength+tMeleeDamage</f>
        <v>0</v>
      </c>
      <c r="X51" s="889"/>
      <c r="Y51" s="890"/>
      <c r="Z51" s="892"/>
      <c r="AA51" s="889" t="s">
        <v>1117</v>
      </c>
      <c r="AB51" s="890">
        <f>BaseAttack+Dexterity+VLOOKUP(Size,SizeTable,3,false)+tMeleeAttack</f>
        <v>5</v>
      </c>
      <c r="AC51" s="892">
        <f>Strength+tMeleeDamage</f>
        <v>0</v>
      </c>
      <c r="AD51" s="889" t="s">
        <v>1122</v>
      </c>
      <c r="AE51" s="890">
        <f>BaseAttack+Intelligence+VLOOKUP(Size,SizeTable,4,false)+tMeleeAttack</f>
        <v>10</v>
      </c>
      <c r="AF51" s="892" t="str">
        <f>1/0</f>
        <v>#DIV/0!</v>
      </c>
      <c r="AG51" s="886"/>
      <c r="AH51" s="886"/>
    </row>
    <row r="52">
      <c r="A52" s="888" t="s">
        <v>1018</v>
      </c>
      <c r="B52" s="933"/>
      <c r="C52" s="889"/>
      <c r="D52" s="890"/>
      <c r="E52" s="892"/>
      <c r="F52" s="889" t="s">
        <v>1090</v>
      </c>
      <c r="G52" s="890"/>
      <c r="H52" s="892"/>
      <c r="I52" s="889" t="s">
        <v>1127</v>
      </c>
      <c r="J52" s="890">
        <f>BaseAttack+Wisdom+VLOOKUP(Size,SizeTable,3,false)+tRangedAttack</f>
        <v>2</v>
      </c>
      <c r="K52" s="892">
        <f>Strength+tRangedDamage</f>
        <v>0</v>
      </c>
      <c r="L52" s="889" t="s">
        <v>1066</v>
      </c>
      <c r="M52" s="890">
        <f>BaseAttack+Wisdom+VLOOKUP(Size,SizeTable,3,false)+tRangedAttack</f>
        <v>2</v>
      </c>
      <c r="N52" s="892">
        <f>tRangedDamage</f>
        <v>0</v>
      </c>
      <c r="O52" s="889" t="s">
        <v>1090</v>
      </c>
      <c r="P52" s="890"/>
      <c r="Q52" s="892"/>
      <c r="R52" s="910"/>
      <c r="S52" s="904"/>
      <c r="T52" s="892"/>
      <c r="U52" s="889" t="s">
        <v>1131</v>
      </c>
      <c r="V52" s="890">
        <f>MAX(BaseAttack,iferror(vlookup("Monk",'Main Sheet'!$AE$2:$AQ$4,13,false),""))+Wisdom+VLOOKUP(Size,SizeTable,3,false)+tMeleeAttack</f>
        <v>2</v>
      </c>
      <c r="W52" s="892">
        <f>IFERROR(__xludf.DUMMYFUNCTION("if(or(arrayformula(regexmatch('Main Sheet'!$AE$2:$AE$4,""Monk \(Unchained\)""))),rounddown(Strength*1.5),Strength)+tMeleeDamage+t2HDamage"),0.0)</f>
        <v>0</v>
      </c>
      <c r="X52" s="889" t="s">
        <v>1133</v>
      </c>
      <c r="Y52" s="890">
        <f>BaseAttack+Wisdom+VLOOKUP(Size,SizeTable,3,false)+tMeleeAttack</f>
        <v>2</v>
      </c>
      <c r="Z52" s="892">
        <f>Strength+tMeleeDamage</f>
        <v>0</v>
      </c>
      <c r="AA52" s="889" t="s">
        <v>1135</v>
      </c>
      <c r="AB52" s="890">
        <f>BaseAttack+Dexterity+VLOOKUP(Size,SizeTable,3,false)+tMeleeAttack</f>
        <v>5</v>
      </c>
      <c r="AC52" s="892">
        <f>Strength+tMeleeDamage</f>
        <v>0</v>
      </c>
      <c r="AD52" s="889" t="s">
        <v>1090</v>
      </c>
      <c r="AE52" s="890"/>
      <c r="AF52" s="892"/>
      <c r="AG52" s="886"/>
      <c r="AH52" s="886"/>
    </row>
    <row r="53">
      <c r="A53" s="888" t="s">
        <v>1019</v>
      </c>
      <c r="B53" s="933"/>
      <c r="C53" s="889" t="s">
        <v>1090</v>
      </c>
      <c r="D53" s="890"/>
      <c r="E53" s="892"/>
      <c r="F53" s="889" t="s">
        <v>1136</v>
      </c>
      <c r="G53" s="890">
        <f>BaseAttack+Wisdom+VLOOKUP(Size,SizeTable,3,false)+tMeleeAttack</f>
        <v>2</v>
      </c>
      <c r="H53" s="892">
        <f>rounddown(0.5*Strength,0)+tMeleeDamage+tOHDamage</f>
        <v>0</v>
      </c>
      <c r="I53" s="889" t="s">
        <v>1137</v>
      </c>
      <c r="J53" s="890">
        <f>BaseAttack+Wisdom+VLOOKUP(Size,SizeTable,3,false)+tRangedAttack</f>
        <v>2</v>
      </c>
      <c r="K53" s="892">
        <f>Wisdom+tRangedDamage</f>
        <v>0</v>
      </c>
      <c r="L53" s="889" t="s">
        <v>1139</v>
      </c>
      <c r="M53" s="890">
        <f>BaseAttack+Wisdom+VLOOKUP(Size,SizeTable,3,false)+tRangedAttack</f>
        <v>2</v>
      </c>
      <c r="N53" s="892">
        <f>ROUNDDOWN(Strength*0.5,0)+tRangedDamage</f>
        <v>0</v>
      </c>
      <c r="O53" s="889" t="s">
        <v>1141</v>
      </c>
      <c r="P53" s="890" t="str">
        <f>#REF!+#REF!</f>
        <v>#REF!</v>
      </c>
      <c r="Q53" s="895" t="str">
        <f>1/0</f>
        <v>#DIV/0!</v>
      </c>
      <c r="R53" s="910"/>
      <c r="S53" s="904"/>
      <c r="T53" s="892"/>
      <c r="U53" s="889" t="s">
        <v>1142</v>
      </c>
      <c r="V53" s="890">
        <f>MAX(BaseAttack,iferror(vlookup("Monk",'Main Sheet'!$AE$2:$AQ$4,13,false),""))+Wisdom+VLOOKUP(Size,SizeTable,3,false)+tMeleeAttack</f>
        <v>2</v>
      </c>
      <c r="W53" s="892">
        <f>Wisdom+tMeleeDamage</f>
        <v>0</v>
      </c>
      <c r="X53" s="889" t="s">
        <v>1143</v>
      </c>
      <c r="Y53" s="890">
        <f>BaseAttack+Wisdom+VLOOKUP(Size,SizeTable,3,false)+tMeleeAttack</f>
        <v>2</v>
      </c>
      <c r="Z53" s="892">
        <f>Wisdom+tMeleeDamage</f>
        <v>0</v>
      </c>
      <c r="AA53" s="889" t="s">
        <v>1144</v>
      </c>
      <c r="AB53" s="890">
        <f>BaseAttack+Dexterity+VLOOKUP(Size,SizeTable,3,false)+tMeleeAttack</f>
        <v>5</v>
      </c>
      <c r="AC53" s="892">
        <f>INT(Strength*0.5)+tMeleeDamage</f>
        <v>0</v>
      </c>
      <c r="AD53" s="889" t="s">
        <v>1146</v>
      </c>
      <c r="AE53" s="890">
        <f>BaseAttack+Dexterity+VLOOKUP(Size,SizeTable,3,false)+tRangedAttack</f>
        <v>5</v>
      </c>
      <c r="AF53" s="892">
        <f>Constitution+tRangedDamage</f>
        <v>4</v>
      </c>
      <c r="AG53" s="886"/>
      <c r="AH53" s="886"/>
    </row>
    <row r="54">
      <c r="A54" s="888" t="s">
        <v>242</v>
      </c>
      <c r="B54" s="933"/>
      <c r="C54" s="889" t="s">
        <v>1147</v>
      </c>
      <c r="D54" s="890">
        <f>BaseAttack+Wisdom+VLOOKUP(Size,SizeTable,3,false)+tMeleeAttack</f>
        <v>2</v>
      </c>
      <c r="E54" s="892">
        <f>Strength+tMeleeDamage</f>
        <v>0</v>
      </c>
      <c r="F54" s="889" t="s">
        <v>1148</v>
      </c>
      <c r="G54" s="890">
        <f>BaseAttack+Wisdom+VLOOKUP(Size,SizeTable,3,false)+tMeleeAttack</f>
        <v>2</v>
      </c>
      <c r="H54" s="892">
        <f>Strength+tMeleeDamage+tOHDamage</f>
        <v>0</v>
      </c>
      <c r="I54" s="910"/>
      <c r="J54" s="904"/>
      <c r="K54" s="892"/>
      <c r="L54" s="889" t="s">
        <v>1150</v>
      </c>
      <c r="M54" s="890">
        <f>BaseAttack+Wisdom+VLOOKUP(Size,SizeTable,3,false)+tRangedAttack</f>
        <v>2</v>
      </c>
      <c r="N54" s="892">
        <f>Strength+tRangedDamage</f>
        <v>0</v>
      </c>
      <c r="O54" s="910"/>
      <c r="P54" s="904"/>
      <c r="Q54" s="892"/>
      <c r="R54" s="910"/>
      <c r="S54" s="904"/>
      <c r="T54" s="892"/>
      <c r="U54" s="889" t="s">
        <v>1151</v>
      </c>
      <c r="V54" s="890"/>
      <c r="W54" s="892"/>
      <c r="X54" s="889" t="s">
        <v>1062</v>
      </c>
      <c r="Y54" s="890"/>
      <c r="Z54" s="892"/>
      <c r="AA54" s="889" t="s">
        <v>1090</v>
      </c>
      <c r="AB54" s="890"/>
      <c r="AC54" s="892"/>
      <c r="AD54" s="889" t="s">
        <v>1152</v>
      </c>
      <c r="AE54" s="890">
        <f>BaseAttack+Dexterity+VLOOKUP(Size,SizeTable,3,false)+tRangedAttack</f>
        <v>5</v>
      </c>
      <c r="AF54" s="892">
        <f>rounddown(0.5*Constitution,0)+tRangedDamage</f>
        <v>2</v>
      </c>
      <c r="AG54" s="886"/>
      <c r="AH54" s="886"/>
    </row>
    <row r="55">
      <c r="A55" s="940"/>
      <c r="B55" s="933" t="s">
        <v>766</v>
      </c>
      <c r="C55" s="889" t="s">
        <v>1154</v>
      </c>
      <c r="D55" s="890">
        <f>BaseAttack+Wisdom+VLOOKUP(Size,SizeTable,3,false)+tMeleeAttack</f>
        <v>2</v>
      </c>
      <c r="E55" s="892">
        <f>Wisdom+tMeleeDamage</f>
        <v>0</v>
      </c>
      <c r="F55" s="889" t="s">
        <v>1155</v>
      </c>
      <c r="G55" s="890">
        <f>BaseAttack+Wisdom+VLOOKUP(Size,SizeTable,3,false)+tMeleeAttack</f>
        <v>2</v>
      </c>
      <c r="H55" s="892">
        <f>rounddown(0.5*Dexterity,0)+tMeleeDamage+tOHDamage</f>
        <v>1</v>
      </c>
      <c r="I55" s="910"/>
      <c r="J55" s="904"/>
      <c r="K55" s="892"/>
      <c r="L55" s="889" t="s">
        <v>1156</v>
      </c>
      <c r="M55" s="890">
        <f>BaseAttack+Wisdom+VLOOKUP(Size,SizeTable,3,false)+tRangedAttack</f>
        <v>2</v>
      </c>
      <c r="N55" s="892">
        <f>ROUNDDOWN(Wisdom*0.5,0)+tRangedDamage</f>
        <v>0</v>
      </c>
      <c r="O55" s="910"/>
      <c r="P55" s="904"/>
      <c r="Q55" s="892"/>
      <c r="R55" s="910"/>
      <c r="S55" s="904"/>
      <c r="T55" s="892"/>
      <c r="U55" s="889" t="s">
        <v>1157</v>
      </c>
      <c r="V55" s="890">
        <f>MAX(BaseAttack,iferror(vlookup("Monk",'Main Sheet'!$AE$2:$AQ$4,13,false),""))+Dexterity+VLOOKUP(Size,SizeTable,3,false)+tRangedAttack</f>
        <v>5</v>
      </c>
      <c r="W55" s="892">
        <f>tRangedDamage</f>
        <v>0</v>
      </c>
      <c r="X55" s="889" t="s">
        <v>1159</v>
      </c>
      <c r="Y55" s="890">
        <f>BaseAttack+Dexterity+VLOOKUP(Size,SizeTable,3,false)+tRangedAttack</f>
        <v>5</v>
      </c>
      <c r="Z55" s="892">
        <f>tRangedDamage</f>
        <v>0</v>
      </c>
      <c r="AA55" s="941" t="s">
        <v>1160</v>
      </c>
      <c r="AB55" s="942">
        <f>BaseAttack+Dexterity+VLOOKUP(Size,SizeTable,3,false)+tMeleeAttack</f>
        <v>5</v>
      </c>
      <c r="AC55" s="943">
        <f>INT(Dexterity*1.5)+tMeleeDamage+t2HDamage</f>
        <v>4</v>
      </c>
      <c r="AD55" s="889" t="s">
        <v>1162</v>
      </c>
      <c r="AE55" s="890">
        <f>BaseAttack+Dexterity+VLOOKUP(Size,SizeTable,3,false)+tMeleeAttack</f>
        <v>5</v>
      </c>
      <c r="AF55" s="892">
        <f>Constitution+tRangedDamage</f>
        <v>4</v>
      </c>
      <c r="AG55" s="886"/>
      <c r="AH55" s="886"/>
    </row>
    <row r="56">
      <c r="A56" s="940"/>
      <c r="B56" s="886"/>
      <c r="C56" s="889" t="s">
        <v>664</v>
      </c>
      <c r="D56" s="890">
        <f>BaseAttack+Intelligence+VLOOKUP(Size,SizeTable,3,false)+tMeleeAttack</f>
        <v>10</v>
      </c>
      <c r="E56" s="892">
        <f>Intelligence+tMeleeDamage</f>
        <v>8</v>
      </c>
      <c r="F56" s="889" t="s">
        <v>1164</v>
      </c>
      <c r="G56" s="890">
        <f>BaseAttack+Wisdom+VLOOKUP(Size,SizeTable,3,false)+tMeleeAttack</f>
        <v>2</v>
      </c>
      <c r="H56" s="892">
        <f>Dexterity+tMeleeDamage+tOHDamage</f>
        <v>3</v>
      </c>
      <c r="I56" s="910"/>
      <c r="J56" s="904"/>
      <c r="K56" s="895"/>
      <c r="L56" s="889" t="s">
        <v>1137</v>
      </c>
      <c r="M56" s="890">
        <f>BaseAttack+Wisdom+VLOOKUP(Size,SizeTable,3,false)+tRangedAttack</f>
        <v>2</v>
      </c>
      <c r="N56" s="892">
        <f>Wisdom+tRangedDamage</f>
        <v>0</v>
      </c>
      <c r="O56" s="910"/>
      <c r="P56" s="904"/>
      <c r="Q56" s="892"/>
      <c r="R56" s="910"/>
      <c r="S56" s="904"/>
      <c r="T56" s="892"/>
      <c r="U56" s="889" t="s">
        <v>1166</v>
      </c>
      <c r="V56" s="890">
        <f>MAX(BaseAttack,iferror(vlookup("Monk",'Main Sheet'!$AE$2:$AQ$4,13,false),""))+Dexterity+VLOOKUP(Size,SizeTable,3,false)+tRangedAttack</f>
        <v>5</v>
      </c>
      <c r="W56" s="892">
        <f>Strength+tRangedDamage</f>
        <v>0</v>
      </c>
      <c r="X56" s="889" t="s">
        <v>1167</v>
      </c>
      <c r="Y56" s="890">
        <f>BaseAttack+Dexterity+VLOOKUP(Size,SizeTable,3,false)+tRangedAttack</f>
        <v>5</v>
      </c>
      <c r="Z56" s="892">
        <f>Strength+tRangedDamage</f>
        <v>0</v>
      </c>
      <c r="AA56" s="941" t="s">
        <v>1168</v>
      </c>
      <c r="AB56" s="942">
        <f>BaseAttack+Dexterity+VLOOKUP(Size,SizeTable,3,false)+tMeleeAttack</f>
        <v>5</v>
      </c>
      <c r="AC56" s="943">
        <f>Dexterity+tMeleeDamage</f>
        <v>3</v>
      </c>
      <c r="AD56" s="889" t="s">
        <v>1170</v>
      </c>
      <c r="AE56" s="890">
        <f>BaseAttack+Dexterity+VLOOKUP(Size,SizeTable,3,false)+tMeleeAttack</f>
        <v>5</v>
      </c>
      <c r="AF56" s="892">
        <f>rounddown(0.5*Constitution,0)+tRangedDamage</f>
        <v>2</v>
      </c>
      <c r="AG56" s="886"/>
      <c r="AH56" s="886"/>
    </row>
    <row r="57">
      <c r="A57" s="940"/>
      <c r="B57" s="886"/>
      <c r="C57" s="889"/>
      <c r="D57" s="890"/>
      <c r="E57" s="892"/>
      <c r="F57" s="910"/>
      <c r="G57" s="904"/>
      <c r="H57" s="892"/>
      <c r="I57" s="910"/>
      <c r="J57" s="904"/>
      <c r="K57" s="895"/>
      <c r="L57" s="910"/>
      <c r="M57" s="904"/>
      <c r="N57" s="892"/>
      <c r="O57" s="910"/>
      <c r="P57" s="904"/>
      <c r="Q57" s="892"/>
      <c r="R57" s="910"/>
      <c r="S57" s="904"/>
      <c r="T57" s="892"/>
      <c r="U57" s="889" t="s">
        <v>1171</v>
      </c>
      <c r="V57" s="890">
        <f>MAX(BaseAttack,iferror(vlookup("Monk",'Main Sheet'!$AE$2:$AQ$4,13,false),""))+Dexterity+VLOOKUP(Size,SizeTable,3,false)+tRangedAttack</f>
        <v>5</v>
      </c>
      <c r="W57" s="892">
        <f>Dexterity+tRangedDamage</f>
        <v>3</v>
      </c>
      <c r="X57" s="889" t="s">
        <v>1173</v>
      </c>
      <c r="Y57" s="890">
        <f>BaseAttack+Dexterity+VLOOKUP(Size,SizeTable,3,false)+tRangedAttack</f>
        <v>5</v>
      </c>
      <c r="Z57" s="892">
        <f>Dexterity+tRangedDamage</f>
        <v>3</v>
      </c>
      <c r="AA57" s="941" t="s">
        <v>1174</v>
      </c>
      <c r="AB57" s="942">
        <f>BaseAttack+Dexterity+VLOOKUP(Size,SizeTable,3,false)+tMeleeAttack</f>
        <v>5</v>
      </c>
      <c r="AC57" s="943">
        <f>Dexterity+tMeleeDamage</f>
        <v>3</v>
      </c>
      <c r="AD57" s="889" t="s">
        <v>1176</v>
      </c>
      <c r="AE57" s="890">
        <f>BaseAttack+Strength+VLOOKUP(Size,SizeTable,3,false)+tMeleeAttack</f>
        <v>2</v>
      </c>
      <c r="AF57" s="892">
        <f>Constitution+tMeleeDamage</f>
        <v>4</v>
      </c>
      <c r="AG57" s="886"/>
      <c r="AH57" s="886"/>
    </row>
    <row r="58">
      <c r="A58" s="940"/>
      <c r="B58" s="886"/>
      <c r="C58" s="889"/>
      <c r="D58" s="890"/>
      <c r="E58" s="892"/>
      <c r="F58" s="910"/>
      <c r="G58" s="904"/>
      <c r="H58" s="892"/>
      <c r="I58" s="910"/>
      <c r="J58" s="904"/>
      <c r="K58" s="895"/>
      <c r="L58" s="910"/>
      <c r="M58" s="904"/>
      <c r="N58" s="892"/>
      <c r="O58" s="910"/>
      <c r="P58" s="904"/>
      <c r="Q58" s="892"/>
      <c r="R58" s="889"/>
      <c r="S58" s="890"/>
      <c r="T58" s="890"/>
      <c r="U58" s="889" t="s">
        <v>1177</v>
      </c>
      <c r="V58" s="890">
        <f>MAX(BaseAttack,iferror(vlookup("Monk",'Main Sheet'!$AE$2:$AQ$4,13,false),""))+Strength+VLOOKUP(Size,SizeTable,3,false)+tRangedAttack</f>
        <v>2</v>
      </c>
      <c r="W58" s="892">
        <f>Strength+tRangedDamage</f>
        <v>0</v>
      </c>
      <c r="X58" s="889" t="s">
        <v>1178</v>
      </c>
      <c r="Y58" s="890">
        <f>BaseAttack+Strength+VLOOKUP(Size,SizeTable,3,false)+tRangedAttack</f>
        <v>2</v>
      </c>
      <c r="Z58" s="892">
        <f>Strength+tRangedDamage</f>
        <v>0</v>
      </c>
      <c r="AA58" s="941" t="s">
        <v>1180</v>
      </c>
      <c r="AB58" s="942">
        <f>BaseAttack+Dexterity+VLOOKUP(Size,SizeTable,3,false)+tMeleeAttack</f>
        <v>5</v>
      </c>
      <c r="AC58" s="943">
        <f>INT(Dexterity*0.5)+tMeleeDamage</f>
        <v>1</v>
      </c>
      <c r="AD58" s="889" t="s">
        <v>1181</v>
      </c>
      <c r="AE58" s="890">
        <f>BaseAttack+Strength+VLOOKUP(Size,SizeTable,3,false)+tMeleeAttack</f>
        <v>2</v>
      </c>
      <c r="AF58" s="892">
        <f>rounddown(0.5*Constitution,0)+tMeleeDamage</f>
        <v>2</v>
      </c>
      <c r="AG58" s="886"/>
      <c r="AH58" s="886"/>
    </row>
    <row r="59">
      <c r="A59" s="940"/>
      <c r="B59" s="886"/>
      <c r="C59" s="889"/>
      <c r="D59" s="890"/>
      <c r="E59" s="892"/>
      <c r="F59" s="910"/>
      <c r="G59" s="904"/>
      <c r="H59" s="892"/>
      <c r="I59" s="910"/>
      <c r="J59" s="904"/>
      <c r="K59" s="895"/>
      <c r="L59" s="910"/>
      <c r="M59" s="904"/>
      <c r="N59" s="892"/>
      <c r="O59" s="910"/>
      <c r="P59" s="904"/>
      <c r="Q59" s="892"/>
      <c r="R59" s="889"/>
      <c r="S59" s="890"/>
      <c r="T59" s="890"/>
      <c r="U59" s="889" t="s">
        <v>1183</v>
      </c>
      <c r="V59" s="890">
        <f>MAX(BaseAttack,iferror(vlookup("Monk",'Main Sheet'!$AE$2:$AQ$4,13,false),""))+Wisdom+VLOOKUP(Size,SizeTable,3,false)+tRangedAttack</f>
        <v>2</v>
      </c>
      <c r="W59" s="892">
        <f>Strength+tRangedDamage</f>
        <v>0</v>
      </c>
      <c r="X59" s="889" t="s">
        <v>1184</v>
      </c>
      <c r="Y59" s="890">
        <f>BaseAttack+Wisdom+VLOOKUP(Size,SizeTable,3,false)+tRangedAttack</f>
        <v>2</v>
      </c>
      <c r="Z59" s="892">
        <f>tRangedDamage</f>
        <v>0</v>
      </c>
      <c r="AA59" s="944"/>
      <c r="AB59" s="944"/>
      <c r="AC59" s="944"/>
      <c r="AD59" s="910"/>
      <c r="AE59" s="944"/>
      <c r="AF59" s="945"/>
      <c r="AG59" s="886"/>
      <c r="AH59" s="886"/>
    </row>
    <row r="60">
      <c r="A60" s="940"/>
      <c r="B60" s="886"/>
      <c r="C60" s="889"/>
      <c r="D60" s="890"/>
      <c r="E60" s="892"/>
      <c r="F60" s="910"/>
      <c r="G60" s="904"/>
      <c r="H60" s="892"/>
      <c r="I60" s="910"/>
      <c r="J60" s="904"/>
      <c r="K60" s="895"/>
      <c r="L60" s="910"/>
      <c r="M60" s="904"/>
      <c r="N60" s="892"/>
      <c r="O60" s="910"/>
      <c r="P60" s="904"/>
      <c r="Q60" s="892"/>
      <c r="R60" s="889"/>
      <c r="S60" s="890"/>
      <c r="T60" s="890"/>
      <c r="U60" s="889" t="s">
        <v>1186</v>
      </c>
      <c r="V60" s="890">
        <f>MAX(BaseAttack,iferror(vlookup("Monk",'Main Sheet'!$AE$2:$AQ$4,13,false),""))+Wisdom+VLOOKUP(Size,SizeTable,3,false)+tRangedAttack</f>
        <v>2</v>
      </c>
      <c r="W60" s="892">
        <f>Wisdom+tRangedDamage</f>
        <v>0</v>
      </c>
      <c r="X60" s="889" t="s">
        <v>1187</v>
      </c>
      <c r="Y60" s="890">
        <f>BaseAttack+Wisdom+VLOOKUP(Size,SizeTable,3,false)+tRangedAttack</f>
        <v>2</v>
      </c>
      <c r="Z60" s="892">
        <f>Strength+tRangedDamage</f>
        <v>0</v>
      </c>
      <c r="AA60" s="946"/>
      <c r="AB60" s="946"/>
      <c r="AC60" s="946"/>
      <c r="AD60" s="910"/>
      <c r="AE60" s="944"/>
      <c r="AF60" s="945"/>
      <c r="AG60" s="886"/>
      <c r="AH60" s="886"/>
    </row>
    <row r="61">
      <c r="A61" s="940"/>
      <c r="B61" s="886"/>
      <c r="C61" s="910"/>
      <c r="D61" s="904"/>
      <c r="E61" s="892"/>
      <c r="F61" s="910"/>
      <c r="G61" s="904"/>
      <c r="H61" s="892"/>
      <c r="I61" s="910"/>
      <c r="J61" s="904"/>
      <c r="K61" s="895"/>
      <c r="L61" s="910"/>
      <c r="M61" s="904"/>
      <c r="N61" s="892"/>
      <c r="O61" s="910"/>
      <c r="P61" s="904"/>
      <c r="Q61" s="892"/>
      <c r="R61" s="889"/>
      <c r="S61" s="890"/>
      <c r="T61" s="890"/>
      <c r="U61" s="889"/>
      <c r="V61" s="904"/>
      <c r="W61" s="892"/>
      <c r="X61" s="889" t="s">
        <v>1188</v>
      </c>
      <c r="Y61" s="890">
        <f>BaseAttack+Wisdom+VLOOKUP(Size,SizeTable,3,false)+tRangedAttack</f>
        <v>2</v>
      </c>
      <c r="Z61" s="892">
        <f>Wisdom+tRangedDamage</f>
        <v>0</v>
      </c>
      <c r="AA61" s="946"/>
      <c r="AB61" s="946"/>
      <c r="AC61" s="946"/>
      <c r="AD61" s="910"/>
      <c r="AE61" s="944"/>
      <c r="AF61" s="945"/>
      <c r="AG61" s="886"/>
      <c r="AH61" s="886"/>
    </row>
    <row r="62">
      <c r="A62" s="940"/>
      <c r="B62" s="886"/>
      <c r="C62" s="910"/>
      <c r="D62" s="904"/>
      <c r="E62" s="892"/>
      <c r="F62" s="910"/>
      <c r="G62" s="904"/>
      <c r="H62" s="892"/>
      <c r="I62" s="910"/>
      <c r="J62" s="904"/>
      <c r="K62" s="895"/>
      <c r="L62" s="910"/>
      <c r="M62" s="904"/>
      <c r="N62" s="892"/>
      <c r="O62" s="910"/>
      <c r="P62" s="904"/>
      <c r="Q62" s="892"/>
      <c r="R62" s="889"/>
      <c r="S62" s="890"/>
      <c r="T62" s="890"/>
      <c r="U62" s="889"/>
      <c r="V62" s="904"/>
      <c r="W62" s="892"/>
      <c r="X62" s="889"/>
      <c r="Y62" s="890"/>
      <c r="Z62" s="892"/>
      <c r="AA62" s="946"/>
      <c r="AB62" s="946"/>
      <c r="AC62" s="946"/>
      <c r="AD62" s="910"/>
      <c r="AE62" s="944"/>
      <c r="AF62" s="945"/>
      <c r="AG62" s="886"/>
      <c r="AH62" s="886"/>
    </row>
    <row r="63">
      <c r="A63" s="940"/>
      <c r="B63" s="886"/>
      <c r="C63" s="910"/>
      <c r="D63" s="904"/>
      <c r="E63" s="892"/>
      <c r="F63" s="910"/>
      <c r="G63" s="904"/>
      <c r="H63" s="892"/>
      <c r="I63" s="910"/>
      <c r="J63" s="904"/>
      <c r="K63" s="895"/>
      <c r="L63" s="910"/>
      <c r="M63" s="904"/>
      <c r="N63" s="892"/>
      <c r="O63" s="910"/>
      <c r="P63" s="904"/>
      <c r="Q63" s="892"/>
      <c r="R63" s="889"/>
      <c r="S63" s="890"/>
      <c r="T63" s="890"/>
      <c r="U63" s="889"/>
      <c r="V63" s="904"/>
      <c r="W63" s="892"/>
      <c r="X63" s="889"/>
      <c r="Y63" s="890"/>
      <c r="Z63" s="892"/>
      <c r="AA63" s="946"/>
      <c r="AB63" s="946"/>
      <c r="AC63" s="946"/>
      <c r="AD63" s="910"/>
      <c r="AE63" s="944"/>
      <c r="AF63" s="945"/>
      <c r="AG63" s="886"/>
      <c r="AH63" s="886"/>
    </row>
    <row r="64">
      <c r="A64" s="940"/>
      <c r="B64" s="886"/>
      <c r="C64" s="910"/>
      <c r="D64" s="904"/>
      <c r="E64" s="892"/>
      <c r="F64" s="910"/>
      <c r="G64" s="904"/>
      <c r="H64" s="892"/>
      <c r="I64" s="910"/>
      <c r="J64" s="904"/>
      <c r="K64" s="895"/>
      <c r="L64" s="910"/>
      <c r="M64" s="904"/>
      <c r="N64" s="892"/>
      <c r="O64" s="910"/>
      <c r="P64" s="904"/>
      <c r="Q64" s="892"/>
      <c r="R64" s="889"/>
      <c r="S64" s="890"/>
      <c r="T64" s="890"/>
      <c r="U64" s="889"/>
      <c r="V64" s="904"/>
      <c r="W64" s="892"/>
      <c r="X64" s="889"/>
      <c r="Y64" s="890"/>
      <c r="Z64" s="892"/>
      <c r="AA64" s="946"/>
      <c r="AB64" s="946"/>
      <c r="AC64" s="946"/>
      <c r="AD64" s="910"/>
      <c r="AE64" s="944"/>
      <c r="AF64" s="945"/>
      <c r="AG64" s="886"/>
      <c r="AH64" s="886"/>
    </row>
    <row r="65">
      <c r="A65" s="940"/>
      <c r="B65" s="886"/>
      <c r="C65" s="910"/>
      <c r="D65" s="904"/>
      <c r="E65" s="892"/>
      <c r="F65" s="910"/>
      <c r="G65" s="904"/>
      <c r="H65" s="892"/>
      <c r="I65" s="910"/>
      <c r="J65" s="904"/>
      <c r="K65" s="895"/>
      <c r="L65" s="910"/>
      <c r="M65" s="904"/>
      <c r="N65" s="892"/>
      <c r="O65" s="910"/>
      <c r="P65" s="904"/>
      <c r="Q65" s="892"/>
      <c r="R65" s="889"/>
      <c r="S65" s="890"/>
      <c r="T65" s="890"/>
      <c r="U65" s="889"/>
      <c r="V65" s="904"/>
      <c r="W65" s="892"/>
      <c r="X65" s="889"/>
      <c r="Y65" s="890"/>
      <c r="Z65" s="892"/>
      <c r="AA65" s="946"/>
      <c r="AB65" s="946"/>
      <c r="AC65" s="946"/>
      <c r="AD65" s="910"/>
      <c r="AE65" s="944"/>
      <c r="AF65" s="945"/>
      <c r="AG65" s="886"/>
      <c r="AH65" s="886"/>
    </row>
    <row r="66">
      <c r="A66" s="940"/>
      <c r="B66" s="886"/>
      <c r="C66" s="910"/>
      <c r="D66" s="904"/>
      <c r="E66" s="892"/>
      <c r="F66" s="910"/>
      <c r="G66" s="904"/>
      <c r="H66" s="892"/>
      <c r="I66" s="910"/>
      <c r="J66" s="904"/>
      <c r="K66" s="895"/>
      <c r="L66" s="910"/>
      <c r="M66" s="904"/>
      <c r="N66" s="892"/>
      <c r="O66" s="910"/>
      <c r="P66" s="904"/>
      <c r="Q66" s="892"/>
      <c r="R66" s="910"/>
      <c r="S66" s="904"/>
      <c r="T66" s="892"/>
      <c r="U66" s="889"/>
      <c r="V66" s="904"/>
      <c r="W66" s="892"/>
      <c r="X66" s="889"/>
      <c r="Y66" s="904"/>
      <c r="Z66" s="892"/>
      <c r="AA66" s="944"/>
      <c r="AB66" s="944"/>
      <c r="AC66" s="944"/>
      <c r="AD66" s="910"/>
      <c r="AE66" s="944"/>
      <c r="AF66" s="945"/>
      <c r="AG66" s="886"/>
      <c r="AH66" s="886"/>
    </row>
    <row r="67">
      <c r="A67" s="940"/>
      <c r="B67" s="886"/>
      <c r="C67" s="910"/>
      <c r="D67" s="904"/>
      <c r="E67" s="892"/>
      <c r="F67" s="910"/>
      <c r="G67" s="904"/>
      <c r="H67" s="892"/>
      <c r="I67" s="910"/>
      <c r="J67" s="904"/>
      <c r="K67" s="895"/>
      <c r="L67" s="910"/>
      <c r="M67" s="904"/>
      <c r="N67" s="892"/>
      <c r="O67" s="910"/>
      <c r="P67" s="904"/>
      <c r="Q67" s="892"/>
      <c r="R67" s="910"/>
      <c r="S67" s="904"/>
      <c r="T67" s="892"/>
      <c r="U67" s="889"/>
      <c r="V67" s="904"/>
      <c r="W67" s="892"/>
      <c r="X67" s="889"/>
      <c r="Y67" s="904"/>
      <c r="Z67" s="892"/>
      <c r="AA67" s="944"/>
      <c r="AB67" s="944"/>
      <c r="AC67" s="944"/>
      <c r="AD67" s="910"/>
      <c r="AE67" s="944"/>
      <c r="AF67" s="945"/>
      <c r="AG67" s="886"/>
      <c r="AH67" s="886"/>
    </row>
    <row r="68">
      <c r="A68" s="940"/>
      <c r="B68" s="886"/>
      <c r="C68" s="910"/>
      <c r="D68" s="904"/>
      <c r="E68" s="892"/>
      <c r="F68" s="910"/>
      <c r="G68" s="904"/>
      <c r="H68" s="892"/>
      <c r="I68" s="910"/>
      <c r="J68" s="904"/>
      <c r="K68" s="895"/>
      <c r="L68" s="910"/>
      <c r="M68" s="904"/>
      <c r="N68" s="892"/>
      <c r="O68" s="910"/>
      <c r="P68" s="904"/>
      <c r="Q68" s="892"/>
      <c r="R68" s="910"/>
      <c r="S68" s="904"/>
      <c r="T68" s="892"/>
      <c r="U68" s="889"/>
      <c r="V68" s="890"/>
      <c r="W68" s="892"/>
      <c r="X68" s="889"/>
      <c r="Y68" s="904"/>
      <c r="Z68" s="892"/>
      <c r="AA68" s="944"/>
      <c r="AB68" s="944"/>
      <c r="AC68" s="944"/>
      <c r="AD68" s="910"/>
      <c r="AE68" s="944"/>
      <c r="AF68" s="945"/>
      <c r="AG68" s="886"/>
      <c r="AH68" s="886"/>
    </row>
    <row r="69">
      <c r="A69" s="940"/>
      <c r="B69" s="886"/>
      <c r="C69" s="947"/>
      <c r="D69" s="948"/>
      <c r="E69" s="949"/>
      <c r="F69" s="947"/>
      <c r="G69" s="948"/>
      <c r="H69" s="949"/>
      <c r="I69" s="947"/>
      <c r="J69" s="948"/>
      <c r="K69" s="950"/>
      <c r="L69" s="947"/>
      <c r="M69" s="948"/>
      <c r="N69" s="949"/>
      <c r="O69" s="951"/>
      <c r="P69" s="948"/>
      <c r="Q69" s="949"/>
      <c r="R69" s="947"/>
      <c r="S69" s="948"/>
      <c r="T69" s="949"/>
      <c r="U69" s="947"/>
      <c r="V69" s="948"/>
      <c r="W69" s="949"/>
      <c r="X69" s="947"/>
      <c r="Y69" s="948"/>
      <c r="Z69" s="949"/>
      <c r="AA69" s="952"/>
      <c r="AB69" s="952"/>
      <c r="AC69" s="952"/>
      <c r="AD69" s="947"/>
      <c r="AE69" s="952"/>
      <c r="AF69" s="953"/>
      <c r="AG69" s="886"/>
      <c r="AH69" s="886"/>
    </row>
    <row r="70">
      <c r="A70" s="844"/>
      <c r="B70" s="844"/>
      <c r="C70" s="844"/>
      <c r="D70" s="844"/>
      <c r="E70" s="844"/>
      <c r="F70" s="844"/>
      <c r="G70" s="844"/>
      <c r="H70" s="844"/>
      <c r="I70" s="844"/>
      <c r="J70" s="844"/>
      <c r="K70" s="850"/>
      <c r="L70" s="844"/>
      <c r="M70" s="844"/>
      <c r="N70" s="844"/>
      <c r="O70" s="850"/>
      <c r="P70" s="844"/>
      <c r="Q70" s="844"/>
      <c r="R70" s="844"/>
      <c r="S70" s="844"/>
      <c r="T70" s="844"/>
      <c r="U70" s="844"/>
      <c r="V70" s="844"/>
      <c r="W70" s="844"/>
      <c r="X70" s="954"/>
      <c r="Y70" s="954"/>
      <c r="Z70" s="954"/>
      <c r="AA70" s="844"/>
      <c r="AB70" s="844"/>
      <c r="AC70" s="844"/>
      <c r="AD70" s="844"/>
      <c r="AE70" s="844"/>
      <c r="AF70" s="844"/>
      <c r="AG70" s="844"/>
      <c r="AH70" s="844"/>
    </row>
    <row r="71">
      <c r="A71" s="955" t="s">
        <v>1191</v>
      </c>
      <c r="B71" s="956" t="str">
        <f>"'Formula References'!"&amp;ADDRESS(ROW(C71),COLUMN(C71),1)&amp;":"&amp;ADDRESS(Row(E93),Column(E93),1)</f>
        <v>'Formula References'!$C$71:$E$93</v>
      </c>
      <c r="C71" s="957" t="s">
        <v>1192</v>
      </c>
      <c r="D71" s="958"/>
      <c r="E71" s="959"/>
      <c r="F71" s="957" t="s">
        <v>1194</v>
      </c>
      <c r="G71" s="958"/>
      <c r="H71" s="959"/>
      <c r="I71" s="957" t="s">
        <v>1195</v>
      </c>
      <c r="J71" s="960"/>
      <c r="K71" s="961"/>
      <c r="L71" s="957" t="s">
        <v>1196</v>
      </c>
      <c r="M71" s="960"/>
      <c r="N71" s="961"/>
      <c r="O71" s="957" t="s">
        <v>1197</v>
      </c>
      <c r="P71" s="960"/>
      <c r="Q71" s="961"/>
      <c r="R71" s="957" t="s">
        <v>1198</v>
      </c>
      <c r="S71" s="958"/>
      <c r="T71" s="959"/>
      <c r="U71" s="954"/>
      <c r="V71" s="954"/>
      <c r="W71" s="954"/>
      <c r="X71" s="844"/>
      <c r="Y71" s="844"/>
      <c r="Z71" s="850"/>
      <c r="AA71" s="844"/>
      <c r="AB71" s="844"/>
      <c r="AC71" s="844"/>
      <c r="AD71" s="844"/>
      <c r="AE71" s="844"/>
      <c r="AF71" s="844"/>
      <c r="AG71" s="844"/>
      <c r="AH71" s="844"/>
    </row>
    <row r="72">
      <c r="A72" s="955" t="s">
        <v>1199</v>
      </c>
      <c r="B72" s="956" t="str">
        <f>"'Formula References'!"&amp;ADDRESS(ROW($F71),COLUMN($F71),1)&amp;":"&amp;ADDRESS(Row($H93),Column($H93),1)</f>
        <v>'Formula References'!$F$71:$H$93</v>
      </c>
      <c r="C72" s="962" t="str">
        <f t="array" ref="C72:E91">if(istext('Main Sheet'!$M26),Offset(INDEX($C$44:$AF$69,1,MATCH('Main Sheet'!$M26,$C$44:$AF$44,0)),0,0,20,3),"No Category Selected")</f>
        <v>Melee Attack</v>
      </c>
      <c r="D72" s="890" t="s">
        <v>982</v>
      </c>
      <c r="E72" s="892">
        <v>1.0</v>
      </c>
      <c r="F72" s="962" t="str">
        <f t="array" ref="F72:H91">if(istext('Main Sheet'!$M27),Offset(INDEX($C$44:$AF$69,1,MATCH('Main Sheet'!$M27,$C$44:$AF$44,0)),0,0,20,3),"No Category Selected")</f>
        <v>Melee Attack</v>
      </c>
      <c r="G72" s="904" t="s">
        <v>982</v>
      </c>
      <c r="H72" s="892">
        <v>1.0</v>
      </c>
      <c r="I72" s="963" t="str">
        <f t="array" ref="I72">if(istext('Main Sheet'!$M28),Offset(INDEX($C$44:$AF$69,1,MATCH('Main Sheet'!$M28,$C$44:$AF$44,0)),0,0,20,3),"No Category Selected")</f>
        <v>No Category Selected</v>
      </c>
      <c r="J72" s="964"/>
      <c r="K72" s="965"/>
      <c r="L72" s="963" t="str">
        <f t="array" ref="L72">if(istext('Main Sheet'!$M29),Offset(INDEX($C$44:$AF$69,1,MATCH('Main Sheet'!$M29,$C$44:$AF$44,0)),0,0,20,3),"No Category Selected")</f>
        <v>No Category Selected</v>
      </c>
      <c r="M72" s="964"/>
      <c r="N72" s="967"/>
      <c r="O72" s="963" t="str">
        <f t="array" ref="O72">if(istext('Main Sheet'!$M30),Offset(INDEX($C$44:$AF$69,1,MATCH('Main Sheet'!$M30,$C$44:$AF$44,0)),0,0,20,3),"No Category Selected")</f>
        <v>No Category Selected</v>
      </c>
      <c r="P72" s="964"/>
      <c r="Q72" s="967"/>
      <c r="R72" s="963" t="str">
        <f t="array" ref="R72">if(istext('Main Sheet'!$M31),Offset(INDEX($C$44:$AF$69,1,MATCH('Main Sheet'!$M31,$C$44:$AF$44,0)),0,0,20,3),"No Category Selected")</f>
        <v>No Category Selected</v>
      </c>
      <c r="S72" s="968"/>
      <c r="T72" s="970"/>
      <c r="U72" s="954"/>
      <c r="V72" s="954"/>
      <c r="W72" s="954"/>
      <c r="X72" s="844"/>
      <c r="Y72" s="844"/>
      <c r="Z72" s="844"/>
      <c r="AA72" s="844"/>
      <c r="AB72" s="844"/>
      <c r="AC72" s="844"/>
      <c r="AD72" s="844"/>
      <c r="AE72" s="844"/>
      <c r="AF72" s="844"/>
      <c r="AG72" s="844"/>
      <c r="AH72" s="844"/>
    </row>
    <row r="73">
      <c r="A73" s="955" t="s">
        <v>1205</v>
      </c>
      <c r="B73" s="956" t="str">
        <f>"'Formula References'!"&amp;ADDRESS(ROW($I71),COLUMN($I71),1)&amp;":"&amp;ADDRESS(Row($K93),Column($K93),1)</f>
        <v>'Formula References'!$I$71:$K$93</v>
      </c>
      <c r="C73" s="910" t="s">
        <v>1022</v>
      </c>
      <c r="D73" s="890">
        <v>2.0</v>
      </c>
      <c r="E73" s="892">
        <v>0.0</v>
      </c>
      <c r="F73" s="910" t="s">
        <v>1022</v>
      </c>
      <c r="G73" s="904">
        <v>2.0</v>
      </c>
      <c r="H73" s="892">
        <v>0.0</v>
      </c>
      <c r="I73" s="974"/>
      <c r="J73" s="964"/>
      <c r="K73" s="965"/>
      <c r="L73" s="974"/>
      <c r="M73" s="964"/>
      <c r="N73" s="967"/>
      <c r="O73" s="976"/>
      <c r="P73" s="964"/>
      <c r="Q73" s="967"/>
      <c r="R73" s="974"/>
      <c r="S73" s="964"/>
      <c r="T73" s="967"/>
      <c r="U73" s="954"/>
      <c r="V73" s="954"/>
      <c r="W73" s="954"/>
      <c r="X73" s="844"/>
      <c r="Y73" s="844"/>
      <c r="Z73" s="844"/>
      <c r="AA73" s="844"/>
      <c r="AB73" s="844"/>
      <c r="AC73" s="844"/>
      <c r="AD73" s="844"/>
      <c r="AE73" s="844"/>
      <c r="AF73" s="844"/>
      <c r="AG73" s="844"/>
      <c r="AH73" s="844"/>
    </row>
    <row r="74">
      <c r="A74" s="955" t="s">
        <v>1208</v>
      </c>
      <c r="B74" s="956" t="str">
        <f>"'Formula References'!"&amp;ADDRESS(ROW($L71),COLUMN($L71),1)&amp;":"&amp;ADDRESS(Row($N93),Column($N93),1)</f>
        <v>'Formula References'!$L$71:$N$93</v>
      </c>
      <c r="C74" s="910" t="s">
        <v>1047</v>
      </c>
      <c r="D74" s="890">
        <v>2.0</v>
      </c>
      <c r="E74" s="892">
        <v>0.0</v>
      </c>
      <c r="F74" s="910" t="s">
        <v>1047</v>
      </c>
      <c r="G74" s="904">
        <v>2.0</v>
      </c>
      <c r="H74" s="892">
        <v>0.0</v>
      </c>
      <c r="I74" s="974"/>
      <c r="J74" s="964"/>
      <c r="K74" s="965"/>
      <c r="L74" s="974"/>
      <c r="M74" s="964"/>
      <c r="N74" s="967"/>
      <c r="O74" s="976"/>
      <c r="P74" s="964"/>
      <c r="Q74" s="967"/>
      <c r="R74" s="974"/>
      <c r="S74" s="964"/>
      <c r="T74" s="967"/>
      <c r="U74" s="954"/>
      <c r="V74" s="954"/>
      <c r="W74" s="954"/>
      <c r="X74" s="844"/>
      <c r="Y74" s="844"/>
      <c r="Z74" s="844"/>
      <c r="AA74" s="844"/>
      <c r="AB74" s="844"/>
      <c r="AC74" s="844"/>
      <c r="AD74" s="844"/>
      <c r="AE74" s="844"/>
      <c r="AF74" s="844"/>
      <c r="AG74" s="844"/>
      <c r="AH74" s="844"/>
    </row>
    <row r="75">
      <c r="A75" s="955" t="s">
        <v>1209</v>
      </c>
      <c r="B75" s="956" t="str">
        <f>"'Formula References'!"&amp;ADDRESS(ROW($O71),COLUMN($O71),1)&amp;":"&amp;ADDRESS(Row($Q93),Column($Q93),1)</f>
        <v>'Formula References'!$O$71:$Q$93</v>
      </c>
      <c r="C75" s="910"/>
      <c r="D75" s="890"/>
      <c r="E75" s="892"/>
      <c r="F75" s="910"/>
      <c r="G75" s="904"/>
      <c r="H75" s="892"/>
      <c r="I75" s="974"/>
      <c r="J75" s="964"/>
      <c r="K75" s="965"/>
      <c r="L75" s="974"/>
      <c r="M75" s="964"/>
      <c r="N75" s="967"/>
      <c r="O75" s="976"/>
      <c r="P75" s="964"/>
      <c r="Q75" s="967"/>
      <c r="R75" s="974"/>
      <c r="S75" s="964"/>
      <c r="T75" s="967"/>
      <c r="U75" s="954"/>
      <c r="V75" s="954"/>
      <c r="W75" s="954"/>
      <c r="X75" s="844"/>
      <c r="Y75" s="844"/>
      <c r="Z75" s="844"/>
      <c r="AA75" s="844"/>
      <c r="AB75" s="844"/>
      <c r="AC75" s="844"/>
      <c r="AD75" s="844"/>
      <c r="AE75" s="844"/>
      <c r="AF75" s="844"/>
      <c r="AG75" s="844"/>
      <c r="AH75" s="844"/>
    </row>
    <row r="76">
      <c r="A76" s="955" t="s">
        <v>1210</v>
      </c>
      <c r="B76" s="956" t="str">
        <f>"'Formula References'!"&amp;ADDRESS(ROW($R71),COLUMN($R71),1)&amp;":"&amp;ADDRESS(Row($T$94),Column($T93),1)</f>
        <v>'Formula References'!$R$71:$T$94</v>
      </c>
      <c r="C76" s="910" t="s">
        <v>1062</v>
      </c>
      <c r="D76" s="890"/>
      <c r="E76" s="892"/>
      <c r="F76" s="910" t="s">
        <v>1062</v>
      </c>
      <c r="G76" s="904"/>
      <c r="H76" s="892"/>
      <c r="I76" s="974"/>
      <c r="J76" s="964"/>
      <c r="K76" s="965"/>
      <c r="L76" s="974"/>
      <c r="M76" s="964"/>
      <c r="N76" s="967"/>
      <c r="O76" s="976"/>
      <c r="P76" s="964"/>
      <c r="Q76" s="967"/>
      <c r="R76" s="974"/>
      <c r="S76" s="964"/>
      <c r="T76" s="967"/>
      <c r="U76" s="954"/>
      <c r="V76" s="954"/>
      <c r="W76" s="954"/>
      <c r="X76" s="844"/>
      <c r="Y76" s="844"/>
      <c r="Z76" s="844"/>
      <c r="AA76" s="844"/>
      <c r="AB76" s="844"/>
      <c r="AC76" s="844"/>
      <c r="AD76" s="844"/>
      <c r="AE76" s="844"/>
      <c r="AF76" s="844"/>
      <c r="AG76" s="844"/>
      <c r="AH76" s="844"/>
    </row>
    <row r="77">
      <c r="A77" s="955" t="s">
        <v>1210</v>
      </c>
      <c r="B77" s="956" t="str">
        <f>"'Formula References'!"&amp;ADDRESS(ROW(#REF!),COLUMN(#REF!),1)&amp;":"&amp;ADDRESS(Row($T$94),Column($T94),1)</f>
        <v>#REF!</v>
      </c>
      <c r="C77" s="910" t="s">
        <v>1076</v>
      </c>
      <c r="D77" s="890">
        <v>5.0</v>
      </c>
      <c r="E77" s="892">
        <v>0.0</v>
      </c>
      <c r="F77" s="910" t="s">
        <v>1076</v>
      </c>
      <c r="G77" s="904">
        <v>5.0</v>
      </c>
      <c r="H77" s="892">
        <v>0.0</v>
      </c>
      <c r="I77" s="974"/>
      <c r="J77" s="964"/>
      <c r="K77" s="965"/>
      <c r="L77" s="974"/>
      <c r="M77" s="964"/>
      <c r="N77" s="967"/>
      <c r="O77" s="976"/>
      <c r="P77" s="964"/>
      <c r="Q77" s="967"/>
      <c r="R77" s="974"/>
      <c r="S77" s="964"/>
      <c r="T77" s="967"/>
      <c r="U77" s="954"/>
      <c r="V77" s="954"/>
      <c r="W77" s="954"/>
      <c r="X77" s="844"/>
      <c r="Y77" s="844"/>
      <c r="Z77" s="844"/>
      <c r="AA77" s="844"/>
      <c r="AB77" s="844"/>
      <c r="AC77" s="844"/>
      <c r="AD77" s="844"/>
      <c r="AE77" s="844"/>
      <c r="AF77" s="844"/>
      <c r="AG77" s="844"/>
      <c r="AH77" s="844"/>
    </row>
    <row r="78">
      <c r="A78" s="844"/>
      <c r="B78" s="844"/>
      <c r="C78" s="910" t="s">
        <v>1088</v>
      </c>
      <c r="D78" s="890">
        <v>5.0</v>
      </c>
      <c r="E78" s="892">
        <v>3.0</v>
      </c>
      <c r="F78" s="910" t="s">
        <v>1088</v>
      </c>
      <c r="G78" s="904">
        <v>5.0</v>
      </c>
      <c r="H78" s="892">
        <v>3.0</v>
      </c>
      <c r="I78" s="974"/>
      <c r="J78" s="964"/>
      <c r="K78" s="965"/>
      <c r="L78" s="974"/>
      <c r="M78" s="964"/>
      <c r="N78" s="967"/>
      <c r="O78" s="976"/>
      <c r="P78" s="964"/>
      <c r="Q78" s="967"/>
      <c r="R78" s="974"/>
      <c r="S78" s="964"/>
      <c r="T78" s="967"/>
      <c r="U78" s="954"/>
      <c r="V78" s="954"/>
      <c r="W78" s="954"/>
      <c r="X78" s="844"/>
      <c r="Y78" s="844"/>
      <c r="Z78" s="844"/>
      <c r="AA78" s="844"/>
      <c r="AB78" s="844"/>
      <c r="AC78" s="844"/>
      <c r="AD78" s="844"/>
      <c r="AE78" s="844"/>
      <c r="AF78" s="844"/>
      <c r="AG78" s="844"/>
      <c r="AH78" s="844"/>
    </row>
    <row r="79">
      <c r="A79" s="844"/>
      <c r="B79" s="844"/>
      <c r="C79" s="910" t="s">
        <v>1107</v>
      </c>
      <c r="D79" s="890">
        <v>5.0</v>
      </c>
      <c r="E79" s="892">
        <v>4.0</v>
      </c>
      <c r="F79" s="910" t="s">
        <v>1107</v>
      </c>
      <c r="G79" s="904">
        <v>5.0</v>
      </c>
      <c r="H79" s="892">
        <v>4.0</v>
      </c>
      <c r="I79" s="974"/>
      <c r="J79" s="964"/>
      <c r="K79" s="965"/>
      <c r="L79" s="974"/>
      <c r="M79" s="964"/>
      <c r="N79" s="967"/>
      <c r="O79" s="976"/>
      <c r="P79" s="964"/>
      <c r="Q79" s="967"/>
      <c r="R79" s="974"/>
      <c r="S79" s="964"/>
      <c r="T79" s="967"/>
      <c r="U79" s="954"/>
      <c r="V79" s="954"/>
      <c r="W79" s="954"/>
      <c r="X79" s="844"/>
      <c r="Y79" s="844"/>
      <c r="Z79" s="844"/>
      <c r="AA79" s="844"/>
      <c r="AB79" s="844"/>
      <c r="AC79" s="844"/>
      <c r="AD79" s="844"/>
      <c r="AE79" s="844"/>
      <c r="AF79" s="844"/>
      <c r="AG79" s="844"/>
      <c r="AH79" s="844"/>
    </row>
    <row r="80">
      <c r="A80" s="844"/>
      <c r="B80" s="844"/>
      <c r="C80" s="910"/>
      <c r="D80" s="904"/>
      <c r="E80" s="892"/>
      <c r="F80" s="910"/>
      <c r="G80" s="904"/>
      <c r="H80" s="892"/>
      <c r="I80" s="974"/>
      <c r="J80" s="964"/>
      <c r="K80" s="965"/>
      <c r="L80" s="974"/>
      <c r="M80" s="964"/>
      <c r="N80" s="967"/>
      <c r="O80" s="976"/>
      <c r="P80" s="964"/>
      <c r="Q80" s="967"/>
      <c r="R80" s="974"/>
      <c r="S80" s="964"/>
      <c r="T80" s="967"/>
      <c r="U80" s="954"/>
      <c r="V80" s="954"/>
      <c r="W80" s="954"/>
      <c r="X80" s="844"/>
      <c r="Y80" s="844"/>
      <c r="Z80" s="844"/>
      <c r="AA80" s="844"/>
      <c r="AB80" s="844"/>
      <c r="AC80" s="844"/>
      <c r="AD80" s="844"/>
      <c r="AE80" s="844"/>
      <c r="AF80" s="844"/>
      <c r="AG80" s="844"/>
      <c r="AH80" s="844"/>
    </row>
    <row r="81">
      <c r="A81" s="844"/>
      <c r="B81" s="844"/>
      <c r="C81" s="910" t="s">
        <v>1090</v>
      </c>
      <c r="D81" s="904"/>
      <c r="E81" s="892"/>
      <c r="F81" s="910" t="s">
        <v>1090</v>
      </c>
      <c r="G81" s="904"/>
      <c r="H81" s="892"/>
      <c r="I81" s="974"/>
      <c r="J81" s="968"/>
      <c r="K81" s="992"/>
      <c r="L81" s="974"/>
      <c r="M81" s="964"/>
      <c r="N81" s="967"/>
      <c r="O81" s="976"/>
      <c r="P81" s="968"/>
      <c r="Q81" s="970"/>
      <c r="R81" s="974"/>
      <c r="S81" s="964"/>
      <c r="T81" s="967"/>
      <c r="U81" s="954"/>
      <c r="V81" s="954"/>
      <c r="W81" s="954"/>
      <c r="X81" s="844"/>
      <c r="Y81" s="844"/>
      <c r="Z81" s="844"/>
      <c r="AA81" s="844"/>
      <c r="AB81" s="844"/>
      <c r="AC81" s="844"/>
      <c r="AD81" s="844"/>
      <c r="AE81" s="844"/>
      <c r="AF81" s="844"/>
      <c r="AG81" s="844"/>
      <c r="AH81" s="844"/>
    </row>
    <row r="82">
      <c r="A82" s="844"/>
      <c r="B82" s="844"/>
      <c r="C82" s="910" t="s">
        <v>1147</v>
      </c>
      <c r="D82" s="944">
        <v>2.0</v>
      </c>
      <c r="E82" s="945">
        <v>0.0</v>
      </c>
      <c r="F82" s="910" t="s">
        <v>1147</v>
      </c>
      <c r="G82" s="944">
        <v>2.0</v>
      </c>
      <c r="H82" s="945">
        <v>0.0</v>
      </c>
      <c r="I82" s="974"/>
      <c r="J82" s="968"/>
      <c r="K82" s="992"/>
      <c r="L82" s="974"/>
      <c r="M82" s="968"/>
      <c r="N82" s="970"/>
      <c r="O82" s="976"/>
      <c r="P82" s="968"/>
      <c r="Q82" s="970"/>
      <c r="R82" s="974"/>
      <c r="S82" s="968"/>
      <c r="T82" s="970"/>
      <c r="U82" s="954"/>
      <c r="V82" s="954"/>
      <c r="W82" s="954"/>
      <c r="X82" s="844"/>
      <c r="Y82" s="844"/>
      <c r="Z82" s="844"/>
      <c r="AA82" s="844"/>
      <c r="AB82" s="844"/>
      <c r="AC82" s="844"/>
      <c r="AD82" s="844"/>
      <c r="AE82" s="844"/>
      <c r="AF82" s="844"/>
      <c r="AG82" s="844"/>
      <c r="AH82" s="844"/>
    </row>
    <row r="83">
      <c r="A83" s="844"/>
      <c r="B83" s="844"/>
      <c r="C83" s="910" t="s">
        <v>1154</v>
      </c>
      <c r="D83" s="944">
        <v>2.0</v>
      </c>
      <c r="E83" s="945">
        <v>0.0</v>
      </c>
      <c r="F83" s="910" t="s">
        <v>1154</v>
      </c>
      <c r="G83" s="944">
        <v>2.0</v>
      </c>
      <c r="H83" s="945">
        <v>0.0</v>
      </c>
      <c r="I83" s="974"/>
      <c r="J83" s="968"/>
      <c r="K83" s="992"/>
      <c r="L83" s="974"/>
      <c r="M83" s="968"/>
      <c r="N83" s="970"/>
      <c r="O83" s="976"/>
      <c r="P83" s="968"/>
      <c r="Q83" s="970"/>
      <c r="R83" s="974"/>
      <c r="S83" s="968"/>
      <c r="T83" s="970"/>
      <c r="U83" s="954"/>
      <c r="V83" s="954"/>
      <c r="W83" s="954"/>
      <c r="X83" s="844"/>
      <c r="Y83" s="844"/>
      <c r="Z83" s="844"/>
      <c r="AA83" s="844"/>
      <c r="AB83" s="844"/>
      <c r="AC83" s="844"/>
      <c r="AD83" s="844"/>
      <c r="AE83" s="844"/>
      <c r="AF83" s="844"/>
      <c r="AG83" s="844"/>
      <c r="AH83" s="844"/>
    </row>
    <row r="84">
      <c r="A84" s="844"/>
      <c r="B84" s="844"/>
      <c r="C84" s="910" t="s">
        <v>664</v>
      </c>
      <c r="D84" s="944">
        <v>10.0</v>
      </c>
      <c r="E84" s="945">
        <v>8.0</v>
      </c>
      <c r="F84" s="910" t="s">
        <v>664</v>
      </c>
      <c r="G84" s="944">
        <v>10.0</v>
      </c>
      <c r="H84" s="945">
        <v>8.0</v>
      </c>
      <c r="I84" s="974"/>
      <c r="J84" s="968"/>
      <c r="K84" s="992"/>
      <c r="L84" s="974"/>
      <c r="M84" s="968"/>
      <c r="N84" s="970"/>
      <c r="O84" s="976"/>
      <c r="P84" s="968"/>
      <c r="Q84" s="970"/>
      <c r="R84" s="974"/>
      <c r="S84" s="968"/>
      <c r="T84" s="970"/>
      <c r="U84" s="954"/>
      <c r="V84" s="954"/>
      <c r="W84" s="954"/>
      <c r="X84" s="844"/>
      <c r="Y84" s="844"/>
      <c r="Z84" s="844"/>
      <c r="AA84" s="844"/>
      <c r="AB84" s="844"/>
      <c r="AC84" s="844"/>
      <c r="AD84" s="844"/>
      <c r="AE84" s="844"/>
      <c r="AF84" s="844"/>
      <c r="AG84" s="844"/>
      <c r="AH84" s="844"/>
    </row>
    <row r="85">
      <c r="A85" s="844"/>
      <c r="B85" s="844"/>
      <c r="C85" s="910"/>
      <c r="D85" s="944"/>
      <c r="E85" s="945"/>
      <c r="F85" s="910"/>
      <c r="G85" s="944"/>
      <c r="H85" s="945"/>
      <c r="I85" s="974"/>
      <c r="J85" s="968"/>
      <c r="K85" s="992"/>
      <c r="L85" s="974"/>
      <c r="M85" s="968"/>
      <c r="N85" s="970"/>
      <c r="O85" s="976"/>
      <c r="P85" s="968"/>
      <c r="Q85" s="970"/>
      <c r="R85" s="974"/>
      <c r="S85" s="968"/>
      <c r="T85" s="970"/>
      <c r="U85" s="954"/>
      <c r="V85" s="954"/>
      <c r="W85" s="954"/>
      <c r="X85" s="844"/>
      <c r="Y85" s="844"/>
      <c r="Z85" s="844"/>
      <c r="AA85" s="844"/>
      <c r="AB85" s="844"/>
      <c r="AC85" s="844"/>
      <c r="AD85" s="844"/>
      <c r="AE85" s="844"/>
      <c r="AF85" s="844"/>
      <c r="AG85" s="844"/>
      <c r="AH85" s="844"/>
    </row>
    <row r="86">
      <c r="A86" s="844"/>
      <c r="B86" s="844"/>
      <c r="C86" s="910"/>
      <c r="D86" s="944"/>
      <c r="E86" s="945"/>
      <c r="F86" s="910"/>
      <c r="G86" s="944"/>
      <c r="H86" s="945"/>
      <c r="I86" s="974"/>
      <c r="J86" s="968"/>
      <c r="K86" s="992"/>
      <c r="L86" s="974"/>
      <c r="M86" s="968"/>
      <c r="N86" s="970"/>
      <c r="O86" s="976"/>
      <c r="P86" s="968"/>
      <c r="Q86" s="970"/>
      <c r="R86" s="974"/>
      <c r="S86" s="968"/>
      <c r="T86" s="970"/>
      <c r="U86" s="954"/>
      <c r="V86" s="954"/>
      <c r="W86" s="954"/>
      <c r="X86" s="844"/>
      <c r="Y86" s="844"/>
      <c r="Z86" s="844"/>
      <c r="AA86" s="844"/>
      <c r="AB86" s="844"/>
      <c r="AC86" s="844"/>
      <c r="AD86" s="844"/>
      <c r="AE86" s="844"/>
      <c r="AF86" s="844"/>
      <c r="AG86" s="844"/>
      <c r="AH86" s="844"/>
    </row>
    <row r="87">
      <c r="A87" s="844"/>
      <c r="B87" s="844"/>
      <c r="C87" s="910"/>
      <c r="D87" s="944"/>
      <c r="E87" s="945"/>
      <c r="F87" s="910"/>
      <c r="G87" s="944"/>
      <c r="H87" s="945"/>
      <c r="I87" s="974"/>
      <c r="J87" s="968"/>
      <c r="K87" s="992"/>
      <c r="L87" s="974"/>
      <c r="M87" s="968"/>
      <c r="N87" s="970"/>
      <c r="O87" s="976"/>
      <c r="P87" s="968"/>
      <c r="Q87" s="970"/>
      <c r="R87" s="974"/>
      <c r="S87" s="968"/>
      <c r="T87" s="970"/>
      <c r="U87" s="954"/>
      <c r="V87" s="954"/>
      <c r="W87" s="954"/>
      <c r="X87" s="844"/>
      <c r="Y87" s="844"/>
      <c r="Z87" s="844"/>
      <c r="AA87" s="844"/>
      <c r="AB87" s="844"/>
      <c r="AC87" s="844"/>
      <c r="AD87" s="844"/>
      <c r="AE87" s="844"/>
      <c r="AF87" s="844"/>
      <c r="AG87" s="844"/>
      <c r="AH87" s="844"/>
    </row>
    <row r="88">
      <c r="A88" s="844"/>
      <c r="B88" s="844"/>
      <c r="C88" s="910"/>
      <c r="D88" s="944"/>
      <c r="E88" s="945"/>
      <c r="F88" s="910"/>
      <c r="G88" s="944"/>
      <c r="H88" s="945"/>
      <c r="I88" s="974"/>
      <c r="J88" s="968"/>
      <c r="K88" s="992"/>
      <c r="L88" s="974"/>
      <c r="M88" s="968"/>
      <c r="N88" s="970"/>
      <c r="O88" s="976"/>
      <c r="P88" s="968"/>
      <c r="Q88" s="970"/>
      <c r="R88" s="974"/>
      <c r="S88" s="968"/>
      <c r="T88" s="970"/>
      <c r="U88" s="954"/>
      <c r="V88" s="954"/>
      <c r="W88" s="954"/>
      <c r="X88" s="844"/>
      <c r="Y88" s="844"/>
      <c r="Z88" s="844"/>
      <c r="AA88" s="844"/>
      <c r="AB88" s="844"/>
      <c r="AC88" s="844"/>
      <c r="AD88" s="844"/>
      <c r="AE88" s="844"/>
      <c r="AF88" s="844"/>
      <c r="AG88" s="844"/>
      <c r="AH88" s="844"/>
    </row>
    <row r="89">
      <c r="A89" s="844"/>
      <c r="B89" s="844"/>
      <c r="C89" s="910"/>
      <c r="D89" s="944"/>
      <c r="E89" s="945"/>
      <c r="F89" s="910"/>
      <c r="G89" s="944"/>
      <c r="H89" s="945"/>
      <c r="I89" s="974"/>
      <c r="J89" s="968"/>
      <c r="K89" s="992"/>
      <c r="L89" s="974"/>
      <c r="M89" s="968"/>
      <c r="N89" s="970"/>
      <c r="O89" s="976"/>
      <c r="P89" s="968"/>
      <c r="Q89" s="970"/>
      <c r="R89" s="974"/>
      <c r="S89" s="968"/>
      <c r="T89" s="970"/>
      <c r="U89" s="954"/>
      <c r="V89" s="954"/>
      <c r="W89" s="954"/>
      <c r="X89" s="844"/>
      <c r="Y89" s="844"/>
      <c r="Z89" s="844"/>
      <c r="AA89" s="844"/>
      <c r="AB89" s="844"/>
      <c r="AC89" s="844"/>
      <c r="AD89" s="844"/>
      <c r="AE89" s="844"/>
      <c r="AF89" s="844"/>
      <c r="AG89" s="844"/>
      <c r="AH89" s="844"/>
    </row>
    <row r="90">
      <c r="A90" s="844"/>
      <c r="B90" s="844"/>
      <c r="C90" s="910"/>
      <c r="D90" s="944"/>
      <c r="E90" s="945"/>
      <c r="F90" s="910"/>
      <c r="G90" s="944"/>
      <c r="H90" s="945"/>
      <c r="I90" s="974"/>
      <c r="J90" s="968"/>
      <c r="K90" s="992"/>
      <c r="L90" s="974"/>
      <c r="M90" s="968"/>
      <c r="N90" s="970"/>
      <c r="O90" s="976"/>
      <c r="P90" s="968"/>
      <c r="Q90" s="970"/>
      <c r="R90" s="974"/>
      <c r="S90" s="968"/>
      <c r="T90" s="970"/>
      <c r="U90" s="954"/>
      <c r="V90" s="954"/>
      <c r="W90" s="954"/>
      <c r="X90" s="844"/>
      <c r="Y90" s="844"/>
      <c r="Z90" s="844"/>
      <c r="AA90" s="844"/>
      <c r="AB90" s="844"/>
      <c r="AC90" s="844"/>
      <c r="AD90" s="844"/>
      <c r="AE90" s="844"/>
      <c r="AF90" s="844"/>
      <c r="AG90" s="844"/>
      <c r="AH90" s="844"/>
    </row>
    <row r="91">
      <c r="A91" s="844"/>
      <c r="B91" s="844"/>
      <c r="C91" s="910"/>
      <c r="D91" s="944"/>
      <c r="E91" s="945"/>
      <c r="F91" s="910"/>
      <c r="G91" s="944"/>
      <c r="H91" s="945"/>
      <c r="I91" s="974"/>
      <c r="J91" s="968"/>
      <c r="K91" s="992"/>
      <c r="L91" s="974"/>
      <c r="M91" s="968"/>
      <c r="N91" s="970"/>
      <c r="O91" s="976"/>
      <c r="P91" s="968"/>
      <c r="Q91" s="970"/>
      <c r="R91" s="974"/>
      <c r="S91" s="968"/>
      <c r="T91" s="970"/>
      <c r="U91" s="954"/>
      <c r="V91" s="954"/>
      <c r="W91" s="954"/>
      <c r="X91" s="844"/>
      <c r="Y91" s="844"/>
      <c r="Z91" s="844"/>
      <c r="AA91" s="844"/>
      <c r="AB91" s="844"/>
      <c r="AC91" s="844"/>
      <c r="AD91" s="844"/>
      <c r="AE91" s="844"/>
      <c r="AF91" s="844"/>
      <c r="AG91" s="844"/>
      <c r="AH91" s="844"/>
    </row>
    <row r="92">
      <c r="A92" s="844"/>
      <c r="B92" s="844"/>
      <c r="C92" s="974"/>
      <c r="D92" s="968"/>
      <c r="E92" s="970"/>
      <c r="F92" s="974"/>
      <c r="G92" s="968"/>
      <c r="H92" s="970"/>
      <c r="I92" s="974"/>
      <c r="J92" s="968"/>
      <c r="K92" s="992"/>
      <c r="L92" s="974"/>
      <c r="M92" s="968"/>
      <c r="N92" s="970"/>
      <c r="O92" s="976"/>
      <c r="P92" s="968"/>
      <c r="Q92" s="970"/>
      <c r="R92" s="974"/>
      <c r="S92" s="968"/>
      <c r="T92" s="970"/>
      <c r="U92" s="954"/>
      <c r="V92" s="954"/>
      <c r="W92" s="954"/>
      <c r="X92" s="844"/>
      <c r="Y92" s="844"/>
      <c r="Z92" s="844"/>
      <c r="AA92" s="844"/>
      <c r="AB92" s="844"/>
      <c r="AC92" s="844"/>
      <c r="AD92" s="844"/>
      <c r="AE92" s="844"/>
      <c r="AF92" s="844"/>
      <c r="AG92" s="844"/>
      <c r="AH92" s="844"/>
    </row>
    <row r="93">
      <c r="A93" s="844"/>
      <c r="B93" s="844"/>
      <c r="C93" s="974"/>
      <c r="D93" s="968"/>
      <c r="E93" s="970"/>
      <c r="F93" s="974"/>
      <c r="G93" s="968"/>
      <c r="H93" s="970"/>
      <c r="I93" s="974"/>
      <c r="J93" s="968"/>
      <c r="K93" s="992"/>
      <c r="L93" s="974"/>
      <c r="M93" s="968"/>
      <c r="N93" s="970"/>
      <c r="O93" s="976"/>
      <c r="P93" s="968"/>
      <c r="Q93" s="970"/>
      <c r="R93" s="974"/>
      <c r="S93" s="968"/>
      <c r="T93" s="970"/>
      <c r="U93" s="954"/>
      <c r="V93" s="954"/>
      <c r="W93" s="954"/>
      <c r="X93" s="844"/>
      <c r="Y93" s="844"/>
      <c r="Z93" s="844"/>
      <c r="AA93" s="844"/>
      <c r="AB93" s="844"/>
      <c r="AC93" s="844"/>
      <c r="AD93" s="844"/>
      <c r="AE93" s="844"/>
      <c r="AF93" s="844"/>
      <c r="AG93" s="844"/>
      <c r="AH93" s="844"/>
    </row>
    <row r="94">
      <c r="A94" s="844"/>
      <c r="B94" s="844"/>
      <c r="C94" s="1004"/>
      <c r="D94" s="1005"/>
      <c r="E94" s="1006"/>
      <c r="F94" s="1004"/>
      <c r="G94" s="1005"/>
      <c r="H94" s="1006"/>
      <c r="I94" s="1004"/>
      <c r="J94" s="1005"/>
      <c r="K94" s="1007"/>
      <c r="L94" s="1004"/>
      <c r="M94" s="1005"/>
      <c r="N94" s="1006"/>
      <c r="O94" s="1008"/>
      <c r="P94" s="1005"/>
      <c r="Q94" s="1006"/>
      <c r="R94" s="1004"/>
      <c r="S94" s="1005"/>
      <c r="T94" s="1006"/>
      <c r="U94" s="954"/>
      <c r="V94" s="954"/>
      <c r="W94" s="954"/>
      <c r="X94" s="844"/>
      <c r="Y94" s="844"/>
      <c r="Z94" s="844"/>
      <c r="AA94" s="844"/>
      <c r="AB94" s="844"/>
      <c r="AC94" s="844"/>
      <c r="AD94" s="844"/>
      <c r="AE94" s="844"/>
      <c r="AF94" s="844"/>
      <c r="AG94" s="844"/>
      <c r="AH94" s="844"/>
    </row>
    <row r="95">
      <c r="A95" s="844"/>
      <c r="B95" s="844"/>
      <c r="C95" s="850"/>
      <c r="D95" s="844"/>
      <c r="E95" s="844"/>
      <c r="F95" s="844"/>
      <c r="G95" s="844"/>
      <c r="H95" s="844"/>
      <c r="I95" s="844"/>
      <c r="J95" s="850"/>
      <c r="K95" s="844"/>
      <c r="L95" s="844"/>
      <c r="M95" s="844"/>
      <c r="N95" s="850"/>
      <c r="O95" s="844"/>
      <c r="P95" s="844"/>
      <c r="Q95" s="844"/>
      <c r="R95" s="844"/>
      <c r="S95" s="844"/>
      <c r="T95" s="844"/>
      <c r="U95" s="844"/>
      <c r="V95" s="844"/>
      <c r="W95" s="844"/>
      <c r="X95" s="844"/>
      <c r="Y95" s="844"/>
      <c r="Z95" s="844"/>
      <c r="AA95" s="844"/>
      <c r="AB95" s="844"/>
      <c r="AC95" s="844"/>
      <c r="AD95" s="844"/>
      <c r="AE95" s="844"/>
      <c r="AF95" s="844"/>
      <c r="AG95" s="844"/>
      <c r="AH95" s="844"/>
    </row>
    <row r="96">
      <c r="A96" s="744" t="s">
        <v>1218</v>
      </c>
    </row>
    <row r="97">
      <c r="A97" s="1011" t="s">
        <v>1219</v>
      </c>
      <c r="H97" s="436"/>
    </row>
    <row r="98">
      <c r="A98" s="1012" t="s">
        <v>464</v>
      </c>
      <c r="H98" s="436"/>
    </row>
    <row r="99">
      <c r="A99" s="1012" t="s">
        <v>1220</v>
      </c>
      <c r="H99" s="436"/>
    </row>
    <row r="100">
      <c r="A100" s="1012" t="s">
        <v>1221</v>
      </c>
      <c r="H100" s="436"/>
    </row>
    <row r="101">
      <c r="A101" s="1012" t="s">
        <v>1222</v>
      </c>
      <c r="H101" s="436"/>
    </row>
    <row r="102">
      <c r="A102" s="1012" t="s">
        <v>1213</v>
      </c>
      <c r="H102" s="436"/>
    </row>
    <row r="103">
      <c r="A103" s="1013" t="s">
        <v>1223</v>
      </c>
      <c r="H103" s="436"/>
    </row>
    <row r="104">
      <c r="A104" s="1013" t="s">
        <v>1224</v>
      </c>
      <c r="B104" s="436"/>
      <c r="C104" s="436"/>
      <c r="D104" s="436"/>
      <c r="H104" s="436"/>
    </row>
    <row r="105">
      <c r="A105" s="1013" t="s">
        <v>1225</v>
      </c>
      <c r="B105" s="436"/>
      <c r="C105" s="436"/>
      <c r="D105" s="436"/>
      <c r="H105" s="436"/>
    </row>
    <row r="106">
      <c r="A106" s="1013" t="s">
        <v>1226</v>
      </c>
      <c r="B106" s="436"/>
      <c r="C106" s="436"/>
      <c r="D106" s="436"/>
      <c r="E106" s="1014"/>
      <c r="H106" s="436"/>
    </row>
    <row r="107">
      <c r="A107" s="1013" t="s">
        <v>1227</v>
      </c>
      <c r="B107" s="436"/>
      <c r="C107" s="436"/>
      <c r="D107" s="436"/>
      <c r="E107" s="1014"/>
      <c r="H107" s="436"/>
    </row>
    <row r="108">
      <c r="A108" s="1013" t="s">
        <v>467</v>
      </c>
      <c r="B108" s="436"/>
      <c r="C108" s="436"/>
      <c r="D108" s="436"/>
      <c r="E108" s="1014"/>
      <c r="H108" s="436"/>
    </row>
    <row r="109">
      <c r="A109" s="1013" t="s">
        <v>1228</v>
      </c>
      <c r="B109" s="436"/>
      <c r="C109" s="436"/>
      <c r="D109" s="436"/>
      <c r="E109" s="436"/>
      <c r="F109" s="436"/>
      <c r="G109" s="436"/>
      <c r="H109" s="436"/>
      <c r="J109" s="436"/>
      <c r="K109" s="436"/>
      <c r="L109" s="436"/>
      <c r="M109" s="436"/>
      <c r="N109" s="436"/>
      <c r="O109" s="436"/>
      <c r="P109" s="436"/>
    </row>
    <row r="110">
      <c r="A110" s="1012" t="s">
        <v>1230</v>
      </c>
      <c r="B110" s="436"/>
      <c r="C110" s="436"/>
      <c r="D110" s="436"/>
      <c r="E110" s="436"/>
      <c r="F110" s="436"/>
      <c r="G110" s="436"/>
      <c r="H110" s="436"/>
      <c r="J110" s="436"/>
      <c r="K110" s="436"/>
      <c r="L110" s="436"/>
      <c r="M110" s="436"/>
      <c r="N110" s="436"/>
      <c r="O110" s="436"/>
      <c r="P110" s="436"/>
    </row>
    <row r="111">
      <c r="A111" s="1015"/>
      <c r="B111" s="436"/>
      <c r="C111" s="436"/>
      <c r="D111" s="436"/>
      <c r="E111" s="436"/>
      <c r="F111" s="436"/>
      <c r="G111" s="436"/>
      <c r="H111" s="436"/>
      <c r="J111" s="436"/>
      <c r="K111" s="436"/>
      <c r="L111" s="436"/>
      <c r="M111" s="436"/>
      <c r="N111" s="436"/>
      <c r="O111" s="436"/>
      <c r="P111" s="436"/>
    </row>
    <row r="112">
      <c r="A112" s="1016"/>
      <c r="B112" s="436"/>
      <c r="C112" s="436"/>
      <c r="D112" s="436"/>
      <c r="E112" s="1014"/>
      <c r="H112" s="436"/>
    </row>
    <row r="113">
      <c r="A113" s="1017" t="s">
        <v>1231</v>
      </c>
      <c r="B113" s="1018"/>
      <c r="C113" s="1019"/>
      <c r="D113" s="1019"/>
      <c r="E113" s="1014"/>
      <c r="H113" s="436"/>
      <c r="U113" s="751"/>
      <c r="V113" s="751"/>
      <c r="W113" s="751"/>
      <c r="X113" s="751"/>
    </row>
    <row r="114">
      <c r="A114" s="751" t="s">
        <v>1232</v>
      </c>
      <c r="B114" s="751" t="s">
        <v>1233</v>
      </c>
      <c r="C114" s="751" t="s">
        <v>23</v>
      </c>
      <c r="D114" s="751" t="s">
        <v>1235</v>
      </c>
      <c r="E114" s="1014"/>
      <c r="H114" s="436"/>
      <c r="U114" s="751"/>
      <c r="V114" s="751"/>
      <c r="W114" s="751"/>
      <c r="X114" s="751"/>
    </row>
    <row r="115">
      <c r="A115" s="751">
        <v>1.0</v>
      </c>
      <c r="B115" s="751" t="s">
        <v>178</v>
      </c>
      <c r="C115" s="751" t="s">
        <v>178</v>
      </c>
      <c r="D115" s="751" t="s">
        <v>178</v>
      </c>
      <c r="E115" s="1014"/>
      <c r="H115" s="436"/>
      <c r="U115" s="751"/>
      <c r="V115" s="751"/>
      <c r="W115" s="751"/>
      <c r="X115" s="751"/>
    </row>
    <row r="116">
      <c r="A116" s="751">
        <v>2.0</v>
      </c>
      <c r="B116" s="751">
        <v>3000.0</v>
      </c>
      <c r="C116" s="751">
        <v>2000.0</v>
      </c>
      <c r="D116" s="751">
        <v>1300.0</v>
      </c>
      <c r="E116" s="1014"/>
      <c r="H116" s="436"/>
      <c r="U116" s="751"/>
      <c r="V116" s="751"/>
      <c r="W116" s="751"/>
      <c r="X116" s="751"/>
    </row>
    <row r="117">
      <c r="A117" s="751">
        <v>3.0</v>
      </c>
      <c r="B117" s="751">
        <v>7500.0</v>
      </c>
      <c r="C117" s="751">
        <v>5000.0</v>
      </c>
      <c r="D117" s="751">
        <v>3300.0</v>
      </c>
      <c r="E117" s="1014"/>
      <c r="U117" s="751"/>
      <c r="V117" s="751"/>
      <c r="W117" s="751"/>
      <c r="X117" s="751"/>
    </row>
    <row r="118">
      <c r="A118" s="751">
        <v>4.0</v>
      </c>
      <c r="B118" s="751">
        <v>14000.0</v>
      </c>
      <c r="C118" s="751">
        <v>9000.0</v>
      </c>
      <c r="D118" s="751">
        <v>6000.0</v>
      </c>
      <c r="E118" s="1014"/>
      <c r="U118" s="751"/>
      <c r="V118" s="751"/>
      <c r="W118" s="751"/>
      <c r="X118" s="751"/>
    </row>
    <row r="119">
      <c r="A119" s="751">
        <v>5.0</v>
      </c>
      <c r="B119" s="751">
        <v>23000.0</v>
      </c>
      <c r="C119" s="751">
        <v>15000.0</v>
      </c>
      <c r="D119" s="751">
        <v>10000.0</v>
      </c>
      <c r="E119" s="1014"/>
      <c r="U119" s="751"/>
      <c r="V119" s="751"/>
      <c r="W119" s="751"/>
      <c r="X119" s="751"/>
    </row>
    <row r="120">
      <c r="A120" s="751">
        <v>6.0</v>
      </c>
      <c r="B120" s="751">
        <v>35000.0</v>
      </c>
      <c r="C120" s="751">
        <v>23000.0</v>
      </c>
      <c r="D120" s="751">
        <v>15000.0</v>
      </c>
      <c r="E120" s="1014"/>
      <c r="U120" s="751"/>
      <c r="V120" s="751"/>
      <c r="W120" s="751"/>
      <c r="X120" s="751"/>
    </row>
    <row r="121">
      <c r="A121" s="751">
        <v>7.0</v>
      </c>
      <c r="B121" s="751">
        <v>53000.0</v>
      </c>
      <c r="C121" s="751">
        <v>35000.0</v>
      </c>
      <c r="D121" s="751">
        <v>23000.0</v>
      </c>
      <c r="E121" s="1014"/>
      <c r="U121" s="751"/>
      <c r="V121" s="751"/>
      <c r="W121" s="751"/>
      <c r="X121" s="751"/>
    </row>
    <row r="122">
      <c r="A122" s="751">
        <v>8.0</v>
      </c>
      <c r="B122" s="751">
        <v>77000.0</v>
      </c>
      <c r="C122" s="751">
        <v>51000.0</v>
      </c>
      <c r="D122" s="751">
        <v>34000.0</v>
      </c>
      <c r="E122" s="1014"/>
      <c r="U122" s="751"/>
      <c r="V122" s="751"/>
      <c r="W122" s="751"/>
      <c r="X122" s="751"/>
    </row>
    <row r="123">
      <c r="A123" s="751">
        <v>9.0</v>
      </c>
      <c r="B123" s="751">
        <v>115000.0</v>
      </c>
      <c r="C123" s="751">
        <v>75000.0</v>
      </c>
      <c r="D123" s="751">
        <v>50000.0</v>
      </c>
      <c r="E123" s="1014"/>
      <c r="U123" s="751"/>
      <c r="V123" s="751"/>
      <c r="W123" s="751"/>
      <c r="X123" s="751"/>
    </row>
    <row r="124">
      <c r="A124" s="751">
        <v>10.0</v>
      </c>
      <c r="B124" s="751">
        <v>160000.0</v>
      </c>
      <c r="C124" s="751">
        <v>105000.0</v>
      </c>
      <c r="D124" s="751">
        <v>71000.0</v>
      </c>
      <c r="E124" s="1014"/>
      <c r="U124" s="751"/>
      <c r="V124" s="751"/>
      <c r="W124" s="751"/>
      <c r="X124" s="751"/>
    </row>
    <row r="125">
      <c r="A125" s="751">
        <v>11.0</v>
      </c>
      <c r="B125" s="751">
        <v>235000.0</v>
      </c>
      <c r="C125" s="751">
        <v>155000.0</v>
      </c>
      <c r="D125" s="751">
        <v>105000.0</v>
      </c>
      <c r="E125" s="1014"/>
      <c r="U125" s="751"/>
      <c r="V125" s="751"/>
      <c r="W125" s="751"/>
      <c r="X125" s="751"/>
    </row>
    <row r="126">
      <c r="A126" s="751">
        <v>12.0</v>
      </c>
      <c r="B126" s="751">
        <v>330000.0</v>
      </c>
      <c r="C126" s="751">
        <v>220000.0</v>
      </c>
      <c r="D126" s="751">
        <v>145000.0</v>
      </c>
      <c r="E126" s="1014"/>
      <c r="U126" s="751"/>
      <c r="V126" s="751"/>
      <c r="W126" s="751"/>
      <c r="X126" s="751"/>
    </row>
    <row r="127">
      <c r="A127" s="751">
        <v>13.0</v>
      </c>
      <c r="B127" s="751">
        <v>475000.0</v>
      </c>
      <c r="C127" s="751">
        <v>315000.0</v>
      </c>
      <c r="D127" s="751">
        <v>210000.0</v>
      </c>
      <c r="E127" s="1014"/>
      <c r="U127" s="751"/>
      <c r="V127" s="751"/>
      <c r="W127" s="751"/>
      <c r="X127" s="751"/>
    </row>
    <row r="128">
      <c r="A128" s="751">
        <v>14.0</v>
      </c>
      <c r="B128" s="751">
        <v>665000.0</v>
      </c>
      <c r="C128" s="751">
        <v>445000.0</v>
      </c>
      <c r="D128" s="751">
        <v>295000.0</v>
      </c>
      <c r="E128" s="1014"/>
      <c r="U128" s="751"/>
      <c r="V128" s="751"/>
      <c r="W128" s="751"/>
      <c r="X128" s="751"/>
    </row>
    <row r="129">
      <c r="A129" s="751">
        <v>15.0</v>
      </c>
      <c r="B129" s="751">
        <v>955000.0</v>
      </c>
      <c r="C129" s="751">
        <v>635000.0</v>
      </c>
      <c r="D129" s="751">
        <v>425000.0</v>
      </c>
      <c r="E129" s="1014"/>
      <c r="U129" s="751"/>
      <c r="V129" s="751"/>
      <c r="W129" s="751"/>
      <c r="X129" s="751"/>
    </row>
    <row r="130">
      <c r="A130" s="751">
        <v>16.0</v>
      </c>
      <c r="B130" s="751">
        <v>1350000.0</v>
      </c>
      <c r="C130" s="751">
        <v>890000.0</v>
      </c>
      <c r="D130" s="751">
        <v>600000.0</v>
      </c>
      <c r="E130" s="1014"/>
      <c r="U130" s="751"/>
      <c r="V130" s="751"/>
      <c r="W130" s="751"/>
      <c r="X130" s="751"/>
    </row>
    <row r="131">
      <c r="A131" s="751">
        <v>17.0</v>
      </c>
      <c r="B131" s="751">
        <v>1900000.0</v>
      </c>
      <c r="C131" s="751">
        <v>1300000.0</v>
      </c>
      <c r="D131" s="751">
        <v>850000.0</v>
      </c>
      <c r="E131" s="1014"/>
      <c r="U131" s="751"/>
      <c r="V131" s="751"/>
      <c r="W131" s="751"/>
      <c r="X131" s="751"/>
    </row>
    <row r="132">
      <c r="A132" s="751">
        <v>18.0</v>
      </c>
      <c r="B132" s="751">
        <v>2700000.0</v>
      </c>
      <c r="C132" s="751">
        <v>1800000.0</v>
      </c>
      <c r="D132" s="751">
        <v>1200000.0</v>
      </c>
      <c r="E132" s="1014"/>
      <c r="U132" s="751"/>
      <c r="V132" s="751"/>
      <c r="W132" s="751"/>
      <c r="X132" s="751"/>
    </row>
    <row r="133">
      <c r="A133" s="751">
        <v>19.0</v>
      </c>
      <c r="B133" s="751">
        <v>3850000.0</v>
      </c>
      <c r="C133" s="751">
        <v>2550000.0</v>
      </c>
      <c r="D133" s="751">
        <v>1700000.0</v>
      </c>
      <c r="E133" s="1014"/>
      <c r="U133" s="751"/>
      <c r="V133" s="751"/>
      <c r="W133" s="751"/>
      <c r="X133" s="751"/>
    </row>
    <row r="134">
      <c r="A134" s="751">
        <v>20.0</v>
      </c>
      <c r="B134" s="751">
        <v>5350000.0</v>
      </c>
      <c r="C134" s="751">
        <v>3600000.0</v>
      </c>
      <c r="D134" s="751">
        <v>2400000.0</v>
      </c>
      <c r="E134" s="1014"/>
      <c r="U134" s="751"/>
      <c r="V134" s="751"/>
      <c r="W134" s="751"/>
      <c r="X134" s="751"/>
    </row>
    <row r="135">
      <c r="A135" s="436"/>
      <c r="B135" s="436"/>
      <c r="C135" s="436"/>
      <c r="D135" s="436"/>
      <c r="E135" s="1014"/>
      <c r="U135" s="751"/>
      <c r="V135" s="751"/>
      <c r="W135" s="751"/>
      <c r="X135" s="751"/>
    </row>
    <row r="136">
      <c r="A136" s="1017" t="s">
        <v>1237</v>
      </c>
      <c r="B136" s="1018"/>
      <c r="C136" s="436"/>
      <c r="D136" s="436"/>
      <c r="E136" s="1014"/>
      <c r="U136" s="751"/>
      <c r="V136" s="751"/>
      <c r="W136" s="751"/>
      <c r="X136" s="751"/>
    </row>
    <row r="137">
      <c r="A137" s="619" t="s">
        <v>1238</v>
      </c>
      <c r="B137" s="619" t="s">
        <v>467</v>
      </c>
      <c r="C137" s="619" t="s">
        <v>1239</v>
      </c>
      <c r="D137" s="619" t="s">
        <v>1240</v>
      </c>
      <c r="E137" s="1020" t="s">
        <v>1241</v>
      </c>
      <c r="F137" s="619" t="s">
        <v>1242</v>
      </c>
      <c r="G137" s="436" t="s">
        <v>1243</v>
      </c>
      <c r="U137" s="751"/>
      <c r="V137" s="751"/>
      <c r="W137" s="751"/>
      <c r="X137" s="751"/>
    </row>
    <row r="138">
      <c r="A138" s="619" t="s">
        <v>1244</v>
      </c>
      <c r="B138" s="619" t="s">
        <v>1245</v>
      </c>
      <c r="C138" s="619">
        <v>8.0</v>
      </c>
      <c r="D138" s="619">
        <v>-8.0</v>
      </c>
      <c r="E138" s="1021">
        <v>8.0</v>
      </c>
      <c r="F138" s="619">
        <v>16.0</v>
      </c>
      <c r="G138" s="436">
        <v>0.125</v>
      </c>
      <c r="U138" s="751"/>
      <c r="V138" s="751"/>
      <c r="W138" s="751"/>
      <c r="X138" s="751"/>
    </row>
    <row r="139">
      <c r="A139" s="619" t="s">
        <v>1246</v>
      </c>
      <c r="B139" s="619" t="s">
        <v>1247</v>
      </c>
      <c r="C139" s="619">
        <v>4.0</v>
      </c>
      <c r="D139" s="619">
        <v>-4.0</v>
      </c>
      <c r="E139" s="1021">
        <v>6.0</v>
      </c>
      <c r="F139" s="619">
        <v>12.0</v>
      </c>
      <c r="G139" s="436">
        <v>0.25</v>
      </c>
      <c r="U139" s="751"/>
      <c r="V139" s="751"/>
      <c r="W139" s="751"/>
      <c r="X139" s="751"/>
    </row>
    <row r="140">
      <c r="A140" s="619" t="s">
        <v>1249</v>
      </c>
      <c r="B140" s="619" t="s">
        <v>1251</v>
      </c>
      <c r="C140" s="619">
        <v>2.0</v>
      </c>
      <c r="D140" s="619">
        <v>-2.0</v>
      </c>
      <c r="E140" s="1021">
        <v>4.0</v>
      </c>
      <c r="F140" s="619">
        <v>8.0</v>
      </c>
      <c r="G140" s="436">
        <v>0.5</v>
      </c>
      <c r="U140" s="751"/>
      <c r="V140" s="751"/>
      <c r="W140" s="751"/>
      <c r="X140" s="751"/>
    </row>
    <row r="141">
      <c r="A141" s="619" t="s">
        <v>1252</v>
      </c>
      <c r="B141" s="619" t="s">
        <v>1253</v>
      </c>
      <c r="C141" s="619">
        <v>1.0</v>
      </c>
      <c r="D141" s="619">
        <v>-1.0</v>
      </c>
      <c r="E141" s="1021">
        <v>2.0</v>
      </c>
      <c r="F141" s="619">
        <v>4.0</v>
      </c>
      <c r="G141" s="436">
        <v>0.75</v>
      </c>
      <c r="U141" s="751"/>
      <c r="V141" s="751"/>
      <c r="W141" s="751"/>
      <c r="X141" s="751"/>
    </row>
    <row r="142">
      <c r="A142" s="619" t="s">
        <v>1254</v>
      </c>
      <c r="B142" s="619" t="s">
        <v>23</v>
      </c>
      <c r="C142" s="1022">
        <v>0.0</v>
      </c>
      <c r="D142" s="1022">
        <v>0.0</v>
      </c>
      <c r="E142" s="1021">
        <v>0.0</v>
      </c>
      <c r="F142" s="619">
        <v>0.0</v>
      </c>
      <c r="G142" s="436">
        <v>1.0</v>
      </c>
      <c r="U142" s="751"/>
      <c r="V142" s="751"/>
      <c r="W142" s="751"/>
      <c r="X142" s="751"/>
    </row>
    <row r="143">
      <c r="A143" s="619" t="s">
        <v>1255</v>
      </c>
      <c r="B143" s="619" t="s">
        <v>1256</v>
      </c>
      <c r="C143" s="619">
        <v>-1.0</v>
      </c>
      <c r="D143" s="619">
        <v>1.0</v>
      </c>
      <c r="E143" s="1021">
        <v>-2.0</v>
      </c>
      <c r="F143" s="619">
        <v>-4.0</v>
      </c>
      <c r="G143" s="436">
        <v>2.0</v>
      </c>
      <c r="U143" s="751"/>
      <c r="V143" s="751"/>
      <c r="W143" s="751"/>
      <c r="X143" s="751"/>
    </row>
    <row r="144">
      <c r="A144" s="619" t="s">
        <v>1257</v>
      </c>
      <c r="B144" s="619" t="s">
        <v>1258</v>
      </c>
      <c r="C144" s="619">
        <v>-2.0</v>
      </c>
      <c r="D144" s="619">
        <v>2.0</v>
      </c>
      <c r="E144" s="1021">
        <v>-4.0</v>
      </c>
      <c r="F144" s="619">
        <v>-8.0</v>
      </c>
      <c r="G144" s="436">
        <v>4.0</v>
      </c>
      <c r="U144" s="751"/>
      <c r="V144" s="751"/>
      <c r="W144" s="751"/>
      <c r="X144" s="751"/>
    </row>
    <row r="145">
      <c r="A145" s="619" t="s">
        <v>1259</v>
      </c>
      <c r="B145" s="619" t="s">
        <v>1260</v>
      </c>
      <c r="C145" s="619">
        <v>-4.0</v>
      </c>
      <c r="D145" s="619">
        <v>4.0</v>
      </c>
      <c r="E145" s="1021">
        <v>-6.0</v>
      </c>
      <c r="F145" s="619">
        <v>-12.0</v>
      </c>
      <c r="G145" s="436">
        <v>8.0</v>
      </c>
      <c r="U145" s="751"/>
      <c r="V145" s="751"/>
      <c r="W145" s="751"/>
      <c r="X145" s="751"/>
    </row>
    <row r="146">
      <c r="A146" s="619" t="s">
        <v>147</v>
      </c>
      <c r="B146" s="619" t="s">
        <v>1261</v>
      </c>
      <c r="C146" s="619">
        <v>-8.0</v>
      </c>
      <c r="D146" s="619">
        <v>8.0</v>
      </c>
      <c r="E146" s="1021">
        <v>-8.0</v>
      </c>
      <c r="F146" s="619">
        <v>-16.0</v>
      </c>
      <c r="G146" s="436">
        <v>16.0</v>
      </c>
      <c r="U146" s="751"/>
      <c r="V146" s="751"/>
      <c r="W146" s="751"/>
      <c r="X146" s="751"/>
    </row>
    <row r="147">
      <c r="A147" s="436"/>
      <c r="B147" s="436"/>
      <c r="C147" s="436"/>
      <c r="D147" s="436"/>
      <c r="E147" s="1023"/>
      <c r="U147" s="751"/>
      <c r="V147" s="751"/>
      <c r="W147" s="751"/>
      <c r="X147" s="751"/>
    </row>
    <row r="148">
      <c r="A148" s="436"/>
      <c r="B148" s="436"/>
      <c r="C148" s="436"/>
      <c r="D148" s="436"/>
      <c r="E148" s="1014"/>
      <c r="N148" s="1024" t="s">
        <v>1262</v>
      </c>
      <c r="O148" s="1026">
        <f>iferror(vlookup('Main Sheet'!$M$42,A150:I232,9,false),"")
+iferror(vlookup('Main Sheet'!$N$42,A150:I232,9,false),"")</f>
        <v>0</v>
      </c>
      <c r="U148" s="751"/>
      <c r="V148" s="751"/>
      <c r="W148" s="751"/>
      <c r="X148" s="751"/>
    </row>
    <row r="149">
      <c r="A149" s="1027" t="s">
        <v>1266</v>
      </c>
      <c r="B149" s="819" t="s">
        <v>1267</v>
      </c>
      <c r="C149" s="819" t="s">
        <v>89</v>
      </c>
      <c r="D149" s="819" t="s">
        <v>124</v>
      </c>
      <c r="E149" s="1028" t="s">
        <v>1268</v>
      </c>
      <c r="F149" s="810" t="s">
        <v>656</v>
      </c>
      <c r="G149" s="1029" t="s">
        <v>1269</v>
      </c>
      <c r="H149" s="1029" t="s">
        <v>1270</v>
      </c>
      <c r="I149" s="436" t="s">
        <v>1271</v>
      </c>
      <c r="K149" s="1030" t="s">
        <v>1272</v>
      </c>
      <c r="L149" s="1031"/>
      <c r="U149" s="751"/>
      <c r="V149" s="751"/>
      <c r="W149" s="751"/>
      <c r="X149" s="751"/>
    </row>
    <row r="150">
      <c r="A150" s="1029" t="s">
        <v>1273</v>
      </c>
      <c r="C150" s="1032"/>
      <c r="D150" s="1032"/>
      <c r="E150" s="1033"/>
      <c r="F150" s="1029"/>
      <c r="G150" s="1016"/>
      <c r="I150" t="str">
        <f t="shared" ref="I150:I153" si="8">if(F150="Unarmored",0,
if(F150="Light",1,
if(F150="Medium",2,
if(F150="Heavy",3,))))</f>
        <v/>
      </c>
      <c r="K150" s="209" t="str">
        <f>IFERROR(__xludf.DUMMYFUNCTION("iferror(FILTER(A150:A207,G150:G207 = 'Main Sheet'!M42))"),"~~Magic Armors~~")</f>
        <v>~~Magic Armors~~</v>
      </c>
      <c r="L150" s="1035" t="str">
        <f>IFERROR(__xludf.DUMMYFUNCTION("iferror(FILTER(A150:A207,G150:G207 = ""Shield""))"),"(no shield)")</f>
        <v>(no shield)</v>
      </c>
      <c r="N150" s="1024" t="s">
        <v>1274</v>
      </c>
      <c r="O150" s="1036"/>
      <c r="U150" s="751"/>
      <c r="V150" s="751"/>
      <c r="W150" s="751"/>
      <c r="X150" s="751"/>
    </row>
    <row r="151">
      <c r="A151" s="1029" t="s">
        <v>1275</v>
      </c>
      <c r="B151" s="1029">
        <v>4.0</v>
      </c>
      <c r="C151" s="1032"/>
      <c r="D151" s="1032"/>
      <c r="E151" s="1033"/>
      <c r="F151" s="1029" t="s">
        <v>1276</v>
      </c>
      <c r="G151" s="1016" t="s">
        <v>284</v>
      </c>
      <c r="I151">
        <f t="shared" si="8"/>
        <v>0</v>
      </c>
      <c r="K151" s="209"/>
      <c r="L151" s="1035" t="str">
        <f>IFERROR(__xludf.DUMMYFUNCTION("""COMPUTED_VALUE"""),"Buckler")</f>
        <v>Buckler</v>
      </c>
      <c r="N151" s="1024" t="s">
        <v>1277</v>
      </c>
      <c r="O151" s="1037" t="s">
        <v>1278</v>
      </c>
      <c r="U151" s="751"/>
      <c r="V151" s="751"/>
      <c r="W151" s="751"/>
      <c r="X151" s="751"/>
    </row>
    <row r="152">
      <c r="A152" s="1029" t="s">
        <v>1279</v>
      </c>
      <c r="B152" s="1029">
        <v>0.0</v>
      </c>
      <c r="C152" s="1032"/>
      <c r="D152" s="1032"/>
      <c r="E152" s="1033"/>
      <c r="F152" s="1029" t="s">
        <v>1276</v>
      </c>
      <c r="G152" s="1016" t="s">
        <v>284</v>
      </c>
      <c r="H152" s="436" t="s">
        <v>1281</v>
      </c>
      <c r="I152">
        <f t="shared" si="8"/>
        <v>0</v>
      </c>
      <c r="K152" s="209" t="str">
        <f>IFERROR(__xludf.DUMMYFUNCTION("""COMPUTED_VALUE"""),"Shield Table")</f>
        <v>Shield Table</v>
      </c>
      <c r="L152" s="1035" t="str">
        <f>IFERROR(__xludf.DUMMYFUNCTION("""COMPUTED_VALUE"""),"Klar")</f>
        <v>Klar</v>
      </c>
      <c r="U152" s="751"/>
      <c r="V152" s="751"/>
      <c r="W152" s="751"/>
      <c r="X152" s="751"/>
    </row>
    <row r="153">
      <c r="A153" s="1029" t="s">
        <v>1282</v>
      </c>
      <c r="B153" s="1038">
        <v>0.0</v>
      </c>
      <c r="C153" s="1032"/>
      <c r="D153" s="1038">
        <v>0.0</v>
      </c>
      <c r="E153" s="1039">
        <v>0.0</v>
      </c>
      <c r="F153" s="1029" t="s">
        <v>1276</v>
      </c>
      <c r="G153" s="1016" t="s">
        <v>1283</v>
      </c>
      <c r="I153">
        <f t="shared" si="8"/>
        <v>0</v>
      </c>
      <c r="K153" s="209"/>
      <c r="L153" s="1040" t="str">
        <f>IFERROR(__xludf.DUMMYFUNCTION("""COMPUTED_VALUE"""),"Madu")</f>
        <v>Madu</v>
      </c>
      <c r="P153" s="1041" t="s">
        <v>1284</v>
      </c>
      <c r="Q153" s="1041" t="s">
        <v>765</v>
      </c>
      <c r="U153" s="751"/>
      <c r="V153" s="751"/>
      <c r="W153" s="751"/>
      <c r="X153" s="751"/>
    </row>
    <row r="154">
      <c r="A154" s="1029" t="s">
        <v>1285</v>
      </c>
      <c r="B154">
        <f>if(Level=BaseAttack, floor(BaseAttack/3,1),if('Main Sheet'!AD9="X", floor('Main Sheet'!AL9/3,1),floor(BaseAttack/3,1)))+3</f>
        <v>4</v>
      </c>
      <c r="G154" s="1016" t="s">
        <v>284</v>
      </c>
      <c r="K154" s="209"/>
      <c r="L154" s="1040" t="str">
        <f>IFERROR(__xludf.DUMMYFUNCTION("""COMPUTED_VALUE"""),"Light Shield")</f>
        <v>Light Shield</v>
      </c>
      <c r="N154" s="1041" t="s">
        <v>464</v>
      </c>
      <c r="O154" s="212" t="str">
        <f>IF(O148&lt;1,"Unarmored",
IF(O148=1,"Light",
IF(O148=2,"Medium",
IF(O148&gt;2,"Heavy",))))</f>
        <v>Unarmored</v>
      </c>
      <c r="P154" s="1026" t="str">
        <f>IF(AND(
        not(ISNUMBER('Main Sheet'!Q42)),
        not(isnumber('Main Sheet'!Q43))),,
MIN('Main Sheet'!Q42,'Main Sheet'!Q43))</f>
        <v/>
      </c>
      <c r="Q154" s="1026">
        <f>SUM('Main Sheet'!P42,'Main Sheet'!P43)</f>
        <v>0</v>
      </c>
      <c r="U154" s="751"/>
      <c r="V154" s="751"/>
      <c r="W154" s="751"/>
      <c r="X154" s="751"/>
    </row>
    <row r="155">
      <c r="A155" s="1029" t="s">
        <v>1287</v>
      </c>
      <c r="B155" s="1032"/>
      <c r="C155" s="1032"/>
      <c r="D155" s="1032"/>
      <c r="E155" s="1033"/>
      <c r="F155" s="810"/>
      <c r="G155" s="1016" t="s">
        <v>1288</v>
      </c>
      <c r="I155" t="str">
        <f t="shared" ref="I155:I197" si="9">if(F155="Unarmored",0,
if(F155="Light",1,
if(F155="Medium",2,
if(F155="Heavy",3,))))</f>
        <v/>
      </c>
      <c r="K155" s="209"/>
      <c r="L155" s="1040" t="str">
        <f>IFERROR(__xludf.DUMMYFUNCTION("""COMPUTED_VALUE"""),"Heavy Shield")</f>
        <v>Heavy Shield</v>
      </c>
      <c r="N155" s="1011" t="s">
        <v>1290</v>
      </c>
      <c r="O155" s="1042" t="str">
        <f>Equipment!CC3</f>
        <v/>
      </c>
      <c r="P155" s="1043" t="str">
        <f>IFERROR(__xludf.DUMMYFUNCTION("IF(REGEXMATCH($O155,""Medium""),3,
 IF(REGEXMATCH($O155,""Heavy""),1,
IF(REGEXMATCH($O155,""Over""),IF(Dexterity&gt;0,0,-Dexterity),)))"),"")</f>
        <v/>
      </c>
      <c r="Q155" s="1043" t="str">
        <f>IFERROR(__xludf.DUMMYFUNCTION("IF(REGEXMATCH($O155,""Medium""),-3,
 IF(REGEXMATCH($O155,""Heavy""),-6,
IF(REGEXMATCH($O155,""Over""),-6,)))"),"")</f>
        <v/>
      </c>
      <c r="U155" s="751"/>
      <c r="V155" s="751"/>
      <c r="W155" s="751"/>
      <c r="X155" s="751"/>
    </row>
    <row r="156">
      <c r="A156" s="819" t="s">
        <v>1291</v>
      </c>
      <c r="B156" s="1032">
        <v>1.0</v>
      </c>
      <c r="C156" s="1032">
        <v>6.0</v>
      </c>
      <c r="D156" s="1032">
        <v>0.0</v>
      </c>
      <c r="E156" s="1033">
        <v>0.0</v>
      </c>
      <c r="F156" s="810" t="s">
        <v>903</v>
      </c>
      <c r="G156" s="1016" t="s">
        <v>1283</v>
      </c>
      <c r="H156" s="1016" t="s">
        <v>1292</v>
      </c>
      <c r="I156">
        <f t="shared" si="9"/>
        <v>1</v>
      </c>
      <c r="K156" s="209"/>
      <c r="L156" s="1040" t="str">
        <f>IFERROR(__xludf.DUMMYFUNCTION("""COMPUTED_VALUE"""),"(Spell) Shield")</f>
        <v>(Spell) Shield</v>
      </c>
      <c r="N156" s="1044" t="s">
        <v>105</v>
      </c>
      <c r="O156" s="1045"/>
      <c r="P156" s="1046" t="str">
        <f>IF(AND(
        not(ISNUMBER(P154)),
        not(isnumber(P155))),,
MIN(P154:P155))</f>
        <v/>
      </c>
      <c r="Q156" s="1047">
        <f>MIN(Q154:Q155)</f>
        <v>0</v>
      </c>
      <c r="U156" s="751"/>
      <c r="V156" s="751"/>
      <c r="W156" s="751"/>
      <c r="X156" s="751"/>
    </row>
    <row r="157">
      <c r="A157" s="819" t="s">
        <v>1294</v>
      </c>
      <c r="B157" s="1032">
        <v>1.0</v>
      </c>
      <c r="C157" s="1048"/>
      <c r="D157" s="1032">
        <v>0.0</v>
      </c>
      <c r="E157" s="1033">
        <v>0.0</v>
      </c>
      <c r="F157" s="810" t="s">
        <v>903</v>
      </c>
      <c r="G157" s="1016" t="s">
        <v>1288</v>
      </c>
      <c r="H157" s="1016" t="s">
        <v>1292</v>
      </c>
      <c r="I157">
        <f t="shared" si="9"/>
        <v>1</v>
      </c>
      <c r="K157" s="209"/>
      <c r="L157" s="1040" t="str">
        <f>IFERROR(__xludf.DUMMYFUNCTION("""COMPUTED_VALUE"""),"Tower Shield")</f>
        <v>Tower Shield</v>
      </c>
      <c r="U157" s="751"/>
      <c r="V157" s="751"/>
      <c r="W157" s="751"/>
      <c r="X157" s="751"/>
    </row>
    <row r="158">
      <c r="A158" s="1029" t="s">
        <v>1295</v>
      </c>
      <c r="B158" s="1032">
        <v>1.0</v>
      </c>
      <c r="C158" s="1032">
        <v>8.0</v>
      </c>
      <c r="D158" s="1032">
        <v>0.0</v>
      </c>
      <c r="E158" s="1033">
        <v>0.05</v>
      </c>
      <c r="F158" s="810" t="s">
        <v>903</v>
      </c>
      <c r="G158" s="1016" t="s">
        <v>1283</v>
      </c>
      <c r="H158" s="436" t="s">
        <v>1281</v>
      </c>
      <c r="I158">
        <f t="shared" si="9"/>
        <v>1</v>
      </c>
      <c r="K158" s="209"/>
      <c r="L158" s="1040"/>
      <c r="U158" s="751"/>
      <c r="V158" s="751"/>
      <c r="W158" s="751"/>
      <c r="X158" s="751"/>
    </row>
    <row r="159">
      <c r="A159" s="1029" t="s">
        <v>1296</v>
      </c>
      <c r="B159" s="1032">
        <v>1.0</v>
      </c>
      <c r="C159" s="1032">
        <v>8.0</v>
      </c>
      <c r="D159" s="1032">
        <v>0.0</v>
      </c>
      <c r="E159" s="1033">
        <v>0.1</v>
      </c>
      <c r="F159" s="810" t="s">
        <v>903</v>
      </c>
      <c r="G159" s="1016" t="s">
        <v>1283</v>
      </c>
      <c r="H159" s="436" t="s">
        <v>1281</v>
      </c>
      <c r="I159">
        <f t="shared" si="9"/>
        <v>1</v>
      </c>
      <c r="K159" s="209"/>
      <c r="L159" s="1040"/>
      <c r="U159" s="751"/>
      <c r="V159" s="751"/>
      <c r="W159" s="751"/>
      <c r="X159" s="751"/>
    </row>
    <row r="160">
      <c r="A160" s="819" t="s">
        <v>1297</v>
      </c>
      <c r="B160" s="1032">
        <v>1.0</v>
      </c>
      <c r="C160" s="1048"/>
      <c r="D160" s="1032">
        <v>0.0</v>
      </c>
      <c r="E160" s="1033">
        <v>0.0</v>
      </c>
      <c r="F160" s="810" t="s">
        <v>903</v>
      </c>
      <c r="G160" s="1016" t="s">
        <v>1288</v>
      </c>
      <c r="H160" s="436" t="s">
        <v>1281</v>
      </c>
      <c r="I160">
        <f t="shared" si="9"/>
        <v>1</v>
      </c>
      <c r="K160" s="209"/>
      <c r="L160" s="1040"/>
      <c r="U160" s="751"/>
      <c r="V160" s="751"/>
      <c r="W160" s="751"/>
      <c r="X160" s="751"/>
    </row>
    <row r="161">
      <c r="A161" s="819" t="s">
        <v>1298</v>
      </c>
      <c r="B161" s="1032">
        <v>2.0</v>
      </c>
      <c r="C161" s="1032">
        <v>4.0</v>
      </c>
      <c r="D161" s="1032">
        <v>0.0</v>
      </c>
      <c r="E161" s="1033">
        <v>0.05</v>
      </c>
      <c r="F161" s="810" t="s">
        <v>903</v>
      </c>
      <c r="G161" s="1016" t="s">
        <v>1288</v>
      </c>
      <c r="H161" s="436" t="s">
        <v>1281</v>
      </c>
      <c r="I161">
        <f t="shared" si="9"/>
        <v>1</v>
      </c>
      <c r="K161" s="209"/>
      <c r="L161" s="1040"/>
      <c r="U161" s="751"/>
      <c r="V161" s="751"/>
      <c r="W161" s="751"/>
      <c r="X161" s="751"/>
    </row>
    <row r="162">
      <c r="A162" s="819" t="s">
        <v>1281</v>
      </c>
      <c r="B162" s="1032">
        <v>2.0</v>
      </c>
      <c r="C162" s="1032">
        <v>6.0</v>
      </c>
      <c r="D162" s="1032">
        <v>0.0</v>
      </c>
      <c r="E162" s="1033">
        <v>0.1</v>
      </c>
      <c r="F162" s="810" t="s">
        <v>903</v>
      </c>
      <c r="G162" s="1016" t="s">
        <v>1283</v>
      </c>
      <c r="H162" s="436" t="s">
        <v>1281</v>
      </c>
      <c r="I162">
        <f t="shared" si="9"/>
        <v>1</v>
      </c>
      <c r="K162" s="209"/>
      <c r="L162" s="1040"/>
      <c r="U162" s="751"/>
      <c r="V162" s="751"/>
      <c r="W162" s="751"/>
      <c r="X162" s="751"/>
    </row>
    <row r="163">
      <c r="A163" s="819" t="s">
        <v>1300</v>
      </c>
      <c r="B163" s="1032">
        <v>2.0</v>
      </c>
      <c r="C163" s="1032">
        <v>6.0</v>
      </c>
      <c r="D163" s="1032">
        <v>0.0</v>
      </c>
      <c r="E163" s="1033">
        <v>0.1</v>
      </c>
      <c r="F163" s="810" t="s">
        <v>903</v>
      </c>
      <c r="G163" s="1016" t="s">
        <v>1283</v>
      </c>
      <c r="H163" s="436" t="s">
        <v>1281</v>
      </c>
      <c r="I163">
        <f t="shared" si="9"/>
        <v>1</v>
      </c>
      <c r="K163" s="209"/>
      <c r="L163" s="1040"/>
      <c r="U163" s="751"/>
      <c r="V163" s="751"/>
      <c r="W163" s="751"/>
      <c r="X163" s="751"/>
    </row>
    <row r="164">
      <c r="A164" s="819" t="s">
        <v>1301</v>
      </c>
      <c r="B164" s="1032">
        <v>3.0</v>
      </c>
      <c r="C164" s="1032">
        <v>4.0</v>
      </c>
      <c r="D164" s="1032">
        <v>1.0</v>
      </c>
      <c r="E164" s="1033">
        <v>0.15</v>
      </c>
      <c r="F164" s="810" t="s">
        <v>903</v>
      </c>
      <c r="G164" s="1016" t="s">
        <v>1283</v>
      </c>
      <c r="H164" s="436" t="s">
        <v>1281</v>
      </c>
      <c r="I164">
        <f t="shared" si="9"/>
        <v>1</v>
      </c>
      <c r="K164" s="209"/>
      <c r="L164" s="1040"/>
      <c r="U164" s="751"/>
      <c r="V164" s="751"/>
      <c r="W164" s="751"/>
      <c r="X164" s="751"/>
    </row>
    <row r="165">
      <c r="A165" s="819" t="s">
        <v>1302</v>
      </c>
      <c r="B165" s="1032">
        <v>3.0</v>
      </c>
      <c r="C165" s="1032">
        <v>5.0</v>
      </c>
      <c r="D165" s="1032">
        <v>0.0</v>
      </c>
      <c r="E165" s="1033">
        <v>0.15</v>
      </c>
      <c r="F165" s="810" t="s">
        <v>903</v>
      </c>
      <c r="G165" s="1016" t="s">
        <v>1283</v>
      </c>
      <c r="H165" s="436" t="s">
        <v>1281</v>
      </c>
      <c r="I165">
        <f t="shared" si="9"/>
        <v>1</v>
      </c>
      <c r="K165" s="209"/>
      <c r="L165" s="1040"/>
      <c r="U165" s="751"/>
      <c r="V165" s="751"/>
      <c r="W165" s="751"/>
      <c r="X165" s="751"/>
    </row>
    <row r="166">
      <c r="A166" s="819" t="s">
        <v>1303</v>
      </c>
      <c r="B166" s="1032">
        <v>3.0</v>
      </c>
      <c r="C166" s="1032">
        <v>5.0</v>
      </c>
      <c r="D166" s="1032">
        <v>1.0</v>
      </c>
      <c r="E166" s="1033">
        <v>0.15</v>
      </c>
      <c r="F166" s="810" t="s">
        <v>903</v>
      </c>
      <c r="G166" s="1016" t="s">
        <v>1283</v>
      </c>
      <c r="H166" s="1016" t="s">
        <v>1292</v>
      </c>
      <c r="I166">
        <f t="shared" si="9"/>
        <v>1</v>
      </c>
      <c r="K166" s="209"/>
      <c r="L166" s="1040"/>
      <c r="U166" s="751"/>
      <c r="V166" s="751"/>
      <c r="W166" s="751"/>
      <c r="X166" s="751"/>
    </row>
    <row r="167">
      <c r="A167" s="819" t="s">
        <v>1304</v>
      </c>
      <c r="B167" s="1032">
        <v>3.0</v>
      </c>
      <c r="C167" s="1032">
        <v>5.0</v>
      </c>
      <c r="D167" s="1032">
        <v>1.0</v>
      </c>
      <c r="E167" s="1033">
        <v>0.15</v>
      </c>
      <c r="F167" s="810" t="s">
        <v>903</v>
      </c>
      <c r="G167" s="1016" t="s">
        <v>1283</v>
      </c>
      <c r="H167" s="436" t="s">
        <v>1281</v>
      </c>
      <c r="I167">
        <f t="shared" si="9"/>
        <v>1</v>
      </c>
      <c r="K167" s="209"/>
      <c r="L167" s="1040"/>
      <c r="U167" s="954"/>
      <c r="V167" s="954"/>
      <c r="W167" s="954"/>
      <c r="X167" s="751"/>
    </row>
    <row r="168">
      <c r="A168" s="819" t="s">
        <v>1305</v>
      </c>
      <c r="B168" s="1032">
        <v>3.0</v>
      </c>
      <c r="C168" s="1032">
        <v>3.0</v>
      </c>
      <c r="D168" s="1032">
        <v>1.0</v>
      </c>
      <c r="E168" s="1033">
        <v>0.15</v>
      </c>
      <c r="F168" s="810" t="s">
        <v>903</v>
      </c>
      <c r="G168" s="1016" t="s">
        <v>1283</v>
      </c>
      <c r="H168" s="436" t="s">
        <v>1306</v>
      </c>
      <c r="I168">
        <f t="shared" si="9"/>
        <v>1</v>
      </c>
      <c r="K168" s="209"/>
      <c r="L168" s="1040"/>
      <c r="U168" s="954"/>
      <c r="V168" s="954"/>
      <c r="W168" s="954"/>
      <c r="X168" s="751"/>
    </row>
    <row r="169">
      <c r="A169" s="819" t="s">
        <v>1307</v>
      </c>
      <c r="B169" s="1032">
        <v>4.0</v>
      </c>
      <c r="C169" s="1032">
        <v>4.0</v>
      </c>
      <c r="D169" s="1032">
        <v>2.0</v>
      </c>
      <c r="E169" s="1033">
        <v>0.2</v>
      </c>
      <c r="F169" s="810" t="s">
        <v>903</v>
      </c>
      <c r="G169" s="1016" t="s">
        <v>1283</v>
      </c>
      <c r="H169" s="1016" t="s">
        <v>1292</v>
      </c>
      <c r="I169">
        <f t="shared" si="9"/>
        <v>1</v>
      </c>
      <c r="K169" s="209"/>
      <c r="L169" s="1040"/>
      <c r="U169" s="954"/>
      <c r="V169" s="954"/>
      <c r="W169" s="954"/>
      <c r="X169" s="751"/>
    </row>
    <row r="170">
      <c r="A170" s="819" t="s">
        <v>1308</v>
      </c>
      <c r="B170" s="1032">
        <v>4.0</v>
      </c>
      <c r="C170" s="1032">
        <v>3.0</v>
      </c>
      <c r="D170" s="1032">
        <v>2.0</v>
      </c>
      <c r="E170" s="1033">
        <v>0.2</v>
      </c>
      <c r="F170" s="810" t="s">
        <v>903</v>
      </c>
      <c r="G170" s="1016" t="s">
        <v>1288</v>
      </c>
      <c r="H170" s="436" t="s">
        <v>1281</v>
      </c>
      <c r="I170">
        <f t="shared" si="9"/>
        <v>1</v>
      </c>
      <c r="K170" s="209"/>
      <c r="L170" s="1040"/>
      <c r="U170" s="954"/>
      <c r="V170" s="954"/>
      <c r="W170" s="954"/>
      <c r="X170" s="751"/>
    </row>
    <row r="171">
      <c r="A171" s="1029" t="s">
        <v>1309</v>
      </c>
      <c r="B171" s="1049"/>
      <c r="C171" s="1032"/>
      <c r="D171" s="1032"/>
      <c r="E171" s="1033"/>
      <c r="F171" s="810"/>
      <c r="G171" s="1016" t="s">
        <v>1283</v>
      </c>
      <c r="I171" t="str">
        <f t="shared" si="9"/>
        <v/>
      </c>
      <c r="K171" s="209"/>
      <c r="L171" s="1040"/>
      <c r="U171" s="954"/>
      <c r="V171" s="954"/>
      <c r="W171" s="954"/>
      <c r="X171" s="751"/>
    </row>
    <row r="172">
      <c r="A172" s="819" t="s">
        <v>1310</v>
      </c>
      <c r="B172" s="1032">
        <v>4.0</v>
      </c>
      <c r="C172" s="1032">
        <v>3.0</v>
      </c>
      <c r="D172" s="1032">
        <v>2.0</v>
      </c>
      <c r="E172" s="1033">
        <v>0.2</v>
      </c>
      <c r="F172" s="810" t="s">
        <v>23</v>
      </c>
      <c r="G172" s="1016" t="s">
        <v>1283</v>
      </c>
      <c r="H172" s="1016" t="s">
        <v>1292</v>
      </c>
      <c r="I172">
        <f t="shared" si="9"/>
        <v>2</v>
      </c>
      <c r="K172" s="209"/>
      <c r="L172" s="1040"/>
      <c r="U172" s="954"/>
      <c r="V172" s="954"/>
      <c r="W172" s="954"/>
      <c r="X172" s="751"/>
    </row>
    <row r="173">
      <c r="A173" s="819" t="s">
        <v>1311</v>
      </c>
      <c r="B173" s="1032">
        <v>4.0</v>
      </c>
      <c r="C173" s="1032">
        <v>4.0</v>
      </c>
      <c r="D173" s="1032">
        <v>3.0</v>
      </c>
      <c r="E173" s="1033">
        <v>0.2</v>
      </c>
      <c r="F173" s="810" t="s">
        <v>23</v>
      </c>
      <c r="G173" s="1016" t="s">
        <v>1283</v>
      </c>
      <c r="H173" s="436" t="s">
        <v>1281</v>
      </c>
      <c r="I173">
        <f t="shared" si="9"/>
        <v>2</v>
      </c>
      <c r="K173" s="209"/>
      <c r="L173" s="1040"/>
      <c r="U173" s="954"/>
      <c r="V173" s="954"/>
      <c r="W173" s="954"/>
      <c r="X173" s="751"/>
    </row>
    <row r="174">
      <c r="A174" s="819" t="s">
        <v>1312</v>
      </c>
      <c r="B174" s="1032">
        <v>5.0</v>
      </c>
      <c r="C174" s="1032">
        <v>4.0</v>
      </c>
      <c r="D174" s="1032">
        <v>4.0</v>
      </c>
      <c r="E174" s="1033">
        <v>0.25</v>
      </c>
      <c r="F174" s="810" t="s">
        <v>23</v>
      </c>
      <c r="G174" s="1016" t="s">
        <v>1288</v>
      </c>
      <c r="H174" s="1016" t="s">
        <v>1292</v>
      </c>
      <c r="I174">
        <f t="shared" si="9"/>
        <v>2</v>
      </c>
      <c r="K174" s="209"/>
      <c r="L174" s="1040"/>
      <c r="U174" s="954"/>
      <c r="V174" s="954"/>
      <c r="W174" s="954"/>
      <c r="X174" s="751"/>
    </row>
    <row r="175">
      <c r="A175" s="819" t="s">
        <v>1313</v>
      </c>
      <c r="B175" s="1032">
        <v>5.0</v>
      </c>
      <c r="C175" s="1032">
        <v>3.0</v>
      </c>
      <c r="D175" s="1032">
        <v>4.0</v>
      </c>
      <c r="E175" s="1033">
        <v>0.25</v>
      </c>
      <c r="F175" s="810" t="s">
        <v>23</v>
      </c>
      <c r="G175" s="1016" t="s">
        <v>1288</v>
      </c>
      <c r="H175" s="436" t="s">
        <v>1281</v>
      </c>
      <c r="I175">
        <f t="shared" si="9"/>
        <v>2</v>
      </c>
      <c r="K175" s="209"/>
      <c r="L175" s="1040"/>
      <c r="U175" s="954"/>
      <c r="V175" s="954"/>
      <c r="W175" s="954"/>
      <c r="X175" s="751"/>
    </row>
    <row r="176">
      <c r="A176" s="819" t="s">
        <v>1314</v>
      </c>
      <c r="B176" s="1032">
        <v>5.0</v>
      </c>
      <c r="C176" s="1032">
        <v>4.0</v>
      </c>
      <c r="D176" s="1032">
        <v>3.0</v>
      </c>
      <c r="E176" s="1033">
        <v>0.2</v>
      </c>
      <c r="F176" s="810" t="s">
        <v>23</v>
      </c>
      <c r="G176" s="1016" t="s">
        <v>1288</v>
      </c>
      <c r="H176" s="1016" t="s">
        <v>1292</v>
      </c>
      <c r="I176">
        <f t="shared" si="9"/>
        <v>2</v>
      </c>
      <c r="K176" s="209"/>
      <c r="L176" s="1040"/>
      <c r="U176" s="954"/>
      <c r="V176" s="954"/>
      <c r="W176" s="954"/>
      <c r="X176" s="751"/>
    </row>
    <row r="177">
      <c r="A177" s="819" t="s">
        <v>1315</v>
      </c>
      <c r="B177" s="1032">
        <v>5.0</v>
      </c>
      <c r="C177" s="1032">
        <v>3.0</v>
      </c>
      <c r="D177" s="1032">
        <v>4.0</v>
      </c>
      <c r="E177" s="1033">
        <v>0.25</v>
      </c>
      <c r="F177" s="810" t="s">
        <v>23</v>
      </c>
      <c r="G177" s="1016" t="s">
        <v>1283</v>
      </c>
      <c r="H177" s="1016" t="s">
        <v>1292</v>
      </c>
      <c r="I177">
        <f t="shared" si="9"/>
        <v>2</v>
      </c>
      <c r="K177" s="209"/>
      <c r="L177" s="1040"/>
      <c r="U177" s="954"/>
      <c r="V177" s="954"/>
      <c r="W177" s="954"/>
      <c r="X177" s="751"/>
    </row>
    <row r="178">
      <c r="A178" s="819" t="s">
        <v>1316</v>
      </c>
      <c r="B178" s="1032">
        <v>6.0</v>
      </c>
      <c r="C178" s="1032">
        <v>3.0</v>
      </c>
      <c r="D178" s="1032">
        <v>4.0</v>
      </c>
      <c r="E178" s="1033">
        <v>0.25</v>
      </c>
      <c r="F178" s="810" t="s">
        <v>23</v>
      </c>
      <c r="G178" s="1016" t="s">
        <v>1283</v>
      </c>
      <c r="H178" s="1016" t="s">
        <v>1292</v>
      </c>
      <c r="I178">
        <f t="shared" si="9"/>
        <v>2</v>
      </c>
      <c r="K178" s="209"/>
      <c r="L178" s="1040"/>
      <c r="U178" s="954"/>
      <c r="V178" s="954"/>
      <c r="W178" s="954"/>
      <c r="X178" s="751"/>
    </row>
    <row r="179">
      <c r="A179" s="819" t="s">
        <v>1317</v>
      </c>
      <c r="B179" s="1032">
        <v>6.0</v>
      </c>
      <c r="C179" s="1032">
        <v>3.0</v>
      </c>
      <c r="D179" s="1032">
        <v>4.0</v>
      </c>
      <c r="E179" s="1033">
        <v>0.25</v>
      </c>
      <c r="F179" s="810" t="s">
        <v>23</v>
      </c>
      <c r="G179" s="1016" t="s">
        <v>1283</v>
      </c>
      <c r="H179" s="1016" t="s">
        <v>1292</v>
      </c>
      <c r="I179">
        <f t="shared" si="9"/>
        <v>2</v>
      </c>
      <c r="K179" s="209"/>
      <c r="L179" s="1040"/>
      <c r="U179" s="954"/>
      <c r="V179" s="954"/>
      <c r="W179" s="954"/>
      <c r="X179" s="751"/>
    </row>
    <row r="180">
      <c r="A180" s="819" t="s">
        <v>1318</v>
      </c>
      <c r="B180" s="1032">
        <v>6.0</v>
      </c>
      <c r="C180" s="1032">
        <v>2.0</v>
      </c>
      <c r="D180" s="1032">
        <v>5.0</v>
      </c>
      <c r="E180" s="1033">
        <v>0.3</v>
      </c>
      <c r="F180" s="810" t="s">
        <v>23</v>
      </c>
      <c r="G180" s="1016" t="s">
        <v>1283</v>
      </c>
      <c r="H180" s="1016" t="s">
        <v>1292</v>
      </c>
      <c r="I180">
        <f t="shared" si="9"/>
        <v>2</v>
      </c>
      <c r="K180" s="209"/>
      <c r="L180" s="1040"/>
      <c r="U180" s="954"/>
      <c r="V180" s="954"/>
      <c r="W180" s="954"/>
      <c r="X180" s="751"/>
    </row>
    <row r="181">
      <c r="A181" s="819" t="s">
        <v>1319</v>
      </c>
      <c r="B181" s="1032">
        <v>6.0</v>
      </c>
      <c r="C181" s="1032">
        <v>2.0</v>
      </c>
      <c r="D181" s="1032">
        <v>5.0</v>
      </c>
      <c r="E181" s="1033">
        <v>0.3</v>
      </c>
      <c r="F181" s="810" t="s">
        <v>23</v>
      </c>
      <c r="G181" s="1016" t="s">
        <v>1288</v>
      </c>
      <c r="H181" s="1016" t="s">
        <v>1292</v>
      </c>
      <c r="I181">
        <f t="shared" si="9"/>
        <v>2</v>
      </c>
      <c r="K181" s="209"/>
      <c r="L181" s="1040"/>
      <c r="U181" s="954"/>
      <c r="V181" s="954"/>
      <c r="W181" s="954"/>
      <c r="X181" s="751"/>
    </row>
    <row r="182">
      <c r="A182" s="819" t="s">
        <v>1320</v>
      </c>
      <c r="B182" s="1032">
        <v>6.0</v>
      </c>
      <c r="C182" s="1032">
        <v>3.0</v>
      </c>
      <c r="D182" s="1032">
        <v>4.0</v>
      </c>
      <c r="E182" s="1033">
        <v>0.3</v>
      </c>
      <c r="F182" s="810" t="s">
        <v>23</v>
      </c>
      <c r="G182" s="1016" t="s">
        <v>1288</v>
      </c>
      <c r="H182" s="1016" t="s">
        <v>1292</v>
      </c>
      <c r="I182">
        <f t="shared" si="9"/>
        <v>2</v>
      </c>
      <c r="K182" s="209"/>
      <c r="L182" s="1040"/>
      <c r="U182" s="954"/>
      <c r="V182" s="954"/>
      <c r="W182" s="954"/>
      <c r="X182" s="751"/>
    </row>
    <row r="183">
      <c r="A183" s="819" t="s">
        <v>1322</v>
      </c>
      <c r="B183" s="1032">
        <v>6.0</v>
      </c>
      <c r="C183" s="1032">
        <v>3.0</v>
      </c>
      <c r="D183" s="1032">
        <v>5.0</v>
      </c>
      <c r="E183" s="1033">
        <v>0.25</v>
      </c>
      <c r="F183" s="810" t="s">
        <v>23</v>
      </c>
      <c r="G183" s="1016" t="s">
        <v>1288</v>
      </c>
      <c r="H183" s="1016" t="s">
        <v>1292</v>
      </c>
      <c r="I183">
        <f t="shared" si="9"/>
        <v>2</v>
      </c>
      <c r="K183" s="209"/>
      <c r="L183" s="1040"/>
      <c r="U183" s="954"/>
      <c r="V183" s="954"/>
      <c r="W183" s="954"/>
      <c r="X183" s="751"/>
    </row>
    <row r="184">
      <c r="A184" s="1029" t="s">
        <v>1323</v>
      </c>
      <c r="B184" s="1049"/>
      <c r="C184" s="1032"/>
      <c r="D184" s="1032"/>
      <c r="E184" s="1033"/>
      <c r="F184" s="810"/>
      <c r="G184" s="1016" t="s">
        <v>1283</v>
      </c>
      <c r="H184" s="814"/>
      <c r="I184" t="str">
        <f t="shared" si="9"/>
        <v/>
      </c>
      <c r="K184" s="209"/>
      <c r="L184" s="1040"/>
      <c r="U184" s="954"/>
      <c r="V184" s="954"/>
      <c r="W184" s="954"/>
      <c r="X184" s="751"/>
    </row>
    <row r="185">
      <c r="A185" s="1029"/>
      <c r="B185" s="1049"/>
      <c r="C185" s="1032"/>
      <c r="D185" s="1032"/>
      <c r="E185" s="1033"/>
      <c r="F185" s="810"/>
      <c r="G185" s="1016" t="s">
        <v>1288</v>
      </c>
      <c r="H185" s="814"/>
      <c r="I185" t="str">
        <f t="shared" si="9"/>
        <v/>
      </c>
      <c r="K185" s="209"/>
      <c r="L185" s="1040"/>
      <c r="U185" s="954"/>
      <c r="V185" s="954"/>
      <c r="W185" s="954"/>
      <c r="X185" s="751"/>
    </row>
    <row r="186">
      <c r="A186" s="819" t="s">
        <v>1324</v>
      </c>
      <c r="B186" s="1032">
        <v>7.0</v>
      </c>
      <c r="C186" s="1032">
        <v>1.0</v>
      </c>
      <c r="D186" s="1032">
        <v>6.0</v>
      </c>
      <c r="E186" s="1033">
        <v>0.35</v>
      </c>
      <c r="F186" s="810" t="s">
        <v>1325</v>
      </c>
      <c r="G186" s="1016" t="s">
        <v>1283</v>
      </c>
      <c r="H186" s="1016" t="s">
        <v>1292</v>
      </c>
      <c r="I186">
        <f t="shared" si="9"/>
        <v>3</v>
      </c>
      <c r="K186" s="1052"/>
      <c r="L186" s="1053"/>
      <c r="U186" s="954"/>
      <c r="V186" s="954"/>
      <c r="W186" s="954"/>
      <c r="X186" s="751"/>
    </row>
    <row r="187">
      <c r="A187" s="819" t="s">
        <v>1327</v>
      </c>
      <c r="B187" s="1032">
        <v>7.0</v>
      </c>
      <c r="C187" s="1032">
        <v>1.0</v>
      </c>
      <c r="D187" s="1032">
        <v>5.0</v>
      </c>
      <c r="E187" s="1033">
        <v>0.35</v>
      </c>
      <c r="F187" s="810" t="s">
        <v>1325</v>
      </c>
      <c r="G187" s="1016" t="s">
        <v>1283</v>
      </c>
      <c r="H187" s="1016" t="s">
        <v>1292</v>
      </c>
      <c r="I187">
        <f t="shared" si="9"/>
        <v>3</v>
      </c>
      <c r="U187" s="954"/>
      <c r="V187" s="954"/>
      <c r="W187" s="954"/>
      <c r="X187" s="751"/>
    </row>
    <row r="188">
      <c r="A188" s="819" t="s">
        <v>1328</v>
      </c>
      <c r="B188" s="1032">
        <v>7.0</v>
      </c>
      <c r="C188" s="1032">
        <v>0.0</v>
      </c>
      <c r="D188" s="1032">
        <v>7.0</v>
      </c>
      <c r="E188" s="1033">
        <v>0.4</v>
      </c>
      <c r="F188" s="810" t="s">
        <v>1325</v>
      </c>
      <c r="G188" s="1016" t="s">
        <v>1283</v>
      </c>
      <c r="H188" s="1016" t="s">
        <v>1292</v>
      </c>
      <c r="I188">
        <f t="shared" si="9"/>
        <v>3</v>
      </c>
      <c r="U188" s="954"/>
      <c r="V188" s="954"/>
      <c r="W188" s="954"/>
      <c r="X188" s="751"/>
    </row>
    <row r="189">
      <c r="A189" s="819" t="s">
        <v>1329</v>
      </c>
      <c r="B189" s="1032">
        <v>7.0</v>
      </c>
      <c r="C189" s="1032">
        <v>1.0</v>
      </c>
      <c r="D189" s="1032">
        <v>7.0</v>
      </c>
      <c r="E189" s="1033">
        <v>0.35</v>
      </c>
      <c r="F189" s="810" t="s">
        <v>1325</v>
      </c>
      <c r="G189" s="1016" t="s">
        <v>1288</v>
      </c>
      <c r="H189" s="1016" t="s">
        <v>1292</v>
      </c>
      <c r="I189">
        <f t="shared" si="9"/>
        <v>3</v>
      </c>
      <c r="U189" s="954"/>
      <c r="V189" s="954"/>
      <c r="W189" s="954"/>
      <c r="X189" s="751"/>
    </row>
    <row r="190">
      <c r="A190" s="819" t="s">
        <v>1330</v>
      </c>
      <c r="B190" s="1032">
        <v>7.0</v>
      </c>
      <c r="C190" s="1032">
        <v>0.0</v>
      </c>
      <c r="D190" s="1032">
        <v>7.0</v>
      </c>
      <c r="E190" s="1033">
        <v>0.4</v>
      </c>
      <c r="F190" s="810" t="s">
        <v>1325</v>
      </c>
      <c r="G190" s="1016" t="s">
        <v>1283</v>
      </c>
      <c r="H190" s="1016" t="s">
        <v>1292</v>
      </c>
      <c r="I190">
        <f t="shared" si="9"/>
        <v>3</v>
      </c>
      <c r="U190" s="954"/>
      <c r="V190" s="954"/>
      <c r="W190" s="954"/>
      <c r="X190" s="751"/>
    </row>
    <row r="191">
      <c r="A191" s="819" t="s">
        <v>1331</v>
      </c>
      <c r="B191" s="1032">
        <v>7.0</v>
      </c>
      <c r="C191" s="1032">
        <v>3.0</v>
      </c>
      <c r="D191" s="1032">
        <v>6.0</v>
      </c>
      <c r="E191" s="1033">
        <v>0.35</v>
      </c>
      <c r="F191" s="810" t="s">
        <v>1325</v>
      </c>
      <c r="G191" s="1016" t="s">
        <v>1288</v>
      </c>
      <c r="H191" s="1016" t="s">
        <v>1292</v>
      </c>
      <c r="I191">
        <f t="shared" si="9"/>
        <v>3</v>
      </c>
      <c r="U191" s="954"/>
      <c r="V191" s="954"/>
      <c r="W191" s="954"/>
      <c r="X191" s="751"/>
    </row>
    <row r="192">
      <c r="A192" s="819" t="s">
        <v>1333</v>
      </c>
      <c r="B192" s="1032">
        <v>8.0</v>
      </c>
      <c r="C192" s="1032">
        <v>0.0</v>
      </c>
      <c r="D192" s="1032">
        <v>7.0</v>
      </c>
      <c r="E192" s="1033">
        <v>0.4</v>
      </c>
      <c r="F192" s="810" t="s">
        <v>1325</v>
      </c>
      <c r="G192" s="1016" t="s">
        <v>1283</v>
      </c>
      <c r="H192" s="1016" t="s">
        <v>1292</v>
      </c>
      <c r="I192">
        <f t="shared" si="9"/>
        <v>3</v>
      </c>
      <c r="U192" s="954"/>
      <c r="V192" s="954"/>
      <c r="W192" s="954"/>
      <c r="X192" s="751"/>
    </row>
    <row r="193">
      <c r="A193" s="819" t="s">
        <v>1334</v>
      </c>
      <c r="B193" s="1032">
        <v>8.0</v>
      </c>
      <c r="C193" s="1032">
        <v>0.0</v>
      </c>
      <c r="D193" s="1032">
        <v>7.0</v>
      </c>
      <c r="E193" s="1033">
        <v>0.4</v>
      </c>
      <c r="F193" s="810" t="s">
        <v>1325</v>
      </c>
      <c r="G193" s="1016" t="s">
        <v>1283</v>
      </c>
      <c r="H193" s="1016" t="s">
        <v>1292</v>
      </c>
      <c r="I193">
        <f t="shared" si="9"/>
        <v>3</v>
      </c>
      <c r="U193" s="954"/>
      <c r="V193" s="954"/>
      <c r="W193" s="954"/>
      <c r="X193" s="751"/>
    </row>
    <row r="194">
      <c r="A194" s="819" t="s">
        <v>1335</v>
      </c>
      <c r="B194" s="1032">
        <v>8.0</v>
      </c>
      <c r="C194" s="1032">
        <v>2.0</v>
      </c>
      <c r="D194" s="1032">
        <v>6.0</v>
      </c>
      <c r="E194" s="1033">
        <v>0.35</v>
      </c>
      <c r="F194" s="810" t="s">
        <v>1325</v>
      </c>
      <c r="G194" s="1016" t="s">
        <v>1288</v>
      </c>
      <c r="H194" s="1016" t="s">
        <v>1292</v>
      </c>
      <c r="I194">
        <f t="shared" si="9"/>
        <v>3</v>
      </c>
      <c r="U194" s="954"/>
      <c r="V194" s="954"/>
      <c r="W194" s="954"/>
      <c r="X194" s="751"/>
    </row>
    <row r="195">
      <c r="A195" s="819" t="s">
        <v>1337</v>
      </c>
      <c r="B195" s="1032">
        <v>8.0</v>
      </c>
      <c r="C195" s="1032">
        <v>0.0</v>
      </c>
      <c r="D195" s="1032">
        <v>7.0</v>
      </c>
      <c r="E195" s="1033">
        <v>0.4</v>
      </c>
      <c r="F195" s="810" t="s">
        <v>1325</v>
      </c>
      <c r="G195" s="1016" t="s">
        <v>1288</v>
      </c>
      <c r="H195" s="1016" t="s">
        <v>1292</v>
      </c>
      <c r="I195">
        <f t="shared" si="9"/>
        <v>3</v>
      </c>
      <c r="U195" s="954"/>
      <c r="V195" s="954"/>
      <c r="W195" s="954"/>
      <c r="X195" s="751"/>
    </row>
    <row r="196">
      <c r="A196" s="819" t="s">
        <v>1338</v>
      </c>
      <c r="B196" s="1032">
        <v>9.0</v>
      </c>
      <c r="C196" s="1032">
        <v>1.0</v>
      </c>
      <c r="D196" s="1032">
        <v>6.0</v>
      </c>
      <c r="E196" s="1033">
        <v>0.35</v>
      </c>
      <c r="F196" s="810" t="s">
        <v>1325</v>
      </c>
      <c r="G196" s="1016" t="s">
        <v>1283</v>
      </c>
      <c r="H196" s="1016" t="s">
        <v>1292</v>
      </c>
      <c r="I196">
        <f t="shared" si="9"/>
        <v>3</v>
      </c>
      <c r="U196" s="954"/>
      <c r="V196" s="954"/>
      <c r="W196" s="954"/>
      <c r="X196" s="751"/>
    </row>
    <row r="197">
      <c r="A197" s="819"/>
      <c r="B197" s="1048"/>
      <c r="C197" s="1048"/>
      <c r="D197" s="1048"/>
      <c r="E197" s="1057"/>
      <c r="F197" s="814"/>
      <c r="G197" s="814"/>
      <c r="H197" s="814"/>
      <c r="I197" t="str">
        <f t="shared" si="9"/>
        <v/>
      </c>
      <c r="U197" s="954"/>
      <c r="V197" s="954"/>
      <c r="W197" s="954"/>
      <c r="X197" s="751"/>
    </row>
    <row r="198">
      <c r="A198" s="1027" t="s">
        <v>1339</v>
      </c>
      <c r="B198" s="819" t="s">
        <v>1267</v>
      </c>
      <c r="C198" s="819" t="s">
        <v>89</v>
      </c>
      <c r="D198" s="819" t="s">
        <v>124</v>
      </c>
      <c r="E198" s="1028" t="s">
        <v>1268</v>
      </c>
      <c r="F198" s="810" t="s">
        <v>656</v>
      </c>
      <c r="G198" s="814"/>
      <c r="H198" s="814"/>
      <c r="U198" s="954"/>
      <c r="V198" s="954"/>
      <c r="W198" s="954"/>
      <c r="X198" s="751"/>
    </row>
    <row r="199">
      <c r="A199" s="1029" t="s">
        <v>1340</v>
      </c>
      <c r="B199" s="1032"/>
      <c r="C199" s="1048"/>
      <c r="D199" s="1032"/>
      <c r="E199" s="1033"/>
      <c r="F199" s="810"/>
      <c r="G199" s="1016" t="s">
        <v>465</v>
      </c>
      <c r="H199" s="1016"/>
      <c r="K199" s="436"/>
      <c r="U199" s="954"/>
      <c r="V199" s="954"/>
      <c r="W199" s="954"/>
      <c r="X199" s="751"/>
    </row>
    <row r="200">
      <c r="A200" s="819" t="s">
        <v>1341</v>
      </c>
      <c r="B200" s="1032">
        <v>1.0</v>
      </c>
      <c r="C200" s="1048"/>
      <c r="D200" s="1032">
        <v>1.0</v>
      </c>
      <c r="E200" s="1033">
        <v>0.05000000000000001</v>
      </c>
      <c r="F200" s="810" t="s">
        <v>1341</v>
      </c>
      <c r="G200" s="1016" t="s">
        <v>465</v>
      </c>
      <c r="H200" s="1016" t="s">
        <v>1292</v>
      </c>
      <c r="K200" s="1061" t="s">
        <v>1342</v>
      </c>
      <c r="L200" s="69"/>
      <c r="U200" s="954"/>
      <c r="V200" s="954"/>
      <c r="W200" s="954"/>
      <c r="X200" s="751"/>
    </row>
    <row r="201">
      <c r="A201" s="819" t="s">
        <v>1343</v>
      </c>
      <c r="B201" s="1032">
        <v>1.0</v>
      </c>
      <c r="C201" s="1048"/>
      <c r="D201" s="1032">
        <v>1.0</v>
      </c>
      <c r="E201" s="1033">
        <v>0.05000000000000001</v>
      </c>
      <c r="F201" s="810" t="s">
        <v>903</v>
      </c>
      <c r="G201" s="1016" t="s">
        <v>465</v>
      </c>
      <c r="H201" s="1016" t="s">
        <v>1292</v>
      </c>
      <c r="K201" s="38" t="str">
        <f>IFERROR(__xludf.DUMMYFUNCTION("FILTER($A$209:$A$234,$F$209:$F$234 = VLOOKUP('Main Sheet'!$M$42,$A$150:$H$206,8,false))"),"#N/A")</f>
        <v>#N/A</v>
      </c>
      <c r="L201" s="269" t="str">
        <f>IFERROR(__xludf.DUMMYFUNCTION("FILTER($A$209:$A$232,$H$209:$H$232 = ""Shield"")"),"Darkwood")</f>
        <v>Darkwood</v>
      </c>
      <c r="U201" s="954"/>
      <c r="V201" s="954"/>
      <c r="W201" s="954"/>
      <c r="X201" s="751"/>
    </row>
    <row r="202">
      <c r="A202" s="1029" t="s">
        <v>1344</v>
      </c>
      <c r="B202" s="1032">
        <v>1.0</v>
      </c>
      <c r="C202" s="1048"/>
      <c r="D202" s="1038">
        <v>2.0</v>
      </c>
      <c r="E202" s="1033">
        <v>0.05000000000000001</v>
      </c>
      <c r="F202" s="810" t="s">
        <v>903</v>
      </c>
      <c r="G202" s="1016" t="s">
        <v>465</v>
      </c>
      <c r="H202" s="1016" t="s">
        <v>1292</v>
      </c>
      <c r="K202" s="38"/>
      <c r="L202" s="269" t="str">
        <f>IFERROR(__xludf.DUMMYFUNCTION("""COMPUTED_VALUE"""),"Dragonhide")</f>
        <v>Dragonhide</v>
      </c>
      <c r="U202" s="954"/>
      <c r="V202" s="954"/>
      <c r="W202" s="954"/>
      <c r="X202" s="751"/>
    </row>
    <row r="203">
      <c r="A203" s="1029" t="s">
        <v>1346</v>
      </c>
      <c r="B203" s="1032">
        <v>1.0</v>
      </c>
      <c r="C203" s="1048"/>
      <c r="D203" s="1038">
        <v>1.0</v>
      </c>
      <c r="E203" s="1033">
        <v>0.05000000000000001</v>
      </c>
      <c r="F203" s="810" t="s">
        <v>903</v>
      </c>
      <c r="G203" s="1016" t="s">
        <v>465</v>
      </c>
      <c r="H203" s="1016" t="s">
        <v>1292</v>
      </c>
      <c r="K203" s="38"/>
      <c r="L203" s="269" t="str">
        <f>IFERROR(__xludf.DUMMYFUNCTION("""COMPUTED_VALUE"""),"Greenwood")</f>
        <v>Greenwood</v>
      </c>
      <c r="U203" s="954"/>
      <c r="V203" s="954"/>
      <c r="W203" s="954"/>
      <c r="X203" s="751"/>
    </row>
    <row r="204">
      <c r="A204" s="1029" t="s">
        <v>1347</v>
      </c>
      <c r="B204" s="1032">
        <v>2.0</v>
      </c>
      <c r="C204" s="1048"/>
      <c r="D204" s="1032">
        <v>2.0</v>
      </c>
      <c r="E204" s="1033">
        <v>0.15</v>
      </c>
      <c r="F204" s="810" t="s">
        <v>1325</v>
      </c>
      <c r="G204" s="1016" t="s">
        <v>465</v>
      </c>
      <c r="H204" s="1016" t="s">
        <v>1292</v>
      </c>
      <c r="K204" s="38"/>
      <c r="L204" s="269" t="str">
        <f>IFERROR(__xludf.DUMMYFUNCTION("""COMPUTED_VALUE"""),"Living steel")</f>
        <v>Living steel</v>
      </c>
      <c r="U204" s="954"/>
      <c r="V204" s="954"/>
      <c r="W204" s="954"/>
      <c r="X204" s="751"/>
    </row>
    <row r="205">
      <c r="A205" s="819" t="s">
        <v>1348</v>
      </c>
      <c r="B205" s="1032">
        <v>4.0</v>
      </c>
      <c r="C205" s="1048"/>
      <c r="D205" s="1032">
        <v>0.0</v>
      </c>
      <c r="E205" s="1033">
        <v>0.0</v>
      </c>
      <c r="F205" s="810" t="s">
        <v>1349</v>
      </c>
      <c r="G205" s="1016" t="s">
        <v>465</v>
      </c>
      <c r="H205" s="1016" t="s">
        <v>1292</v>
      </c>
      <c r="K205" s="38"/>
      <c r="L205" s="269" t="str">
        <f>IFERROR(__xludf.DUMMYFUNCTION("""COMPUTED_VALUE"""),"Mithral")</f>
        <v>Mithral</v>
      </c>
      <c r="U205" s="954"/>
      <c r="V205" s="954"/>
      <c r="W205" s="954"/>
      <c r="X205" s="751"/>
    </row>
    <row r="206">
      <c r="A206" s="819" t="s">
        <v>1350</v>
      </c>
      <c r="B206" s="1032">
        <v>4.0</v>
      </c>
      <c r="C206" s="1032">
        <v>2.0</v>
      </c>
      <c r="D206" s="1032">
        <v>10.0</v>
      </c>
      <c r="E206" s="1033">
        <v>0.5</v>
      </c>
      <c r="F206" s="810" t="s">
        <v>1351</v>
      </c>
      <c r="G206" s="1016" t="s">
        <v>465</v>
      </c>
      <c r="H206" s="1016" t="s">
        <v>1292</v>
      </c>
      <c r="K206" s="38"/>
      <c r="L206" s="269" t="str">
        <f>IFERROR(__xludf.DUMMYFUNCTION("""COMPUTED_VALUE"""),"Steel")</f>
        <v>Steel</v>
      </c>
      <c r="U206" s="954"/>
      <c r="V206" s="954"/>
      <c r="W206" s="954"/>
      <c r="X206" s="751"/>
    </row>
    <row r="207">
      <c r="A207" s="819"/>
      <c r="B207" s="1032"/>
      <c r="C207" s="1048"/>
      <c r="D207" s="1032"/>
      <c r="E207" s="1033"/>
      <c r="F207" s="810"/>
      <c r="G207" s="1016"/>
      <c r="H207" s="814"/>
      <c r="K207" s="38"/>
      <c r="L207" s="269" t="str">
        <f>IFERROR(__xludf.DUMMYFUNCTION("""COMPUTED_VALUE"""),"Wood")</f>
        <v>Wood</v>
      </c>
      <c r="U207" s="954"/>
      <c r="V207" s="954"/>
      <c r="W207" s="954"/>
      <c r="X207" s="751"/>
    </row>
    <row r="208">
      <c r="A208" s="1027" t="s">
        <v>1352</v>
      </c>
      <c r="B208" s="819" t="s">
        <v>1267</v>
      </c>
      <c r="C208" s="819" t="s">
        <v>89</v>
      </c>
      <c r="D208" s="819" t="s">
        <v>124</v>
      </c>
      <c r="E208" s="1028" t="s">
        <v>1268</v>
      </c>
      <c r="F208" s="810" t="s">
        <v>656</v>
      </c>
      <c r="G208" s="810" t="s">
        <v>1353</v>
      </c>
      <c r="H208" s="814"/>
      <c r="K208" s="38"/>
      <c r="L208" s="269"/>
      <c r="U208" s="954"/>
      <c r="V208" s="954"/>
      <c r="W208" s="954"/>
      <c r="X208" s="751"/>
    </row>
    <row r="209">
      <c r="A209" s="819" t="s">
        <v>1354</v>
      </c>
      <c r="B209" s="1048"/>
      <c r="C209" s="1048"/>
      <c r="D209" s="1048"/>
      <c r="E209" s="1057"/>
      <c r="F209" s="1016" t="s">
        <v>1292</v>
      </c>
      <c r="G209" s="810" t="str">
        <f>if($O$154="Heavy","DR 3/-",if($O$154="Medium","DR 2/-","DR 1/-"))</f>
        <v>DR 1/-</v>
      </c>
      <c r="H209" s="810"/>
      <c r="K209" s="38"/>
      <c r="L209" s="269"/>
      <c r="U209" s="954"/>
      <c r="V209" s="954"/>
      <c r="W209" s="954"/>
      <c r="X209" s="751"/>
    </row>
    <row r="210">
      <c r="A210" s="819" t="s">
        <v>1355</v>
      </c>
      <c r="B210" s="819"/>
      <c r="C210" s="819"/>
      <c r="D210" s="819"/>
      <c r="E210" s="1028"/>
      <c r="F210" s="1016" t="s">
        <v>1281</v>
      </c>
      <c r="G210" s="810" t="s">
        <v>1356</v>
      </c>
      <c r="H210" s="814"/>
      <c r="K210" s="38"/>
      <c r="L210" s="269"/>
      <c r="U210" s="954"/>
      <c r="V210" s="954"/>
      <c r="W210" s="954"/>
      <c r="X210" s="751"/>
    </row>
    <row r="211">
      <c r="A211" s="1029" t="s">
        <v>1291</v>
      </c>
      <c r="B211" s="1029">
        <v>1.0</v>
      </c>
      <c r="C211" s="1029">
        <v>-1.0</v>
      </c>
      <c r="D211" s="1029">
        <v>-1.0</v>
      </c>
      <c r="E211" s="1028"/>
      <c r="F211" s="1016" t="s">
        <v>1281</v>
      </c>
      <c r="G211" s="814"/>
      <c r="H211" s="814"/>
      <c r="I211" s="436">
        <v>1.0</v>
      </c>
      <c r="K211" s="38"/>
      <c r="L211" s="269"/>
      <c r="U211" s="954"/>
      <c r="V211" s="954"/>
      <c r="W211" s="954"/>
      <c r="X211" s="751"/>
    </row>
    <row r="212">
      <c r="A212" s="1029" t="s">
        <v>1291</v>
      </c>
      <c r="B212" s="819"/>
      <c r="C212" s="819"/>
      <c r="D212" s="819"/>
      <c r="E212" s="1028"/>
      <c r="F212" s="1016" t="s">
        <v>1292</v>
      </c>
      <c r="G212" s="814"/>
      <c r="H212" s="814"/>
      <c r="I212" s="436"/>
      <c r="K212" s="38"/>
      <c r="L212" s="269"/>
      <c r="U212" s="954"/>
      <c r="V212" s="954"/>
      <c r="W212" s="954"/>
      <c r="X212" s="751"/>
    </row>
    <row r="213">
      <c r="A213" s="819" t="s">
        <v>1357</v>
      </c>
      <c r="B213" s="1032">
        <v>-1.0</v>
      </c>
      <c r="C213" s="819"/>
      <c r="D213" s="819"/>
      <c r="E213" s="1028"/>
      <c r="F213" s="1016" t="s">
        <v>1292</v>
      </c>
      <c r="G213" s="810" t="s">
        <v>1358</v>
      </c>
      <c r="H213" s="810"/>
      <c r="K213" s="38"/>
      <c r="L213" s="269"/>
      <c r="U213" s="954"/>
      <c r="V213" s="954"/>
      <c r="W213" s="954"/>
      <c r="X213" s="751"/>
    </row>
    <row r="214">
      <c r="A214" s="819" t="s">
        <v>1359</v>
      </c>
      <c r="B214" s="819"/>
      <c r="C214" s="819"/>
      <c r="D214" s="819"/>
      <c r="E214" s="1028"/>
      <c r="F214" s="1016" t="s">
        <v>1292</v>
      </c>
      <c r="G214" s="810" t="s">
        <v>1358</v>
      </c>
      <c r="H214" s="814"/>
      <c r="K214" s="38"/>
      <c r="L214" s="1063"/>
      <c r="U214" s="954"/>
      <c r="V214" s="954"/>
      <c r="W214" s="954"/>
      <c r="X214" s="751"/>
    </row>
    <row r="215">
      <c r="A215" s="819" t="s">
        <v>1360</v>
      </c>
      <c r="B215" s="1048"/>
      <c r="C215" s="1032">
        <v>2.0</v>
      </c>
      <c r="D215" s="1038">
        <v>3.0</v>
      </c>
      <c r="E215" s="1033">
        <v>-0.1</v>
      </c>
      <c r="F215" s="1016" t="s">
        <v>1281</v>
      </c>
      <c r="G215" s="814"/>
      <c r="H215" s="814"/>
      <c r="K215" s="38"/>
      <c r="L215" s="269"/>
      <c r="U215" s="954"/>
      <c r="V215" s="954"/>
      <c r="W215" s="954"/>
      <c r="X215" s="751"/>
    </row>
    <row r="216">
      <c r="A216" s="819" t="s">
        <v>1361</v>
      </c>
      <c r="B216" s="819"/>
      <c r="C216" s="819"/>
      <c r="D216" s="1029">
        <v>2.0</v>
      </c>
      <c r="E216" s="1028"/>
      <c r="F216" s="1016" t="s">
        <v>683</v>
      </c>
      <c r="G216" s="1016" t="s">
        <v>1362</v>
      </c>
      <c r="H216" s="1016" t="s">
        <v>465</v>
      </c>
      <c r="K216" s="38"/>
      <c r="L216" s="269"/>
      <c r="U216" s="954"/>
      <c r="V216" s="954"/>
      <c r="W216" s="954"/>
      <c r="X216" s="751"/>
    </row>
    <row r="217">
      <c r="A217" s="819" t="s">
        <v>1363</v>
      </c>
      <c r="B217" s="819"/>
      <c r="C217" s="819"/>
      <c r="D217" s="819"/>
      <c r="E217" s="1028"/>
      <c r="F217" s="1016" t="s">
        <v>1292</v>
      </c>
      <c r="G217" s="810" t="s">
        <v>1364</v>
      </c>
      <c r="H217" s="1016" t="s">
        <v>465</v>
      </c>
      <c r="K217" s="38"/>
      <c r="L217" s="269"/>
      <c r="U217" s="954"/>
      <c r="V217" s="954"/>
      <c r="W217" s="954"/>
      <c r="X217" s="751"/>
    </row>
    <row r="218">
      <c r="A218" s="1029" t="s">
        <v>1363</v>
      </c>
      <c r="B218" s="819"/>
      <c r="C218" s="819"/>
      <c r="D218" s="819"/>
      <c r="E218" s="1028"/>
      <c r="F218" s="1016" t="s">
        <v>1281</v>
      </c>
      <c r="G218" s="810" t="s">
        <v>1364</v>
      </c>
      <c r="H218" s="814"/>
      <c r="K218" s="38"/>
      <c r="L218" s="269"/>
      <c r="U218" s="954"/>
      <c r="V218" s="954"/>
      <c r="W218" s="954"/>
      <c r="X218" s="751"/>
    </row>
    <row r="219">
      <c r="A219" s="819" t="s">
        <v>1365</v>
      </c>
      <c r="B219" s="1048"/>
      <c r="C219" s="1032">
        <v>1.0</v>
      </c>
      <c r="D219" s="1038"/>
      <c r="E219" s="1028"/>
      <c r="F219" s="1016" t="s">
        <v>1281</v>
      </c>
      <c r="G219" s="810" t="s">
        <v>1366</v>
      </c>
      <c r="H219" s="814"/>
      <c r="K219" s="38"/>
      <c r="L219" s="269"/>
      <c r="U219" s="954"/>
      <c r="V219" s="954"/>
      <c r="W219" s="954"/>
      <c r="X219" s="751"/>
    </row>
    <row r="220">
      <c r="A220" s="819" t="s">
        <v>1367</v>
      </c>
      <c r="B220" s="819"/>
      <c r="C220" s="819"/>
      <c r="D220" s="819"/>
      <c r="E220" s="1028"/>
      <c r="F220" s="1016" t="s">
        <v>1292</v>
      </c>
      <c r="G220" s="810" t="str">
        <f>if($O$154="Heavy","DR 3/-",if($O$154="Medium","DR 2/-","DR 1/-")) &amp; " vs. Beasts/Humanoids"</f>
        <v>DR 1/- vs. Beasts/Humanoids</v>
      </c>
      <c r="H220" s="1016"/>
      <c r="K220" s="38"/>
      <c r="L220" s="269"/>
      <c r="U220" s="954"/>
      <c r="V220" s="954"/>
      <c r="W220" s="954"/>
      <c r="X220" s="751"/>
    </row>
    <row r="221">
      <c r="A221" s="819" t="s">
        <v>1368</v>
      </c>
      <c r="B221" s="819"/>
      <c r="C221" s="819"/>
      <c r="D221" s="819"/>
      <c r="E221" s="1028"/>
      <c r="F221" s="1016" t="s">
        <v>1292</v>
      </c>
      <c r="G221" s="810" t="s">
        <v>1369</v>
      </c>
      <c r="H221" s="1016"/>
      <c r="K221" s="38"/>
      <c r="L221" s="269"/>
      <c r="U221" s="954"/>
      <c r="V221" s="954"/>
      <c r="W221" s="954"/>
      <c r="X221" s="751"/>
    </row>
    <row r="222">
      <c r="A222" s="819" t="s">
        <v>1370</v>
      </c>
      <c r="B222" s="819"/>
      <c r="C222" s="819"/>
      <c r="D222" s="819"/>
      <c r="E222" s="1028"/>
      <c r="F222" s="1016" t="s">
        <v>1292</v>
      </c>
      <c r="G222" s="810" t="s">
        <v>1371</v>
      </c>
      <c r="H222" s="1016"/>
      <c r="K222" s="38"/>
      <c r="L222" s="269"/>
      <c r="U222" s="954"/>
      <c r="V222" s="954"/>
      <c r="W222" s="954"/>
      <c r="X222" s="751"/>
    </row>
    <row r="223">
      <c r="A223" s="1029" t="s">
        <v>1372</v>
      </c>
      <c r="B223" s="819"/>
      <c r="C223" s="819"/>
      <c r="D223" s="819"/>
      <c r="E223" s="1028"/>
      <c r="F223" s="436" t="s">
        <v>683</v>
      </c>
      <c r="G223" s="1029" t="s">
        <v>1373</v>
      </c>
      <c r="H223" s="1016" t="s">
        <v>465</v>
      </c>
      <c r="K223" s="38"/>
      <c r="L223" s="269"/>
      <c r="U223" s="954"/>
      <c r="V223" s="954"/>
      <c r="W223" s="954"/>
      <c r="X223" s="751"/>
    </row>
    <row r="224">
      <c r="A224" s="819" t="s">
        <v>1374</v>
      </c>
      <c r="B224" s="819"/>
      <c r="C224" s="819"/>
      <c r="D224" s="819"/>
      <c r="E224" s="1028"/>
      <c r="F224" s="1016" t="s">
        <v>1281</v>
      </c>
      <c r="G224" s="1066" t="s">
        <v>1375</v>
      </c>
      <c r="H224" s="814"/>
      <c r="K224" s="111"/>
      <c r="L224" s="68"/>
      <c r="U224" s="954"/>
      <c r="V224" s="954"/>
      <c r="W224" s="954"/>
      <c r="X224" s="751"/>
    </row>
    <row r="225">
      <c r="A225" s="1029" t="s">
        <v>1376</v>
      </c>
      <c r="B225" s="819"/>
      <c r="C225" s="819"/>
      <c r="D225" s="819"/>
      <c r="E225" s="1028"/>
      <c r="F225" s="1016" t="s">
        <v>1292</v>
      </c>
      <c r="G225" s="810" t="str">
        <f>if($O$154="Heavy","+3 Initiative",if($O$154="Medium","+2 Initiative","+1 Initiative"))</f>
        <v>+1 Initiative</v>
      </c>
      <c r="H225" s="814"/>
      <c r="U225" s="954"/>
      <c r="V225" s="954"/>
      <c r="W225" s="954"/>
      <c r="X225" s="751"/>
    </row>
    <row r="226">
      <c r="A226" s="436" t="s">
        <v>1377</v>
      </c>
      <c r="F226" s="1016" t="s">
        <v>1281</v>
      </c>
      <c r="H226" s="814"/>
      <c r="U226" s="954"/>
      <c r="V226" s="954"/>
      <c r="W226" s="954"/>
      <c r="X226" s="751"/>
    </row>
    <row r="227">
      <c r="A227" s="819" t="s">
        <v>1378</v>
      </c>
      <c r="B227" s="819"/>
      <c r="C227" s="819"/>
      <c r="D227" s="819"/>
      <c r="E227" s="1028"/>
      <c r="F227" s="1016" t="s">
        <v>1292</v>
      </c>
      <c r="G227" s="1029" t="s">
        <v>1373</v>
      </c>
      <c r="H227" s="1016" t="s">
        <v>465</v>
      </c>
      <c r="U227" s="954"/>
      <c r="V227" s="954"/>
      <c r="W227" s="954"/>
      <c r="X227" s="751"/>
    </row>
    <row r="228">
      <c r="A228" s="1029" t="s">
        <v>1379</v>
      </c>
      <c r="B228" s="819"/>
      <c r="C228" s="1038">
        <v>2.0</v>
      </c>
      <c r="D228" s="1038">
        <v>2.0</v>
      </c>
      <c r="E228" s="1033">
        <v>-0.1</v>
      </c>
      <c r="F228" s="1016" t="s">
        <v>1292</v>
      </c>
      <c r="G228" s="1016" t="s">
        <v>1380</v>
      </c>
      <c r="H228" s="1016" t="s">
        <v>465</v>
      </c>
      <c r="I228" s="436">
        <v>-1.0</v>
      </c>
      <c r="U228" s="954"/>
      <c r="V228" s="954"/>
      <c r="W228" s="954"/>
      <c r="X228" s="751"/>
    </row>
    <row r="229">
      <c r="A229" s="1029" t="s">
        <v>1381</v>
      </c>
      <c r="B229" s="1029">
        <v>1.0</v>
      </c>
      <c r="C229" s="1029">
        <v>2.0</v>
      </c>
      <c r="D229" s="1029">
        <v>1.0</v>
      </c>
      <c r="E229" s="1070">
        <v>-0.1</v>
      </c>
      <c r="F229" s="1016" t="s">
        <v>1292</v>
      </c>
      <c r="G229" s="1016" t="s">
        <v>1380</v>
      </c>
      <c r="H229" s="814"/>
      <c r="I229" s="436">
        <v>0.0</v>
      </c>
      <c r="U229" s="954"/>
      <c r="V229" s="954"/>
      <c r="W229" s="954"/>
      <c r="X229" s="751"/>
    </row>
    <row r="230">
      <c r="A230" s="1029"/>
      <c r="B230" s="1029"/>
      <c r="C230" s="1029"/>
      <c r="D230" s="1029"/>
      <c r="E230" s="1070"/>
      <c r="F230" s="1016"/>
      <c r="G230" s="1016"/>
      <c r="H230" s="814"/>
      <c r="I230" s="436"/>
      <c r="U230" s="954"/>
      <c r="V230" s="954"/>
      <c r="W230" s="954"/>
      <c r="X230" s="751"/>
    </row>
    <row r="231">
      <c r="A231" s="436" t="s">
        <v>1382</v>
      </c>
      <c r="F231" s="1016" t="s">
        <v>1292</v>
      </c>
      <c r="H231" s="1016" t="s">
        <v>465</v>
      </c>
      <c r="U231" s="954"/>
      <c r="V231" s="954"/>
      <c r="W231" s="954"/>
      <c r="X231" s="751"/>
    </row>
    <row r="232">
      <c r="A232" s="436" t="s">
        <v>1306</v>
      </c>
      <c r="F232" s="1016" t="s">
        <v>683</v>
      </c>
      <c r="H232" s="1016" t="s">
        <v>465</v>
      </c>
      <c r="U232" s="954"/>
      <c r="V232" s="954"/>
      <c r="W232" s="954"/>
      <c r="X232" s="751"/>
    </row>
    <row r="233">
      <c r="U233" s="954"/>
      <c r="V233" s="954"/>
      <c r="W233" s="954"/>
      <c r="X233" s="751"/>
    </row>
    <row r="234">
      <c r="A234" s="1029"/>
      <c r="B234" s="819"/>
      <c r="C234" s="819"/>
      <c r="D234" s="819"/>
      <c r="E234" s="1028"/>
      <c r="F234" s="1016"/>
      <c r="G234" s="1029"/>
      <c r="H234" s="1016"/>
      <c r="U234" s="954"/>
      <c r="V234" s="954"/>
      <c r="W234" s="954"/>
      <c r="X234" s="751"/>
    </row>
    <row r="235">
      <c r="A235" s="1049" t="s">
        <v>1383</v>
      </c>
      <c r="B235" s="1029"/>
      <c r="C235" s="1029"/>
      <c r="D235" s="1029"/>
      <c r="E235" s="1029"/>
      <c r="F235" s="1029"/>
      <c r="G235" s="1029"/>
      <c r="H235" s="1029"/>
      <c r="I235" s="1029"/>
      <c r="J235" s="1029"/>
      <c r="K235" s="1029"/>
      <c r="L235" s="1029"/>
      <c r="M235" s="1029"/>
      <c r="N235" s="1029"/>
      <c r="O235" s="1029"/>
      <c r="P235" s="1029"/>
      <c r="Q235" s="1029"/>
      <c r="R235" s="1029"/>
      <c r="S235" s="1029"/>
      <c r="T235" s="1029"/>
      <c r="U235" s="1029"/>
      <c r="V235" s="954"/>
      <c r="W235" s="954"/>
      <c r="X235" s="751"/>
    </row>
    <row r="236">
      <c r="A236" s="1029"/>
      <c r="B236" s="1029" t="s">
        <v>856</v>
      </c>
      <c r="C236" s="436" t="s">
        <v>132</v>
      </c>
      <c r="D236" s="436" t="s">
        <v>808</v>
      </c>
      <c r="E236" s="436" t="s">
        <v>1384</v>
      </c>
      <c r="F236" s="436" t="s">
        <v>169</v>
      </c>
      <c r="G236" s="436" t="s">
        <v>184</v>
      </c>
      <c r="H236" s="436" t="s">
        <v>173</v>
      </c>
      <c r="I236" s="1029" t="s">
        <v>1385</v>
      </c>
      <c r="J236" s="1029" t="s">
        <v>1386</v>
      </c>
      <c r="K236" s="1029" t="s">
        <v>1387</v>
      </c>
      <c r="L236" s="1016" t="s">
        <v>663</v>
      </c>
      <c r="M236" s="1016" t="s">
        <v>1388</v>
      </c>
      <c r="N236" s="1016" t="s">
        <v>995</v>
      </c>
      <c r="O236" s="436" t="s">
        <v>1389</v>
      </c>
      <c r="P236" s="436" t="s">
        <v>12</v>
      </c>
      <c r="Q236" s="436" t="s">
        <v>1125</v>
      </c>
      <c r="R236" s="1073" t="s">
        <v>1390</v>
      </c>
      <c r="S236" s="1074" t="s">
        <v>1391</v>
      </c>
      <c r="T236" s="1076" t="s">
        <v>1392</v>
      </c>
      <c r="U236" s="436" t="s">
        <v>12</v>
      </c>
    </row>
    <row r="237">
      <c r="A237" s="1029" t="s">
        <v>1393</v>
      </c>
      <c r="B237" s="1077"/>
      <c r="C237" s="1077"/>
      <c r="D237" s="1077"/>
      <c r="E237" s="1077"/>
      <c r="F237" s="1078"/>
      <c r="G237" s="1078"/>
      <c r="H237" s="1078"/>
      <c r="I237" s="1079"/>
      <c r="J237" s="1079"/>
      <c r="K237" s="1079"/>
      <c r="L237" s="1079"/>
      <c r="M237" s="1079"/>
      <c r="N237" s="1079"/>
      <c r="O237" s="1079"/>
      <c r="P237" s="1079"/>
      <c r="R237" s="1080"/>
      <c r="S237" s="1081"/>
      <c r="T237" s="1082"/>
      <c r="U237" s="1083"/>
    </row>
    <row r="238">
      <c r="A238" s="1029" t="s">
        <v>823</v>
      </c>
      <c r="B238" s="1084">
        <f>-Dexterity-2</f>
        <v>-5</v>
      </c>
      <c r="C238" s="1077"/>
      <c r="D238" s="1077"/>
      <c r="E238" s="1077"/>
      <c r="F238" s="1077"/>
      <c r="G238" s="1078"/>
      <c r="H238" s="1078"/>
      <c r="I238" s="1079"/>
      <c r="J238" s="1079"/>
      <c r="K238" s="1079"/>
      <c r="L238" s="1079"/>
      <c r="M238" s="1079"/>
      <c r="N238" s="1079"/>
      <c r="O238" s="1079"/>
      <c r="P238" s="1079"/>
      <c r="R238" s="1081"/>
      <c r="S238" s="1081"/>
      <c r="T238" s="1082"/>
      <c r="U238" s="436" t="s">
        <v>1394</v>
      </c>
    </row>
    <row r="239">
      <c r="A239" s="1029"/>
      <c r="B239" s="1084"/>
      <c r="C239" s="1077"/>
      <c r="D239" s="1077"/>
      <c r="E239" s="1077"/>
      <c r="F239" s="1077"/>
      <c r="G239" s="1078"/>
      <c r="H239" s="1078"/>
      <c r="I239" s="1079"/>
      <c r="J239" s="1079"/>
      <c r="K239" s="1079"/>
      <c r="L239" s="1079"/>
      <c r="M239" s="1079"/>
      <c r="N239" s="1079"/>
      <c r="O239" s="1079"/>
      <c r="P239" s="1079"/>
      <c r="R239" s="1081"/>
      <c r="S239" s="1081"/>
      <c r="T239" s="1082"/>
      <c r="U239" s="436"/>
    </row>
    <row r="240">
      <c r="A240" s="1029" t="s">
        <v>1396</v>
      </c>
      <c r="B240" s="1077"/>
      <c r="C240" s="1077"/>
      <c r="D240" s="1077"/>
      <c r="E240" s="1077"/>
      <c r="F240" s="1078"/>
      <c r="G240" s="1078"/>
      <c r="H240" s="1078"/>
      <c r="I240" s="1079"/>
      <c r="J240" s="1079"/>
      <c r="K240" s="1079"/>
      <c r="L240" s="1079"/>
      <c r="M240" s="1079"/>
      <c r="N240" s="1079"/>
      <c r="O240" s="1079"/>
      <c r="P240" s="1079"/>
      <c r="R240" s="1081"/>
      <c r="S240" s="1081"/>
      <c r="T240" s="1082"/>
      <c r="U240" s="436"/>
    </row>
    <row r="241">
      <c r="A241" s="1029" t="s">
        <v>1397</v>
      </c>
      <c r="B241" s="1084">
        <f>-Dexterity-2</f>
        <v>-5</v>
      </c>
      <c r="C241" s="1077"/>
      <c r="D241" s="1077"/>
      <c r="E241" s="1077"/>
      <c r="F241" s="1078"/>
      <c r="G241" s="1078"/>
      <c r="H241" s="1078"/>
      <c r="I241" s="1079"/>
      <c r="J241" s="1079"/>
      <c r="K241" s="1079"/>
      <c r="L241" s="1079"/>
      <c r="M241" s="1079"/>
      <c r="N241" s="1079"/>
      <c r="O241" s="1079"/>
      <c r="P241" s="1079"/>
      <c r="R241" s="1081"/>
      <c r="S241" s="1081"/>
      <c r="T241" s="1082"/>
      <c r="U241" s="436"/>
    </row>
    <row r="242">
      <c r="A242" s="1029" t="s">
        <v>1398</v>
      </c>
      <c r="B242" s="1077"/>
      <c r="C242" s="1077"/>
      <c r="D242" s="1077"/>
      <c r="E242" s="1077"/>
      <c r="F242" s="1078"/>
      <c r="G242" s="1078"/>
      <c r="H242" s="1078"/>
      <c r="I242" s="1079"/>
      <c r="J242" s="1079"/>
      <c r="K242" s="1079"/>
      <c r="L242" s="1079"/>
      <c r="M242" s="1079"/>
      <c r="N242" s="1079"/>
      <c r="O242" s="1079"/>
      <c r="P242" s="1079"/>
      <c r="R242" s="1081"/>
      <c r="S242" s="1081"/>
      <c r="T242" s="1082"/>
      <c r="U242" s="436"/>
    </row>
    <row r="243">
      <c r="A243" s="1029" t="s">
        <v>816</v>
      </c>
      <c r="B243" s="1077"/>
      <c r="C243" s="1077"/>
      <c r="D243" s="1077"/>
      <c r="E243" s="1077"/>
      <c r="F243" s="1078"/>
      <c r="G243" s="1078"/>
      <c r="H243" s="1078"/>
      <c r="I243" s="1079"/>
      <c r="J243" s="1079"/>
      <c r="K243" s="1079"/>
      <c r="L243" s="1021">
        <v>-1.0</v>
      </c>
      <c r="M243" s="1079"/>
      <c r="N243" s="1021">
        <v>-1.0</v>
      </c>
      <c r="O243" s="1079"/>
      <c r="P243" s="1079"/>
      <c r="R243" s="1081"/>
      <c r="S243" s="1081"/>
      <c r="T243" s="1082"/>
      <c r="U243" s="436" t="s">
        <v>1399</v>
      </c>
    </row>
    <row r="244">
      <c r="A244" s="1029" t="s">
        <v>1400</v>
      </c>
      <c r="B244" s="1077"/>
      <c r="C244" s="1077"/>
      <c r="D244" s="1077"/>
      <c r="E244" s="1077"/>
      <c r="F244" s="1078"/>
      <c r="G244" s="1078"/>
      <c r="H244" s="1078"/>
      <c r="I244" s="1079"/>
      <c r="J244" s="1079"/>
      <c r="K244" s="1079"/>
      <c r="L244" s="1079"/>
      <c r="M244" s="1079"/>
      <c r="N244" s="1079"/>
      <c r="O244" s="1079"/>
      <c r="P244" s="1079"/>
      <c r="R244" s="1081"/>
      <c r="S244" s="1081"/>
      <c r="T244" s="1082"/>
      <c r="U244" s="436" t="s">
        <v>1401</v>
      </c>
    </row>
    <row r="245">
      <c r="A245" s="1029" t="s">
        <v>815</v>
      </c>
      <c r="B245" s="1077"/>
      <c r="C245" s="1077"/>
      <c r="D245" s="1084">
        <v>-4.0</v>
      </c>
      <c r="E245" s="1077"/>
      <c r="F245" s="1078"/>
      <c r="G245" s="1078"/>
      <c r="H245" s="1078"/>
      <c r="I245" s="1079"/>
      <c r="J245" s="1079"/>
      <c r="K245" s="1079"/>
      <c r="L245" s="1021">
        <v>-2.0</v>
      </c>
      <c r="M245" s="1079"/>
      <c r="N245" s="1021">
        <v>-2.0</v>
      </c>
      <c r="O245" s="1079"/>
      <c r="P245" s="1079"/>
      <c r="R245" s="1085" t="s">
        <v>1402</v>
      </c>
      <c r="S245" s="1086">
        <v>0.0</v>
      </c>
      <c r="T245" s="1087">
        <v>0.0</v>
      </c>
      <c r="U245" s="436"/>
    </row>
    <row r="246">
      <c r="A246" s="1029" t="s">
        <v>1403</v>
      </c>
      <c r="B246" s="1077"/>
      <c r="C246" s="1084">
        <v>-6.0</v>
      </c>
      <c r="D246" s="1084">
        <v>-6.0</v>
      </c>
      <c r="E246" s="1077"/>
      <c r="F246" s="1078"/>
      <c r="G246" s="1078"/>
      <c r="H246" s="1078"/>
      <c r="I246" s="1079"/>
      <c r="J246" s="1079"/>
      <c r="K246" s="1079"/>
      <c r="L246" s="1079"/>
      <c r="M246" s="1079"/>
      <c r="N246" s="1079"/>
      <c r="O246" s="1079"/>
      <c r="P246" s="1079"/>
      <c r="R246" s="1085" t="s">
        <v>1402</v>
      </c>
      <c r="S246" s="1086">
        <v>0.0</v>
      </c>
      <c r="T246" s="1087">
        <v>0.0</v>
      </c>
      <c r="U246" s="436"/>
    </row>
    <row r="247">
      <c r="A247" s="1029" t="s">
        <v>1404</v>
      </c>
      <c r="B247" s="1077"/>
      <c r="C247" s="1077"/>
      <c r="D247" s="1077"/>
      <c r="E247" s="1077"/>
      <c r="F247" s="1078"/>
      <c r="G247" s="1078"/>
      <c r="H247" s="1078"/>
      <c r="I247" s="1079"/>
      <c r="J247" s="1079"/>
      <c r="K247" s="1079"/>
      <c r="L247" s="1079"/>
      <c r="M247" s="1079"/>
      <c r="N247" s="1079"/>
      <c r="O247" s="1079"/>
      <c r="P247" s="1079"/>
      <c r="R247" s="1081"/>
      <c r="S247" s="1081"/>
      <c r="T247" s="1082"/>
      <c r="U247" s="436"/>
    </row>
    <row r="248">
      <c r="A248" s="1029" t="s">
        <v>1405</v>
      </c>
      <c r="B248" s="1077"/>
      <c r="C248" s="1084">
        <v>-2.0</v>
      </c>
      <c r="D248" s="1084">
        <v>-2.0</v>
      </c>
      <c r="E248" s="1077"/>
      <c r="F248" s="1078"/>
      <c r="G248" s="1078"/>
      <c r="H248" s="1078"/>
      <c r="I248" s="1079"/>
      <c r="J248" s="1079"/>
      <c r="K248" s="1079"/>
      <c r="L248" s="1079"/>
      <c r="M248" s="1079"/>
      <c r="N248" s="1079"/>
      <c r="O248" s="1079"/>
      <c r="P248" s="1079"/>
      <c r="R248" s="1086"/>
      <c r="S248" s="1086">
        <v>0.0</v>
      </c>
      <c r="T248" s="1087">
        <v>0.0</v>
      </c>
      <c r="U248" s="436"/>
    </row>
    <row r="249">
      <c r="A249" s="1029" t="s">
        <v>1406</v>
      </c>
      <c r="B249" s="1077"/>
      <c r="C249" s="1077"/>
      <c r="D249" s="1077"/>
      <c r="E249" s="1077"/>
      <c r="F249" s="1078"/>
      <c r="G249" s="1078"/>
      <c r="H249" s="1078"/>
      <c r="I249" s="1021">
        <v>-2.0</v>
      </c>
      <c r="J249" s="1021">
        <v>-2.0</v>
      </c>
      <c r="K249" s="1021">
        <v>-2.0</v>
      </c>
      <c r="L249" s="1021">
        <v>-2.0</v>
      </c>
      <c r="M249" s="1079"/>
      <c r="N249" s="1021">
        <v>-2.0</v>
      </c>
      <c r="O249" s="1079"/>
      <c r="P249" s="1021">
        <v>-2.0</v>
      </c>
      <c r="R249" s="1081"/>
      <c r="S249" s="1081"/>
      <c r="T249" s="1082"/>
      <c r="U249" s="436"/>
    </row>
    <row r="250">
      <c r="A250" s="1029" t="s">
        <v>1407</v>
      </c>
      <c r="B250" s="1077"/>
      <c r="C250" s="1077"/>
      <c r="D250" s="1084">
        <v>-4.0</v>
      </c>
      <c r="E250" s="1077"/>
      <c r="F250" s="1078"/>
      <c r="G250" s="1078"/>
      <c r="H250" s="1078"/>
      <c r="I250" s="1079"/>
      <c r="J250" s="1079"/>
      <c r="K250" s="1079"/>
      <c r="L250" s="1079"/>
      <c r="M250" s="1079"/>
      <c r="N250" s="1079"/>
      <c r="O250" s="1079"/>
      <c r="P250" s="1079"/>
      <c r="R250" s="1086"/>
      <c r="S250" s="1086">
        <v>0.0</v>
      </c>
      <c r="T250" s="1087">
        <v>0.0</v>
      </c>
      <c r="U250" s="436"/>
    </row>
    <row r="251">
      <c r="A251" s="436" t="s">
        <v>1408</v>
      </c>
      <c r="B251" s="1021"/>
      <c r="C251" s="1021"/>
      <c r="D251" s="1021"/>
      <c r="E251" s="1021"/>
      <c r="F251" s="1079"/>
      <c r="G251" s="1079"/>
      <c r="H251" s="1079"/>
      <c r="I251" s="1079"/>
      <c r="J251" s="1079"/>
      <c r="K251" s="1079"/>
      <c r="L251" s="1021">
        <v>2.0</v>
      </c>
      <c r="M251" s="1079"/>
      <c r="N251" s="1021">
        <v>2.0</v>
      </c>
      <c r="O251" s="1079"/>
      <c r="P251" s="1079"/>
      <c r="R251" s="1081"/>
      <c r="S251" s="1081"/>
      <c r="T251" s="1082"/>
      <c r="U251" s="436"/>
    </row>
    <row r="252">
      <c r="A252" s="436" t="s">
        <v>1409</v>
      </c>
      <c r="B252" s="1021"/>
      <c r="C252" s="1021"/>
      <c r="D252" s="1021"/>
      <c r="E252" s="1021"/>
      <c r="F252" s="1079"/>
      <c r="G252" s="1079"/>
      <c r="H252" s="1079"/>
      <c r="I252" s="1079"/>
      <c r="J252" s="1079"/>
      <c r="K252" s="1079"/>
      <c r="L252" s="1079"/>
      <c r="M252" s="1079"/>
      <c r="N252" s="1079"/>
      <c r="O252" s="1079"/>
      <c r="P252" s="1079"/>
      <c r="R252" s="1086"/>
      <c r="S252" s="1086">
        <v>0.0</v>
      </c>
      <c r="T252" s="1087">
        <v>0.0</v>
      </c>
      <c r="U252" s="436"/>
    </row>
    <row r="253">
      <c r="A253" s="436" t="s">
        <v>1410</v>
      </c>
      <c r="B253" s="1021"/>
      <c r="C253" s="1021"/>
      <c r="D253" s="1021"/>
      <c r="E253" s="1021"/>
      <c r="F253" s="1079"/>
      <c r="G253" s="1079"/>
      <c r="H253" s="1079"/>
      <c r="I253" s="1021">
        <v>-2.0</v>
      </c>
      <c r="J253" s="1021">
        <v>-2.0</v>
      </c>
      <c r="K253" s="1021">
        <v>-2.0</v>
      </c>
      <c r="L253" s="1079"/>
      <c r="M253" s="1079"/>
      <c r="N253" s="1079"/>
      <c r="O253" s="1079"/>
      <c r="P253" s="1021">
        <v>-2.0</v>
      </c>
      <c r="R253" s="1081"/>
      <c r="S253" s="1081"/>
      <c r="T253" s="1082"/>
      <c r="U253" s="436"/>
    </row>
    <row r="254">
      <c r="A254" s="436" t="s">
        <v>1411</v>
      </c>
      <c r="B254" s="1021"/>
      <c r="C254" s="1021">
        <v>-999.0</v>
      </c>
      <c r="D254" s="1021">
        <v>-999.0</v>
      </c>
      <c r="E254" s="1021"/>
      <c r="F254" s="1079"/>
      <c r="G254" s="1079"/>
      <c r="H254" s="1079"/>
      <c r="I254" s="1079"/>
      <c r="J254" s="1079"/>
      <c r="K254" s="1079"/>
      <c r="L254" s="1079"/>
      <c r="M254" s="1079"/>
      <c r="N254" s="1079"/>
      <c r="O254" s="1079"/>
      <c r="P254" s="1079"/>
      <c r="R254" s="1081"/>
      <c r="S254" s="1081"/>
      <c r="T254" s="1082"/>
      <c r="U254" s="436"/>
    </row>
    <row r="255">
      <c r="A255" s="436" t="s">
        <v>1412</v>
      </c>
      <c r="B255" s="1021">
        <f>-Dexterity-4</f>
        <v>-7</v>
      </c>
      <c r="C255" s="1021"/>
      <c r="D255" s="1021"/>
      <c r="E255" s="1021"/>
      <c r="F255" s="1079"/>
      <c r="G255" s="1079"/>
      <c r="H255" s="1079"/>
      <c r="I255" s="1079"/>
      <c r="J255" s="1079"/>
      <c r="K255" s="1079"/>
      <c r="L255" s="1079"/>
      <c r="M255" s="1079"/>
      <c r="N255" s="1079"/>
      <c r="O255" s="1079"/>
      <c r="P255" s="1079"/>
      <c r="R255" s="1081"/>
      <c r="S255" s="1081"/>
      <c r="T255" s="1082"/>
      <c r="U255" s="436"/>
    </row>
    <row r="256">
      <c r="A256" s="436" t="s">
        <v>1413</v>
      </c>
      <c r="B256" s="1021"/>
      <c r="C256" s="1021"/>
      <c r="D256" s="1021"/>
      <c r="E256" s="1021"/>
      <c r="F256" s="1079"/>
      <c r="G256" s="1079"/>
      <c r="H256" s="1079"/>
      <c r="I256" s="1079"/>
      <c r="J256" s="1079"/>
      <c r="K256" s="1079"/>
      <c r="L256" s="1021">
        <v>-4.0</v>
      </c>
      <c r="M256" s="1079"/>
      <c r="N256" s="1079"/>
      <c r="O256" s="1079"/>
      <c r="P256" s="1079"/>
      <c r="R256" s="1081"/>
      <c r="S256" s="1081"/>
      <c r="T256" s="1082"/>
      <c r="U256" s="436"/>
    </row>
    <row r="257">
      <c r="A257" s="436" t="s">
        <v>1414</v>
      </c>
      <c r="B257" s="1021"/>
      <c r="C257" s="1021"/>
      <c r="D257" s="1021"/>
      <c r="E257" s="1021"/>
      <c r="F257" s="1079"/>
      <c r="G257" s="1079"/>
      <c r="H257" s="1079"/>
      <c r="I257" s="1021">
        <v>-2.0</v>
      </c>
      <c r="J257" s="1021">
        <v>-2.0</v>
      </c>
      <c r="K257" s="1021">
        <v>-2.0</v>
      </c>
      <c r="L257" s="1021">
        <v>-2.0</v>
      </c>
      <c r="M257" s="1079"/>
      <c r="N257" s="1021">
        <v>-2.0</v>
      </c>
      <c r="O257" s="1079"/>
      <c r="P257" s="1021">
        <v>-2.0</v>
      </c>
      <c r="R257" s="1081"/>
      <c r="S257" s="1081"/>
      <c r="T257" s="1082"/>
    </row>
    <row r="258">
      <c r="A258" s="436" t="s">
        <v>1415</v>
      </c>
      <c r="B258" s="1021"/>
      <c r="C258" s="1021"/>
      <c r="D258" s="1021"/>
      <c r="E258" s="1021"/>
      <c r="F258" s="1079"/>
      <c r="G258" s="1079"/>
      <c r="H258" s="1079"/>
      <c r="I258" s="1021">
        <v>-2.0</v>
      </c>
      <c r="J258" s="1021">
        <v>-2.0</v>
      </c>
      <c r="K258" s="1021">
        <v>-2.0</v>
      </c>
      <c r="L258" s="1021">
        <v>-2.0</v>
      </c>
      <c r="M258" s="1021">
        <v>-2.0</v>
      </c>
      <c r="N258" s="1021">
        <v>-2.0</v>
      </c>
      <c r="O258" s="1021">
        <v>-2.0</v>
      </c>
      <c r="P258" s="1021">
        <v>-2.0</v>
      </c>
      <c r="R258" s="1081"/>
      <c r="S258" s="1081"/>
      <c r="T258" s="1082"/>
    </row>
    <row r="259">
      <c r="A259" s="436" t="s">
        <v>1416</v>
      </c>
      <c r="B259" s="1021"/>
      <c r="C259" s="1021"/>
      <c r="D259" s="1021"/>
      <c r="E259" s="1021"/>
      <c r="F259" s="1079"/>
      <c r="G259" s="1079"/>
      <c r="H259" s="1079"/>
      <c r="I259" s="1079"/>
      <c r="J259" s="1079"/>
      <c r="K259" s="1079"/>
      <c r="L259" s="1079"/>
      <c r="M259" s="1079"/>
      <c r="N259" s="1079"/>
      <c r="O259" s="1079"/>
      <c r="P259" s="1079"/>
      <c r="R259" s="1086"/>
      <c r="S259" s="1086">
        <v>0.5</v>
      </c>
      <c r="T259" s="1087">
        <v>0.0</v>
      </c>
      <c r="U259" s="436"/>
    </row>
    <row r="260">
      <c r="A260" s="436" t="s">
        <v>1417</v>
      </c>
      <c r="B260" s="1021">
        <v>-2.0</v>
      </c>
      <c r="C260" s="1021"/>
      <c r="D260" s="1021"/>
      <c r="E260" s="1021"/>
      <c r="F260" s="1079"/>
      <c r="G260" s="1079"/>
      <c r="H260" s="1079"/>
      <c r="I260" s="1079"/>
      <c r="J260" s="1079"/>
      <c r="K260" s="1079"/>
      <c r="L260" s="1079"/>
      <c r="M260" s="1079"/>
      <c r="N260" s="1079"/>
      <c r="O260" s="1079"/>
      <c r="P260" s="1079"/>
      <c r="R260" s="1081"/>
      <c r="S260" s="1081"/>
      <c r="T260" s="1082"/>
      <c r="U260" s="436"/>
    </row>
    <row r="261">
      <c r="A261" s="436" t="s">
        <v>1418</v>
      </c>
      <c r="B261" s="1021"/>
      <c r="C261" s="1021"/>
      <c r="D261" s="1021"/>
      <c r="E261" s="1021"/>
      <c r="F261" s="1079"/>
      <c r="G261" s="1079"/>
      <c r="H261" s="1079"/>
      <c r="I261" s="1079"/>
      <c r="J261" s="1079"/>
      <c r="K261" s="1079"/>
      <c r="L261" s="1079"/>
      <c r="M261" s="1079"/>
      <c r="N261" s="1079"/>
      <c r="O261" s="1079"/>
      <c r="P261" s="1079"/>
      <c r="R261" s="1081"/>
      <c r="S261" s="1081"/>
      <c r="T261" s="1082"/>
      <c r="U261" s="436"/>
    </row>
    <row r="262">
      <c r="A262" s="436" t="s">
        <v>1419</v>
      </c>
      <c r="B262" s="1021"/>
      <c r="C262" s="1021"/>
      <c r="D262" s="1021"/>
      <c r="E262" s="1021"/>
      <c r="F262" s="1079"/>
      <c r="G262" s="1079"/>
      <c r="H262" s="1079"/>
      <c r="I262" s="1079"/>
      <c r="J262" s="1079"/>
      <c r="K262" s="1079"/>
      <c r="L262" s="1079"/>
      <c r="M262" s="1079"/>
      <c r="N262" s="1079"/>
      <c r="O262" s="1079"/>
      <c r="P262" s="1079"/>
      <c r="R262" s="1081"/>
      <c r="S262" s="1081"/>
      <c r="T262" s="1082"/>
      <c r="U262" s="436"/>
    </row>
    <row r="263">
      <c r="A263" s="436" t="s">
        <v>1420</v>
      </c>
      <c r="B263" s="1021"/>
      <c r="C263" s="1021"/>
      <c r="D263" s="1021"/>
      <c r="E263" s="1021"/>
      <c r="F263" s="1079"/>
      <c r="G263" s="1079"/>
      <c r="H263" s="1079"/>
      <c r="I263" s="1079"/>
      <c r="J263" s="1079"/>
      <c r="K263" s="1079"/>
      <c r="L263" s="1079"/>
      <c r="M263" s="1079"/>
      <c r="N263" s="1079"/>
      <c r="O263" s="1079"/>
      <c r="P263" s="1079"/>
      <c r="R263" s="1081"/>
      <c r="S263" s="1081"/>
      <c r="T263" s="1082"/>
      <c r="U263" s="436"/>
    </row>
    <row r="264">
      <c r="A264" s="436" t="s">
        <v>1421</v>
      </c>
      <c r="B264" s="1021"/>
      <c r="C264" s="1021"/>
      <c r="D264" s="1021"/>
      <c r="E264" s="1021"/>
      <c r="F264" s="1079"/>
      <c r="G264" s="1079"/>
      <c r="H264" s="1079"/>
      <c r="I264" s="1079"/>
      <c r="J264" s="1079"/>
      <c r="K264" s="1079"/>
      <c r="L264" s="1079"/>
      <c r="M264" s="1079"/>
      <c r="N264" s="1079"/>
      <c r="O264" s="1079"/>
      <c r="P264" s="1079"/>
      <c r="R264" s="1081"/>
      <c r="S264" s="1081">
        <v>0.0</v>
      </c>
      <c r="T264" s="1082">
        <v>0.0</v>
      </c>
      <c r="U264" s="436"/>
    </row>
    <row r="265">
      <c r="A265" s="1023" t="s">
        <v>1422</v>
      </c>
      <c r="B265" s="1023">
        <f>IFERROR(__xludf.DUMMYFUNCTION("IF(value(REGEXEXTRACT('Main Sheet'!$S$9,""\d+""))/value(regexextract(regexextract('Main Sheet'!$S$9,""/ \d+""),""\d+""))&lt;0.25,-3,
IF(value(REGEXEXTRACT('Main Sheet'!$S$9,""\d+""))/value(regexextract(regexextract('Main Sheet'!$S$9,""/ \d+""),""\d+""))&lt;0.5,"&amp;"-2,
IF(value(REGEXEXTRACT('Main Sheet'!$S$9,""\d+""))/value(regexextract(regexextract('Main Sheet'!$S$9,""/ \d+""),""\d+""))&lt;0.75,-1,0)))"),0.0)</f>
        <v>0</v>
      </c>
      <c r="C265" s="1023"/>
      <c r="D265" s="1023"/>
      <c r="E265" s="1023"/>
      <c r="F265" s="1092"/>
      <c r="G265" s="1092"/>
      <c r="H265" s="1092"/>
      <c r="I265" s="1023">
        <f>IFERROR(__xludf.DUMMYFUNCTION("IF(value(REGEXEXTRACT('Main Sheet'!$S$9,""\d+""))/value(regexextract(regexextract('Main Sheet'!$S$9,""/ \d+""),""\d+""))&lt;0.25,-3,
IF(value(REGEXEXTRACT('Main Sheet'!$S$9,""\d+""))/value(regexextract(regexextract('Main Sheet'!$S$9,""/ \d+""),""\d+""))&lt;0.5,"&amp;"-2,
IF(value(REGEXEXTRACT('Main Sheet'!$S$9,""\d+""))/value(regexextract(regexextract('Main Sheet'!$S$9,""/ \d+""),""\d+""))&lt;0.75,-1,0)))"),0.0)</f>
        <v>0</v>
      </c>
      <c r="J265" s="1023">
        <f>IFERROR(__xludf.DUMMYFUNCTION("IF(value(REGEXEXTRACT('Main Sheet'!$S$9,""\d+""))/value(regexextract(regexextract('Main Sheet'!$S$9,""/ \d+""),""\d+""))&lt;0.25,-3,
IF(value(REGEXEXTRACT('Main Sheet'!$S$9,""\d+""))/value(regexextract(regexextract('Main Sheet'!$S$9,""/ \d+""),""\d+""))&lt;0.5,"&amp;"-2,
IF(value(REGEXEXTRACT('Main Sheet'!$S$9,""\d+""))/value(regexextract(regexextract('Main Sheet'!$S$9,""/ \d+""),""\d+""))&lt;0.75,-1,0)))"),0.0)</f>
        <v>0</v>
      </c>
      <c r="K265" s="1023">
        <f>IFERROR(__xludf.DUMMYFUNCTION("IF(value(REGEXEXTRACT('Main Sheet'!$S$9,""\d+""))/value(regexextract(regexextract('Main Sheet'!$S$9,""/ \d+""),""\d+""))&lt;0.25,-3,
IF(value(REGEXEXTRACT('Main Sheet'!$S$9,""\d+""))/value(regexextract(regexextract('Main Sheet'!$S$9,""/ \d+""),""\d+""))&lt;0.5,"&amp;"-2,
IF(value(REGEXEXTRACT('Main Sheet'!$S$9,""\d+""))/value(regexextract(regexextract('Main Sheet'!$S$9,""/ \d+""),""\d+""))&lt;0.75,-1,0)))"),0.0)</f>
        <v>0</v>
      </c>
      <c r="L265" s="1023">
        <f>IFERROR(__xludf.DUMMYFUNCTION("IF(value(REGEXEXTRACT('Main Sheet'!$S$9,""\d+""))/value(regexextract(regexextract('Main Sheet'!$S$9,""/ \d+""),""\d+""))&lt;0.25,-3,
IF(value(REGEXEXTRACT('Main Sheet'!$S$9,""\d+""))/value(regexextract(regexextract('Main Sheet'!$S$9,""/ \d+""),""\d+""))&lt;0.5,"&amp;"-2,
IF(value(REGEXEXTRACT('Main Sheet'!$S$9,""\d+""))/value(regexextract(regexextract('Main Sheet'!$S$9,""/ \d+""),""\d+""))&lt;0.75,-1,0)))"),0.0)</f>
        <v>0</v>
      </c>
      <c r="M265" s="1092"/>
      <c r="N265" s="1023">
        <f>IFERROR(__xludf.DUMMYFUNCTION("IF(value(REGEXEXTRACT('Main Sheet'!$S$9,""\d+""))/value(regexextract(regexextract('Main Sheet'!$S$9,""/ \d+""),""\d+""))&lt;0.25,-3,
IF(value(REGEXEXTRACT('Main Sheet'!$S$9,""\d+""))/value(regexextract(regexextract('Main Sheet'!$S$9,""/ \d+""),""\d+""))&lt;0.5,"&amp;"-2,
IF(value(REGEXEXTRACT('Main Sheet'!$S$9,""\d+""))/value(regexextract(regexextract('Main Sheet'!$S$9,""/ \d+""),""\d+""))&lt;0.75,-1,0)))"),0.0)</f>
        <v>0</v>
      </c>
      <c r="O265" s="1092"/>
      <c r="P265" s="1023"/>
      <c r="Q265" s="1023">
        <f>IFERROR(__xludf.DUMMYFUNCTION("IF(value(REGEXEXTRACT('Main Sheet'!$S$9,""\d+""))/value(regexextract(regexextract('Main Sheet'!$S$9,""/ \d+""),""\d+""))&lt;0.25,-3,
IF(value(REGEXEXTRACT('Main Sheet'!$S$9,""\d+""))/value(regexextract(regexextract('Main Sheet'!$S$9,""/ \d+""),""\d+""))&lt;0.5,"&amp;"-2,
IF(value(REGEXEXTRACT('Main Sheet'!$S$9,""\d+""))/value(regexextract(regexextract('Main Sheet'!$S$9,""/ \d+""),""\d+""))&lt;0.75,-1,0)))"),0.0)</f>
        <v>0</v>
      </c>
      <c r="R265" s="1078"/>
      <c r="U265" s="1023"/>
      <c r="V265" s="1092"/>
      <c r="W265" s="1092"/>
      <c r="X265" s="1092"/>
      <c r="Y265" s="1092"/>
      <c r="Z265" s="1092"/>
      <c r="AA265" s="1092"/>
      <c r="AB265" s="1092"/>
      <c r="AC265" s="1092"/>
      <c r="AD265" s="1092"/>
      <c r="AE265" s="1092"/>
      <c r="AF265" s="1092"/>
      <c r="AG265" s="1092"/>
      <c r="AH265" s="1092"/>
    </row>
    <row r="266">
      <c r="A266" s="436" t="s">
        <v>824</v>
      </c>
      <c r="B266" s="1023"/>
      <c r="C266" s="436"/>
      <c r="D266" s="436"/>
      <c r="E266" s="1014"/>
      <c r="I266" s="1023" t="str">
        <f>IF(isnumber('Main Sheet'!$Y$39),'Main Sheet'!$Y$39*-1,)</f>
        <v/>
      </c>
      <c r="J266" s="1023" t="str">
        <f>IF(isnumber('Main Sheet'!$Y$39),'Main Sheet'!$Y$39*-1,)</f>
        <v/>
      </c>
      <c r="K266" s="1023" t="str">
        <f>IF(isnumber('Main Sheet'!$Y$39),'Main Sheet'!$Y$39*-1,)</f>
        <v/>
      </c>
      <c r="L266" s="1023" t="str">
        <f>IF(isnumber('Main Sheet'!$Y$39),'Main Sheet'!$Y$39*-1,)</f>
        <v/>
      </c>
      <c r="N266" s="1023" t="str">
        <f>IF(isnumber('Main Sheet'!$Y$39),'Main Sheet'!$Y$39*-1,)</f>
        <v/>
      </c>
      <c r="P266" s="1023" t="str">
        <f>IF(isnumber('Main Sheet'!$Y$39),'Main Sheet'!$Y$39*-1,)</f>
        <v/>
      </c>
      <c r="Q266" s="1023" t="str">
        <f>IF(isnumber('Main Sheet'!$Y$39),'Main Sheet'!$Y$39*-1,)</f>
        <v/>
      </c>
      <c r="R266" s="1081"/>
      <c r="U266" s="1095"/>
    </row>
    <row r="267">
      <c r="A267" s="436"/>
      <c r="B267" s="1095"/>
      <c r="C267" s="1095"/>
      <c r="D267" s="1095"/>
      <c r="E267" s="1095"/>
      <c r="F267" s="1096"/>
      <c r="G267" s="1096"/>
      <c r="H267" s="1096"/>
      <c r="I267" s="1095"/>
      <c r="J267" s="1095"/>
      <c r="K267" s="1095"/>
      <c r="L267" s="1095"/>
      <c r="M267" s="1096"/>
      <c r="N267" s="1095"/>
      <c r="O267" s="1096"/>
      <c r="P267" s="1095"/>
      <c r="R267" s="1081"/>
    </row>
    <row r="268">
      <c r="A268" s="436"/>
      <c r="B268" s="1095"/>
      <c r="C268" s="436"/>
      <c r="D268" s="436"/>
      <c r="E268" s="1014"/>
      <c r="I268" s="1095"/>
      <c r="J268" s="1095"/>
      <c r="K268" s="1095"/>
      <c r="L268" s="1095"/>
      <c r="N268" s="1095"/>
      <c r="P268" s="1095"/>
      <c r="R268" s="1081"/>
    </row>
    <row r="269">
      <c r="A269" s="436"/>
      <c r="B269" s="436"/>
      <c r="C269" s="436"/>
      <c r="D269" s="436"/>
      <c r="E269" s="1014"/>
      <c r="U269" s="954"/>
      <c r="V269" s="819"/>
      <c r="W269" s="819"/>
      <c r="X269" s="810"/>
    </row>
    <row r="270">
      <c r="A270" s="1049" t="s">
        <v>1424</v>
      </c>
      <c r="B270" s="436"/>
      <c r="C270" s="436"/>
      <c r="D270" s="436"/>
      <c r="E270" s="1014"/>
    </row>
    <row r="271">
      <c r="A271" s="1097" t="s">
        <v>1425</v>
      </c>
      <c r="B271" s="1097" t="s">
        <v>30</v>
      </c>
      <c r="C271" s="1097" t="s">
        <v>1426</v>
      </c>
      <c r="D271" s="1097" t="s">
        <v>1427</v>
      </c>
      <c r="E271" s="1097" t="s">
        <v>1428</v>
      </c>
    </row>
    <row r="272">
      <c r="A272" s="1098" t="s">
        <v>726</v>
      </c>
      <c r="B272" s="1098" t="s">
        <v>726</v>
      </c>
      <c r="C272" s="1099" t="s">
        <v>745</v>
      </c>
      <c r="D272" s="1098" t="s">
        <v>726</v>
      </c>
      <c r="E272" s="1098" t="s">
        <v>726</v>
      </c>
    </row>
    <row r="273">
      <c r="A273" s="1100" t="s">
        <v>729</v>
      </c>
      <c r="B273" s="1100" t="s">
        <v>231</v>
      </c>
      <c r="C273" s="1099" t="s">
        <v>746</v>
      </c>
      <c r="D273" s="1100" t="s">
        <v>729</v>
      </c>
      <c r="E273" s="436" t="s">
        <v>757</v>
      </c>
    </row>
    <row r="274">
      <c r="A274" s="1100" t="s">
        <v>231</v>
      </c>
      <c r="B274" s="1100" t="s">
        <v>261</v>
      </c>
      <c r="C274" s="1099" t="s">
        <v>747</v>
      </c>
      <c r="D274" s="436" t="s">
        <v>757</v>
      </c>
      <c r="E274" s="1100" t="s">
        <v>231</v>
      </c>
    </row>
    <row r="275">
      <c r="A275" s="1100" t="s">
        <v>261</v>
      </c>
      <c r="B275" s="1100" t="s">
        <v>299</v>
      </c>
      <c r="C275" s="1099" t="s">
        <v>748</v>
      </c>
      <c r="D275" s="1100" t="s">
        <v>231</v>
      </c>
      <c r="E275" s="1100" t="s">
        <v>261</v>
      </c>
    </row>
    <row r="276">
      <c r="A276" s="1100" t="s">
        <v>299</v>
      </c>
      <c r="B276" s="1098" t="s">
        <v>336</v>
      </c>
      <c r="C276" s="1099" t="s">
        <v>749</v>
      </c>
      <c r="D276" s="1100" t="s">
        <v>261</v>
      </c>
      <c r="E276" s="1100" t="s">
        <v>299</v>
      </c>
    </row>
    <row r="277">
      <c r="A277" s="1098" t="s">
        <v>336</v>
      </c>
      <c r="B277" s="1100" t="s">
        <v>394</v>
      </c>
      <c r="C277" s="1099" t="s">
        <v>750</v>
      </c>
      <c r="D277" s="1100" t="s">
        <v>299</v>
      </c>
      <c r="E277" s="1098" t="s">
        <v>336</v>
      </c>
    </row>
    <row r="278">
      <c r="A278" s="1100" t="s">
        <v>394</v>
      </c>
      <c r="B278" s="1100" t="s">
        <v>437</v>
      </c>
      <c r="C278" s="1099" t="s">
        <v>751</v>
      </c>
      <c r="D278" s="1098" t="s">
        <v>336</v>
      </c>
      <c r="E278" s="1100" t="s">
        <v>394</v>
      </c>
    </row>
    <row r="279">
      <c r="A279" s="1100" t="s">
        <v>437</v>
      </c>
      <c r="B279" s="1100" t="s">
        <v>478</v>
      </c>
      <c r="C279" s="1099" t="s">
        <v>752</v>
      </c>
      <c r="D279" s="1100" t="s">
        <v>394</v>
      </c>
      <c r="E279" s="1100" t="s">
        <v>437</v>
      </c>
    </row>
    <row r="280">
      <c r="A280" s="1100" t="s">
        <v>478</v>
      </c>
      <c r="B280" s="1098" t="s">
        <v>543</v>
      </c>
      <c r="C280" s="1099" t="s">
        <v>753</v>
      </c>
      <c r="D280" s="1100" t="s">
        <v>437</v>
      </c>
      <c r="E280" s="1100" t="s">
        <v>478</v>
      </c>
    </row>
    <row r="281">
      <c r="A281" s="1098" t="s">
        <v>731</v>
      </c>
      <c r="B281" s="1100" t="s">
        <v>580</v>
      </c>
      <c r="C281" s="1099" t="s">
        <v>754</v>
      </c>
      <c r="D281" s="1100" t="s">
        <v>478</v>
      </c>
      <c r="E281" s="1098" t="s">
        <v>543</v>
      </c>
    </row>
    <row r="282">
      <c r="A282" s="1098" t="s">
        <v>543</v>
      </c>
      <c r="B282" s="1098" t="s">
        <v>596</v>
      </c>
      <c r="C282" s="1099" t="s">
        <v>755</v>
      </c>
      <c r="D282" s="1098" t="s">
        <v>731</v>
      </c>
      <c r="E282" s="1100" t="s">
        <v>580</v>
      </c>
    </row>
    <row r="283">
      <c r="A283" s="1100" t="s">
        <v>580</v>
      </c>
      <c r="B283" s="1098" t="s">
        <v>609</v>
      </c>
      <c r="C283" s="1099" t="s">
        <v>756</v>
      </c>
      <c r="D283" s="1098" t="s">
        <v>543</v>
      </c>
      <c r="E283" s="1098" t="s">
        <v>596</v>
      </c>
    </row>
    <row r="284">
      <c r="A284" s="1098" t="s">
        <v>596</v>
      </c>
      <c r="B284" s="1098" t="s">
        <v>620</v>
      </c>
      <c r="D284" s="1100" t="s">
        <v>580</v>
      </c>
      <c r="E284" s="1098" t="s">
        <v>609</v>
      </c>
    </row>
    <row r="285">
      <c r="A285" s="1098" t="s">
        <v>609</v>
      </c>
      <c r="B285" s="1098" t="s">
        <v>629</v>
      </c>
      <c r="D285" s="1098" t="s">
        <v>596</v>
      </c>
      <c r="E285" s="1098" t="s">
        <v>620</v>
      </c>
    </row>
    <row r="286">
      <c r="A286" s="1098" t="s">
        <v>732</v>
      </c>
      <c r="B286" s="1098" t="s">
        <v>638</v>
      </c>
      <c r="D286" s="1098" t="s">
        <v>609</v>
      </c>
      <c r="E286" s="1098" t="s">
        <v>629</v>
      </c>
    </row>
    <row r="287">
      <c r="A287" s="1098" t="s">
        <v>733</v>
      </c>
      <c r="B287" s="1098" t="s">
        <v>642</v>
      </c>
      <c r="D287" s="1098" t="s">
        <v>732</v>
      </c>
      <c r="E287" s="1098" t="s">
        <v>638</v>
      </c>
    </row>
    <row r="288">
      <c r="A288" s="1098" t="s">
        <v>734</v>
      </c>
      <c r="B288" s="1100" t="s">
        <v>657</v>
      </c>
      <c r="D288" s="1098" t="s">
        <v>733</v>
      </c>
      <c r="E288" s="436" t="s">
        <v>758</v>
      </c>
    </row>
    <row r="289">
      <c r="A289" s="1098" t="s">
        <v>620</v>
      </c>
      <c r="B289" s="1100" t="s">
        <v>673</v>
      </c>
      <c r="D289" s="1098" t="s">
        <v>734</v>
      </c>
      <c r="E289" s="1098" t="s">
        <v>642</v>
      </c>
    </row>
    <row r="290">
      <c r="A290" s="1098" t="s">
        <v>629</v>
      </c>
      <c r="B290" s="1100" t="s">
        <v>687</v>
      </c>
      <c r="D290" s="1098" t="s">
        <v>620</v>
      </c>
      <c r="E290" s="1100" t="s">
        <v>657</v>
      </c>
    </row>
    <row r="291">
      <c r="A291" s="1098" t="s">
        <v>735</v>
      </c>
      <c r="B291" s="1098" t="s">
        <v>717</v>
      </c>
      <c r="D291" s="1098" t="s">
        <v>629</v>
      </c>
      <c r="E291" s="1100" t="s">
        <v>673</v>
      </c>
    </row>
    <row r="292">
      <c r="A292" s="1098" t="s">
        <v>638</v>
      </c>
      <c r="B292" s="1100" t="s">
        <v>723</v>
      </c>
      <c r="D292" s="1098" t="s">
        <v>735</v>
      </c>
      <c r="E292" s="1100" t="s">
        <v>687</v>
      </c>
    </row>
    <row r="293">
      <c r="A293" s="1098" t="s">
        <v>642</v>
      </c>
      <c r="B293" s="1100" t="s">
        <v>728</v>
      </c>
      <c r="D293" s="1098" t="s">
        <v>638</v>
      </c>
      <c r="E293" s="1098" t="s">
        <v>717</v>
      </c>
    </row>
    <row r="294">
      <c r="A294" s="1098" t="s">
        <v>736</v>
      </c>
      <c r="B294" s="1100" t="s">
        <v>740</v>
      </c>
      <c r="D294" s="436" t="s">
        <v>758</v>
      </c>
      <c r="E294" s="1100" t="s">
        <v>723</v>
      </c>
    </row>
    <row r="295">
      <c r="A295" s="1100" t="s">
        <v>657</v>
      </c>
      <c r="B295" s="1098" t="s">
        <v>741</v>
      </c>
      <c r="D295" s="1098" t="s">
        <v>642</v>
      </c>
      <c r="E295" s="1100" t="s">
        <v>728</v>
      </c>
    </row>
    <row r="296">
      <c r="A296" s="1100" t="s">
        <v>673</v>
      </c>
      <c r="B296" s="1101"/>
      <c r="D296" s="1098" t="s">
        <v>736</v>
      </c>
      <c r="E296" s="1100" t="s">
        <v>740</v>
      </c>
    </row>
    <row r="297">
      <c r="A297" s="1100" t="s">
        <v>687</v>
      </c>
      <c r="B297" s="1101"/>
      <c r="D297" s="1100" t="s">
        <v>657</v>
      </c>
      <c r="E297" s="1098" t="s">
        <v>741</v>
      </c>
    </row>
    <row r="298">
      <c r="A298" s="1098" t="s">
        <v>739</v>
      </c>
      <c r="B298" s="1103" t="s">
        <v>729</v>
      </c>
      <c r="D298" s="1100" t="s">
        <v>673</v>
      </c>
      <c r="E298" s="1101"/>
    </row>
    <row r="299">
      <c r="A299" s="1098" t="s">
        <v>717</v>
      </c>
      <c r="B299" s="1098" t="s">
        <v>731</v>
      </c>
      <c r="D299" s="1100" t="s">
        <v>687</v>
      </c>
      <c r="E299" s="1101"/>
    </row>
    <row r="300">
      <c r="A300" s="1100" t="s">
        <v>723</v>
      </c>
      <c r="B300" s="1098" t="s">
        <v>732</v>
      </c>
      <c r="D300" s="1098" t="s">
        <v>739</v>
      </c>
      <c r="E300" s="1103" t="s">
        <v>729</v>
      </c>
    </row>
    <row r="301">
      <c r="A301" s="1100" t="s">
        <v>728</v>
      </c>
      <c r="B301" s="1098" t="s">
        <v>733</v>
      </c>
      <c r="D301" s="1098" t="s">
        <v>717</v>
      </c>
      <c r="E301" s="1098" t="s">
        <v>731</v>
      </c>
    </row>
    <row r="302">
      <c r="A302" s="1100" t="s">
        <v>740</v>
      </c>
      <c r="B302" s="1098" t="s">
        <v>734</v>
      </c>
      <c r="D302" s="1100" t="s">
        <v>723</v>
      </c>
      <c r="E302" s="1098" t="s">
        <v>732</v>
      </c>
    </row>
    <row r="303">
      <c r="A303" s="1098" t="s">
        <v>741</v>
      </c>
      <c r="B303" s="1098" t="s">
        <v>735</v>
      </c>
      <c r="D303" s="1100" t="s">
        <v>728</v>
      </c>
      <c r="E303" s="1098" t="s">
        <v>733</v>
      </c>
    </row>
    <row r="304">
      <c r="A304" s="1098" t="s">
        <v>730</v>
      </c>
      <c r="B304" s="1098" t="s">
        <v>736</v>
      </c>
      <c r="D304" s="1100" t="s">
        <v>740</v>
      </c>
      <c r="E304" s="1098" t="s">
        <v>734</v>
      </c>
    </row>
    <row r="305">
      <c r="A305" s="1098" t="s">
        <v>743</v>
      </c>
      <c r="B305" s="1098" t="s">
        <v>739</v>
      </c>
      <c r="D305" s="1098" t="s">
        <v>741</v>
      </c>
      <c r="E305" s="1098" t="s">
        <v>735</v>
      </c>
    </row>
    <row r="306">
      <c r="A306" s="1105" t="s">
        <v>744</v>
      </c>
      <c r="B306" s="1106" t="s">
        <v>744</v>
      </c>
      <c r="D306" s="1105" t="s">
        <v>744</v>
      </c>
      <c r="E306" s="1098" t="s">
        <v>736</v>
      </c>
    </row>
    <row r="307">
      <c r="A307" s="1105" t="s">
        <v>737</v>
      </c>
      <c r="B307" s="1106" t="s">
        <v>737</v>
      </c>
      <c r="D307" s="1105" t="s">
        <v>737</v>
      </c>
      <c r="E307" s="1098" t="s">
        <v>739</v>
      </c>
    </row>
    <row r="308">
      <c r="A308" s="1107" t="s">
        <v>738</v>
      </c>
      <c r="B308" s="1106" t="s">
        <v>738</v>
      </c>
      <c r="D308" s="1107" t="s">
        <v>738</v>
      </c>
      <c r="E308" s="1106" t="s">
        <v>738</v>
      </c>
    </row>
    <row r="310">
      <c r="A310" s="436"/>
      <c r="B310" t="s">
        <v>1432</v>
      </c>
    </row>
    <row r="311">
      <c r="A311" s="436"/>
    </row>
    <row r="312">
      <c r="A312" s="436"/>
      <c r="B312" s="436"/>
      <c r="C312" s="436"/>
      <c r="D312" s="436"/>
      <c r="E312" s="1014"/>
    </row>
    <row r="313">
      <c r="A313" s="436"/>
      <c r="B313" s="436"/>
      <c r="C313" s="436"/>
      <c r="D313" s="436"/>
      <c r="E313" s="1014"/>
      <c r="U313" s="954"/>
      <c r="V313" s="954"/>
      <c r="W313" s="954"/>
      <c r="X313" s="751"/>
    </row>
    <row r="314">
      <c r="A314" s="436"/>
      <c r="B314" s="436"/>
      <c r="C314" s="436"/>
      <c r="D314" s="436"/>
      <c r="E314" s="1014"/>
      <c r="U314" s="954"/>
      <c r="V314" s="954"/>
      <c r="W314" s="954"/>
      <c r="X314" s="751"/>
    </row>
    <row r="315">
      <c r="A315" s="436"/>
      <c r="B315" s="436"/>
      <c r="C315" s="436"/>
      <c r="D315" s="436"/>
      <c r="E315" s="1014"/>
      <c r="U315" s="954"/>
      <c r="V315" s="954"/>
      <c r="W315" s="954"/>
      <c r="X315" s="751"/>
    </row>
    <row r="316">
      <c r="A316" s="436"/>
      <c r="B316" s="436"/>
      <c r="C316" s="436"/>
      <c r="D316" s="436"/>
      <c r="E316" s="1014"/>
      <c r="U316" s="954"/>
      <c r="V316" s="954"/>
      <c r="W316" s="954"/>
      <c r="X316" s="751"/>
    </row>
    <row r="317">
      <c r="A317" s="436"/>
      <c r="B317" s="436"/>
      <c r="C317" s="436"/>
      <c r="D317" s="436"/>
      <c r="E317" s="1014"/>
      <c r="U317" s="954"/>
      <c r="V317" s="954"/>
      <c r="W317" s="954"/>
      <c r="X317" s="751"/>
    </row>
    <row r="318">
      <c r="A318" s="436"/>
      <c r="B318" s="436"/>
      <c r="C318" s="436"/>
      <c r="D318" s="436"/>
      <c r="E318" s="1014"/>
      <c r="U318" s="954"/>
      <c r="V318" s="954"/>
      <c r="W318" s="954"/>
      <c r="X318" s="751"/>
    </row>
    <row r="319">
      <c r="A319" s="436"/>
      <c r="B319" s="436"/>
      <c r="C319" s="436"/>
      <c r="D319" s="436"/>
      <c r="E319" s="1014"/>
      <c r="U319" s="954"/>
      <c r="V319" s="954"/>
      <c r="W319" s="954"/>
      <c r="X319" s="751"/>
    </row>
    <row r="320">
      <c r="A320" s="436"/>
      <c r="B320" s="436"/>
      <c r="C320" s="436"/>
      <c r="D320" s="436"/>
      <c r="E320" s="1014"/>
      <c r="U320" s="954"/>
      <c r="V320" s="954"/>
      <c r="W320" s="954"/>
      <c r="X320" s="751"/>
    </row>
    <row r="321">
      <c r="A321" s="436"/>
      <c r="B321" s="436"/>
      <c r="C321" s="436"/>
      <c r="D321" s="436"/>
      <c r="E321" s="1014"/>
      <c r="U321" s="954"/>
      <c r="V321" s="954"/>
      <c r="W321" s="954"/>
      <c r="X321" s="751"/>
    </row>
    <row r="322">
      <c r="A322" s="436"/>
      <c r="B322" s="436"/>
      <c r="C322" s="436"/>
      <c r="D322" s="436"/>
      <c r="E322" s="1014"/>
      <c r="U322" s="954"/>
      <c r="V322" s="954"/>
      <c r="W322" s="954"/>
      <c r="X322" s="751"/>
    </row>
    <row r="323">
      <c r="A323" s="436"/>
      <c r="B323" s="436"/>
      <c r="C323" s="436"/>
      <c r="D323" s="436"/>
      <c r="E323" s="1014"/>
      <c r="U323" s="954"/>
      <c r="V323" s="954"/>
      <c r="W323" s="954"/>
      <c r="X323" s="751"/>
    </row>
  </sheetData>
  <dataValidations>
    <dataValidation type="list" allowBlank="1" sqref="O151">
      <formula1>"PC,Companion"</formula1>
    </dataValidation>
    <dataValidation type="list" allowBlank="1" sqref="B306:B308 E308">
      <formula1>"Artistry:,Craft:,Lore:,Perform:,Prof:"</formula1>
    </dataValidation>
  </dataValidations>
  <hyperlinks>
    <hyperlink r:id="rId1" ref="O4"/>
    <hyperlink r:id="rId2" ref="P4"/>
    <hyperlink r:id="rId3" ref="O5"/>
    <hyperlink r:id="rId4" ref="P5"/>
    <hyperlink r:id="rId5" ref="O6"/>
    <hyperlink r:id="rId6" ref="P6"/>
    <hyperlink r:id="rId7" ref="O7"/>
    <hyperlink r:id="rId8" ref="P7"/>
    <hyperlink r:id="rId9" ref="O8"/>
    <hyperlink r:id="rId10" ref="P8"/>
    <hyperlink r:id="rId11" ref="O9"/>
    <hyperlink r:id="rId12" ref="P9"/>
    <hyperlink r:id="rId13" ref="O10"/>
    <hyperlink r:id="rId14" ref="P10"/>
    <hyperlink r:id="rId15" ref="O11"/>
    <hyperlink r:id="rId16" ref="P11"/>
    <hyperlink r:id="rId17" ref="O12"/>
    <hyperlink r:id="rId18" ref="P12"/>
    <hyperlink r:id="rId19" ref="O13"/>
    <hyperlink r:id="rId20" ref="P13"/>
    <hyperlink r:id="rId21" ref="O14"/>
    <hyperlink r:id="rId22" ref="P14"/>
    <hyperlink r:id="rId23" ref="O15"/>
    <hyperlink r:id="rId24" ref="P15"/>
    <hyperlink r:id="rId25" ref="O16"/>
    <hyperlink r:id="rId26" ref="P16"/>
    <hyperlink r:id="rId27" ref="O17"/>
    <hyperlink r:id="rId28" ref="P17"/>
    <hyperlink r:id="rId29" ref="O18"/>
    <hyperlink r:id="rId30" ref="P18"/>
    <hyperlink r:id="rId31" ref="O19"/>
    <hyperlink r:id="rId32" ref="P19"/>
    <hyperlink r:id="rId33" ref="O20"/>
    <hyperlink r:id="rId34" ref="P20"/>
    <hyperlink r:id="rId35" ref="O21"/>
    <hyperlink r:id="rId36" ref="P21"/>
    <hyperlink r:id="rId37" ref="O22"/>
    <hyperlink r:id="rId38" ref="P22"/>
    <hyperlink r:id="rId39" ref="O23"/>
    <hyperlink r:id="rId40" ref="P23"/>
    <hyperlink r:id="rId41" ref="O24"/>
    <hyperlink r:id="rId42" ref="P24"/>
    <hyperlink r:id="rId43" ref="O25"/>
    <hyperlink r:id="rId44" ref="P25"/>
    <hyperlink r:id="rId45" ref="O26"/>
    <hyperlink r:id="rId46" ref="P26"/>
    <hyperlink r:id="rId47" ref="O27"/>
    <hyperlink r:id="rId48" ref="P27"/>
    <hyperlink r:id="rId49" ref="O28"/>
    <hyperlink r:id="rId50" ref="P28"/>
    <hyperlink r:id="rId51" ref="O29"/>
    <hyperlink r:id="rId52" ref="P29"/>
  </hyperlinks>
  <drawing r:id="rId5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39" t="s">
        <v>970</v>
      </c>
      <c r="B1" s="843"/>
      <c r="C1" s="846"/>
      <c r="D1" s="846"/>
      <c r="E1" s="846"/>
      <c r="F1" s="846"/>
      <c r="G1" s="846"/>
      <c r="H1" s="846"/>
      <c r="I1" s="846"/>
      <c r="J1" s="846"/>
      <c r="K1" s="846"/>
      <c r="L1" s="241"/>
      <c r="M1" s="241"/>
      <c r="N1" s="241"/>
      <c r="O1" s="241"/>
      <c r="P1" s="241"/>
      <c r="Q1" s="241"/>
      <c r="R1" s="241"/>
      <c r="S1" s="241"/>
      <c r="T1" s="241"/>
      <c r="U1" s="241"/>
      <c r="V1" s="241"/>
      <c r="W1" s="241"/>
      <c r="X1" s="241"/>
      <c r="Y1" s="241"/>
      <c r="Z1" s="241"/>
      <c r="AA1" s="241"/>
    </row>
    <row r="2">
      <c r="A2" s="243"/>
      <c r="B2" s="243"/>
      <c r="C2" s="241"/>
      <c r="D2" s="241"/>
      <c r="E2" s="241"/>
      <c r="F2" s="241"/>
      <c r="G2" s="241"/>
      <c r="H2" s="241"/>
      <c r="I2" s="241"/>
      <c r="J2" s="241"/>
      <c r="K2" s="241"/>
      <c r="L2" s="241"/>
      <c r="M2" s="241"/>
      <c r="N2" s="241"/>
      <c r="O2" s="241"/>
      <c r="P2" s="241"/>
      <c r="Q2" s="241"/>
      <c r="R2" s="241"/>
      <c r="S2" s="241"/>
      <c r="T2" s="241"/>
      <c r="U2" s="241"/>
      <c r="V2" s="241"/>
      <c r="W2" s="241"/>
      <c r="X2" s="241"/>
      <c r="Y2" s="241"/>
      <c r="Z2" s="241"/>
      <c r="AA2" s="241"/>
    </row>
    <row r="3">
      <c r="A3" s="849" t="s">
        <v>973</v>
      </c>
      <c r="B3" s="851" t="s">
        <v>976</v>
      </c>
      <c r="C3" s="852" t="s">
        <v>977</v>
      </c>
      <c r="D3" s="852"/>
      <c r="E3" s="852"/>
      <c r="F3" s="852"/>
      <c r="G3" s="852"/>
      <c r="H3" s="852"/>
      <c r="I3" s="852"/>
      <c r="J3" s="852"/>
      <c r="K3" s="852"/>
      <c r="L3" s="856"/>
      <c r="M3" s="856"/>
      <c r="N3" s="856"/>
      <c r="O3" s="856"/>
      <c r="P3" s="856"/>
      <c r="Q3" s="856"/>
      <c r="R3" s="856"/>
      <c r="S3" s="856"/>
      <c r="T3" s="856"/>
      <c r="U3" s="856"/>
      <c r="V3" s="856"/>
      <c r="W3" s="856"/>
      <c r="X3" s="856"/>
      <c r="Y3" s="856"/>
      <c r="Z3" s="856"/>
      <c r="AA3" s="856"/>
    </row>
    <row r="4">
      <c r="A4" s="849"/>
      <c r="B4" s="861"/>
      <c r="C4" s="852"/>
      <c r="D4" s="852"/>
      <c r="E4" s="852"/>
      <c r="F4" s="852"/>
      <c r="G4" s="852"/>
      <c r="H4" s="852"/>
      <c r="I4" s="852"/>
      <c r="J4" s="852"/>
      <c r="K4" s="852"/>
      <c r="L4" s="856"/>
      <c r="M4" s="856"/>
      <c r="N4" s="856"/>
      <c r="O4" s="856"/>
      <c r="P4" s="856"/>
      <c r="Q4" s="856"/>
      <c r="R4" s="856"/>
      <c r="S4" s="856"/>
      <c r="T4" s="856"/>
      <c r="U4" s="856"/>
      <c r="V4" s="856"/>
      <c r="W4" s="856"/>
      <c r="X4" s="856"/>
      <c r="Y4" s="856"/>
      <c r="Z4" s="856"/>
      <c r="AA4" s="856"/>
    </row>
    <row r="5">
      <c r="A5" s="849" t="s">
        <v>32</v>
      </c>
      <c r="B5" s="861">
        <v>43292.0</v>
      </c>
      <c r="C5" s="852" t="s">
        <v>983</v>
      </c>
      <c r="D5" s="852"/>
      <c r="E5" s="852"/>
      <c r="F5" s="852"/>
      <c r="G5" s="852"/>
      <c r="H5" s="852"/>
      <c r="I5" s="852"/>
      <c r="J5" s="852"/>
      <c r="K5" s="852"/>
      <c r="L5" s="856"/>
      <c r="M5" s="856"/>
      <c r="N5" s="856"/>
      <c r="O5" s="856"/>
      <c r="P5" s="856"/>
      <c r="Q5" s="856"/>
      <c r="R5" s="856"/>
      <c r="S5" s="856"/>
      <c r="T5" s="856"/>
      <c r="U5" s="856"/>
      <c r="V5" s="856"/>
      <c r="W5" s="856"/>
      <c r="X5" s="856"/>
      <c r="Y5" s="856"/>
      <c r="Z5" s="856"/>
      <c r="AA5" s="856"/>
    </row>
    <row r="6">
      <c r="A6" s="849" t="s">
        <v>985</v>
      </c>
      <c r="B6" s="861">
        <v>43175.0</v>
      </c>
      <c r="C6" s="852" t="s">
        <v>986</v>
      </c>
      <c r="D6" s="852"/>
      <c r="E6" s="852"/>
      <c r="F6" s="852"/>
      <c r="G6" s="852"/>
      <c r="H6" s="852"/>
      <c r="I6" s="852"/>
      <c r="J6" s="852"/>
      <c r="K6" s="852"/>
      <c r="L6" s="856"/>
      <c r="M6" s="856"/>
      <c r="N6" s="856"/>
      <c r="O6" s="856"/>
      <c r="P6" s="856"/>
      <c r="Q6" s="856"/>
      <c r="R6" s="856"/>
      <c r="S6" s="856"/>
      <c r="T6" s="856"/>
      <c r="U6" s="856"/>
      <c r="V6" s="856"/>
      <c r="W6" s="856"/>
      <c r="X6" s="856"/>
      <c r="Y6" s="856"/>
      <c r="Z6" s="856"/>
      <c r="AA6" s="856"/>
    </row>
    <row r="7">
      <c r="A7" s="866" t="s">
        <v>988</v>
      </c>
      <c r="B7" s="861">
        <v>43099.0</v>
      </c>
      <c r="C7" s="852" t="s">
        <v>992</v>
      </c>
      <c r="L7" s="856"/>
      <c r="M7" s="856"/>
      <c r="N7" s="856"/>
      <c r="O7" s="856"/>
      <c r="P7" s="856"/>
      <c r="Q7" s="856"/>
      <c r="R7" s="856"/>
      <c r="S7" s="856"/>
      <c r="T7" s="856"/>
      <c r="U7" s="856"/>
      <c r="V7" s="856"/>
      <c r="W7" s="856"/>
      <c r="X7" s="856"/>
      <c r="Y7" s="856"/>
      <c r="Z7" s="856"/>
      <c r="AA7" s="856"/>
    </row>
    <row r="8">
      <c r="A8" s="866" t="s">
        <v>988</v>
      </c>
      <c r="B8" s="861">
        <v>43088.0</v>
      </c>
      <c r="C8" s="868" t="s">
        <v>993</v>
      </c>
      <c r="L8" s="856"/>
      <c r="M8" s="856"/>
      <c r="N8" s="856"/>
      <c r="O8" s="856"/>
      <c r="P8" s="856"/>
      <c r="Q8" s="856"/>
      <c r="R8" s="856"/>
      <c r="S8" s="856"/>
      <c r="T8" s="856"/>
      <c r="U8" s="856"/>
      <c r="V8" s="856"/>
      <c r="W8" s="856"/>
      <c r="X8" s="856"/>
      <c r="Y8" s="856"/>
      <c r="Z8" s="856"/>
      <c r="AA8" s="856"/>
    </row>
    <row r="9">
      <c r="A9" s="580" t="s">
        <v>988</v>
      </c>
      <c r="B9" s="871">
        <v>43084.0</v>
      </c>
      <c r="C9" s="872" t="s">
        <v>997</v>
      </c>
      <c r="L9" s="241"/>
      <c r="M9" s="241"/>
      <c r="N9" s="241"/>
      <c r="O9" s="241"/>
      <c r="P9" s="241"/>
      <c r="Q9" s="241"/>
      <c r="R9" s="241"/>
      <c r="S9" s="241"/>
      <c r="T9" s="241"/>
      <c r="U9" s="241"/>
      <c r="V9" s="241"/>
      <c r="W9" s="241"/>
      <c r="X9" s="241"/>
      <c r="Y9" s="241"/>
      <c r="Z9" s="241"/>
      <c r="AA9" s="241"/>
    </row>
    <row r="10">
      <c r="A10" s="580" t="s">
        <v>999</v>
      </c>
      <c r="B10" s="873">
        <v>43040.0</v>
      </c>
      <c r="C10" s="872" t="s">
        <v>1000</v>
      </c>
      <c r="L10" s="241"/>
      <c r="M10" s="241"/>
      <c r="N10" s="241"/>
      <c r="O10" s="241"/>
      <c r="P10" s="241"/>
      <c r="Q10" s="241"/>
      <c r="R10" s="241"/>
      <c r="S10" s="241"/>
      <c r="T10" s="241"/>
      <c r="U10" s="241"/>
      <c r="V10" s="241"/>
      <c r="W10" s="241"/>
      <c r="X10" s="241"/>
      <c r="Y10" s="241"/>
      <c r="Z10" s="241"/>
      <c r="AA10" s="241"/>
    </row>
    <row r="11">
      <c r="A11" s="580" t="s">
        <v>1001</v>
      </c>
      <c r="B11" s="873">
        <v>43009.0</v>
      </c>
      <c r="C11" s="872" t="s">
        <v>1003</v>
      </c>
      <c r="L11" s="241"/>
      <c r="M11" s="241"/>
      <c r="N11" s="241"/>
      <c r="O11" s="241"/>
      <c r="P11" s="241"/>
      <c r="Q11" s="241"/>
      <c r="R11" s="241"/>
      <c r="S11" s="241"/>
      <c r="T11" s="241"/>
      <c r="U11" s="241"/>
      <c r="V11" s="241"/>
      <c r="W11" s="241"/>
      <c r="X11" s="241"/>
      <c r="Y11" s="241"/>
      <c r="Z11" s="241"/>
      <c r="AA11" s="241"/>
    </row>
    <row r="12">
      <c r="A12" s="580" t="s">
        <v>1005</v>
      </c>
      <c r="B12" s="876">
        <v>42339.0</v>
      </c>
      <c r="C12" s="872" t="s">
        <v>1010</v>
      </c>
      <c r="L12" s="241"/>
      <c r="M12" s="241"/>
      <c r="N12" s="241"/>
      <c r="O12" s="241"/>
      <c r="P12" s="241"/>
      <c r="Q12" s="241"/>
      <c r="R12" s="241"/>
      <c r="S12" s="241"/>
      <c r="T12" s="241"/>
      <c r="U12" s="241"/>
      <c r="V12" s="241"/>
      <c r="W12" s="241"/>
      <c r="X12" s="241"/>
      <c r="Y12" s="241"/>
      <c r="Z12" s="241"/>
      <c r="AA12" s="241"/>
    </row>
    <row r="13">
      <c r="A13" s="580" t="s">
        <v>1011</v>
      </c>
      <c r="B13" s="879">
        <v>2013.0</v>
      </c>
      <c r="C13" s="872" t="s">
        <v>1014</v>
      </c>
      <c r="L13" s="241"/>
      <c r="M13" s="241"/>
      <c r="N13" s="241"/>
      <c r="O13" s="241"/>
      <c r="P13" s="241"/>
      <c r="Q13" s="241"/>
      <c r="R13" s="241"/>
      <c r="S13" s="241"/>
      <c r="T13" s="241"/>
      <c r="U13" s="241"/>
      <c r="V13" s="241"/>
      <c r="W13" s="241"/>
      <c r="X13" s="241"/>
      <c r="Y13" s="241"/>
      <c r="Z13" s="241"/>
      <c r="AA13" s="241"/>
    </row>
    <row r="14">
      <c r="A14" s="580"/>
      <c r="B14" s="879"/>
      <c r="C14" s="872"/>
      <c r="L14" s="241"/>
      <c r="M14" s="241"/>
      <c r="N14" s="241"/>
      <c r="O14" s="241"/>
      <c r="P14" s="241"/>
      <c r="Q14" s="241"/>
      <c r="R14" s="241"/>
      <c r="S14" s="241"/>
      <c r="T14" s="241"/>
      <c r="U14" s="241"/>
      <c r="V14" s="241"/>
      <c r="W14" s="241"/>
      <c r="X14" s="241"/>
      <c r="Y14" s="241"/>
      <c r="Z14" s="241"/>
      <c r="AA14" s="241"/>
    </row>
    <row r="15">
      <c r="A15" s="580"/>
      <c r="B15" s="879"/>
      <c r="C15" s="872"/>
      <c r="L15" s="241"/>
      <c r="M15" s="241"/>
      <c r="N15" s="241"/>
      <c r="O15" s="241"/>
      <c r="P15" s="241"/>
      <c r="Q15" s="241"/>
      <c r="R15" s="241"/>
      <c r="S15" s="241"/>
      <c r="T15" s="241"/>
      <c r="U15" s="241"/>
      <c r="V15" s="241"/>
      <c r="W15" s="241"/>
      <c r="X15" s="241"/>
      <c r="Y15" s="241"/>
      <c r="Z15" s="241"/>
      <c r="AA15" s="241"/>
    </row>
    <row r="16">
      <c r="A16" s="580"/>
      <c r="B16" s="879"/>
      <c r="C16" s="872"/>
      <c r="L16" s="241"/>
      <c r="M16" s="241"/>
      <c r="N16" s="241"/>
      <c r="O16" s="241"/>
      <c r="P16" s="241"/>
      <c r="Q16" s="241"/>
      <c r="R16" s="241"/>
      <c r="S16" s="241"/>
      <c r="T16" s="241"/>
      <c r="U16" s="241"/>
      <c r="V16" s="241"/>
      <c r="W16" s="241"/>
      <c r="X16" s="241"/>
      <c r="Y16" s="241"/>
      <c r="Z16" s="241"/>
      <c r="AA16" s="241"/>
    </row>
    <row r="17">
      <c r="A17" s="580"/>
      <c r="B17" s="879"/>
      <c r="C17" s="872"/>
      <c r="L17" s="241"/>
      <c r="M17" s="241"/>
      <c r="N17" s="241"/>
      <c r="O17" s="241"/>
      <c r="P17" s="241"/>
      <c r="Q17" s="241"/>
      <c r="R17" s="241"/>
      <c r="S17" s="241"/>
      <c r="T17" s="241"/>
      <c r="U17" s="241"/>
      <c r="V17" s="241"/>
      <c r="W17" s="241"/>
      <c r="X17" s="241"/>
      <c r="Y17" s="241"/>
      <c r="Z17" s="241"/>
      <c r="AA17" s="241"/>
    </row>
    <row r="18">
      <c r="A18" s="580"/>
      <c r="B18" s="879"/>
      <c r="C18" s="872"/>
      <c r="L18" s="241"/>
      <c r="M18" s="241"/>
      <c r="N18" s="241"/>
      <c r="O18" s="241"/>
      <c r="P18" s="241"/>
      <c r="Q18" s="241"/>
      <c r="R18" s="241"/>
      <c r="S18" s="241"/>
      <c r="T18" s="241"/>
      <c r="U18" s="241"/>
      <c r="V18" s="241"/>
      <c r="W18" s="241"/>
      <c r="X18" s="241"/>
      <c r="Y18" s="241"/>
      <c r="Z18" s="241"/>
      <c r="AA18" s="241"/>
    </row>
    <row r="19">
      <c r="A19" s="580"/>
      <c r="B19" s="879"/>
      <c r="C19" s="872"/>
      <c r="L19" s="241"/>
      <c r="M19" s="241"/>
      <c r="N19" s="241"/>
      <c r="O19" s="241"/>
      <c r="P19" s="241"/>
      <c r="Q19" s="241"/>
      <c r="R19" s="241"/>
      <c r="S19" s="241"/>
      <c r="T19" s="241"/>
      <c r="U19" s="241"/>
      <c r="V19" s="241"/>
      <c r="W19" s="241"/>
      <c r="X19" s="241"/>
      <c r="Y19" s="241"/>
      <c r="Z19" s="241"/>
      <c r="AA19" s="241"/>
    </row>
    <row r="20">
      <c r="A20" s="580"/>
      <c r="B20" s="879"/>
      <c r="C20" s="872"/>
      <c r="L20" s="241"/>
      <c r="M20" s="241"/>
      <c r="N20" s="241"/>
      <c r="O20" s="241"/>
      <c r="P20" s="241"/>
      <c r="Q20" s="241"/>
      <c r="R20" s="241"/>
      <c r="S20" s="241"/>
      <c r="T20" s="241"/>
      <c r="U20" s="241"/>
      <c r="V20" s="241"/>
      <c r="W20" s="241"/>
      <c r="X20" s="241"/>
      <c r="Y20" s="241"/>
      <c r="Z20" s="241"/>
      <c r="AA20" s="241"/>
    </row>
    <row r="21">
      <c r="A21" s="580"/>
      <c r="B21" s="879"/>
      <c r="C21" s="872"/>
      <c r="L21" s="241"/>
      <c r="M21" s="241"/>
      <c r="N21" s="241"/>
      <c r="O21" s="241"/>
      <c r="P21" s="241"/>
      <c r="Q21" s="241"/>
      <c r="R21" s="241"/>
      <c r="S21" s="241"/>
      <c r="T21" s="241"/>
      <c r="U21" s="241"/>
      <c r="V21" s="241"/>
      <c r="W21" s="241"/>
      <c r="X21" s="241"/>
      <c r="Y21" s="241"/>
      <c r="Z21" s="241"/>
      <c r="AA21" s="241"/>
    </row>
    <row r="22">
      <c r="A22" s="580"/>
      <c r="B22" s="879"/>
      <c r="C22" s="872"/>
      <c r="L22" s="241"/>
      <c r="M22" s="241"/>
      <c r="N22" s="241"/>
      <c r="O22" s="241"/>
      <c r="P22" s="241"/>
      <c r="Q22" s="241"/>
      <c r="R22" s="241"/>
      <c r="S22" s="241"/>
      <c r="T22" s="241"/>
      <c r="U22" s="241"/>
      <c r="V22" s="241"/>
      <c r="W22" s="241"/>
      <c r="X22" s="241"/>
      <c r="Y22" s="241"/>
      <c r="Z22" s="241"/>
      <c r="AA22" s="241"/>
    </row>
    <row r="23">
      <c r="A23" s="580"/>
      <c r="B23" s="879"/>
      <c r="C23" s="872"/>
      <c r="L23" s="241"/>
      <c r="M23" s="241"/>
      <c r="N23" s="241"/>
      <c r="O23" s="241"/>
      <c r="P23" s="241"/>
      <c r="Q23" s="241"/>
      <c r="R23" s="241"/>
      <c r="S23" s="241"/>
      <c r="T23" s="241"/>
      <c r="U23" s="241"/>
      <c r="V23" s="241"/>
      <c r="W23" s="241"/>
      <c r="X23" s="241"/>
      <c r="Y23" s="241"/>
      <c r="Z23" s="241"/>
      <c r="AA23" s="241"/>
    </row>
    <row r="24">
      <c r="A24" s="580"/>
      <c r="B24" s="879"/>
      <c r="C24" s="872"/>
      <c r="L24" s="241"/>
      <c r="M24" s="241"/>
      <c r="N24" s="241"/>
      <c r="O24" s="241"/>
      <c r="P24" s="241"/>
      <c r="Q24" s="241"/>
      <c r="R24" s="241"/>
      <c r="S24" s="241"/>
      <c r="T24" s="241"/>
      <c r="U24" s="241"/>
      <c r="V24" s="241"/>
      <c r="W24" s="241"/>
      <c r="X24" s="241"/>
      <c r="Y24" s="241"/>
      <c r="Z24" s="241"/>
      <c r="AA24" s="241"/>
    </row>
    <row r="25">
      <c r="A25" s="580"/>
      <c r="B25" s="879"/>
      <c r="C25" s="872"/>
      <c r="L25" s="241"/>
      <c r="M25" s="241"/>
      <c r="N25" s="241"/>
      <c r="O25" s="241"/>
      <c r="P25" s="241"/>
      <c r="Q25" s="241"/>
      <c r="R25" s="241"/>
      <c r="S25" s="241"/>
      <c r="T25" s="241"/>
      <c r="U25" s="241"/>
      <c r="V25" s="241"/>
      <c r="W25" s="241"/>
      <c r="X25" s="241"/>
      <c r="Y25" s="241"/>
      <c r="Z25" s="241"/>
      <c r="AA25" s="241"/>
    </row>
    <row r="26">
      <c r="A26" s="580"/>
      <c r="B26" s="879"/>
      <c r="C26" s="872"/>
      <c r="L26" s="241"/>
      <c r="M26" s="241"/>
      <c r="N26" s="241"/>
      <c r="O26" s="241"/>
      <c r="P26" s="241"/>
      <c r="Q26" s="241"/>
      <c r="R26" s="241"/>
      <c r="S26" s="241"/>
      <c r="T26" s="241"/>
      <c r="U26" s="241"/>
      <c r="V26" s="241"/>
      <c r="W26" s="241"/>
      <c r="X26" s="241"/>
      <c r="Y26" s="241"/>
      <c r="Z26" s="241"/>
      <c r="AA26" s="241"/>
    </row>
    <row r="27">
      <c r="A27" s="580"/>
      <c r="B27" s="879"/>
      <c r="C27" s="872"/>
      <c r="L27" s="241"/>
      <c r="M27" s="241"/>
      <c r="N27" s="241"/>
      <c r="O27" s="241"/>
      <c r="P27" s="241"/>
      <c r="Q27" s="241"/>
      <c r="R27" s="241"/>
      <c r="S27" s="241"/>
      <c r="T27" s="241"/>
      <c r="U27" s="241"/>
      <c r="V27" s="241"/>
      <c r="W27" s="241"/>
      <c r="X27" s="241"/>
      <c r="Y27" s="241"/>
      <c r="Z27" s="241"/>
      <c r="AA27" s="241"/>
    </row>
    <row r="28">
      <c r="A28" s="580"/>
      <c r="B28" s="879"/>
      <c r="C28" s="872"/>
      <c r="L28" s="241"/>
      <c r="M28" s="241"/>
      <c r="N28" s="241"/>
      <c r="O28" s="241"/>
      <c r="P28" s="241"/>
      <c r="Q28" s="241"/>
      <c r="R28" s="241"/>
      <c r="S28" s="241"/>
      <c r="T28" s="241"/>
      <c r="U28" s="241"/>
      <c r="V28" s="241"/>
      <c r="W28" s="241"/>
      <c r="X28" s="241"/>
      <c r="Y28" s="241"/>
      <c r="Z28" s="241"/>
      <c r="AA28" s="241"/>
    </row>
    <row r="29">
      <c r="A29" s="580"/>
      <c r="B29" s="879"/>
      <c r="C29" s="872"/>
      <c r="L29" s="241"/>
      <c r="M29" s="241"/>
      <c r="N29" s="241"/>
      <c r="O29" s="241"/>
      <c r="P29" s="241"/>
      <c r="Q29" s="241"/>
      <c r="R29" s="241"/>
      <c r="S29" s="241"/>
      <c r="T29" s="241"/>
      <c r="U29" s="241"/>
      <c r="V29" s="241"/>
      <c r="W29" s="241"/>
      <c r="X29" s="241"/>
      <c r="Y29" s="241"/>
      <c r="Z29" s="241"/>
      <c r="AA29" s="241"/>
    </row>
    <row r="30">
      <c r="A30" s="580"/>
      <c r="B30" s="879"/>
      <c r="C30" s="872"/>
      <c r="L30" s="241"/>
      <c r="M30" s="241"/>
      <c r="N30" s="241"/>
      <c r="O30" s="241"/>
      <c r="P30" s="241"/>
      <c r="Q30" s="241"/>
      <c r="R30" s="241"/>
      <c r="S30" s="241"/>
      <c r="T30" s="241"/>
      <c r="U30" s="241"/>
      <c r="V30" s="241"/>
      <c r="W30" s="241"/>
      <c r="X30" s="241"/>
      <c r="Y30" s="241"/>
      <c r="Z30" s="241"/>
      <c r="AA30" s="241"/>
    </row>
    <row r="31">
      <c r="A31" s="580"/>
      <c r="B31" s="879"/>
      <c r="C31" s="872"/>
      <c r="L31" s="241"/>
      <c r="M31" s="241"/>
      <c r="N31" s="241"/>
      <c r="O31" s="241"/>
      <c r="P31" s="241"/>
      <c r="Q31" s="241"/>
      <c r="R31" s="241"/>
      <c r="S31" s="241"/>
      <c r="T31" s="241"/>
      <c r="U31" s="241"/>
      <c r="V31" s="241"/>
      <c r="W31" s="241"/>
      <c r="X31" s="241"/>
      <c r="Y31" s="241"/>
      <c r="Z31" s="241"/>
      <c r="AA31" s="241"/>
    </row>
    <row r="32">
      <c r="A32" s="580"/>
      <c r="B32" s="879"/>
      <c r="C32" s="872"/>
      <c r="L32" s="241"/>
      <c r="M32" s="241"/>
      <c r="N32" s="241"/>
      <c r="O32" s="241"/>
      <c r="P32" s="241"/>
      <c r="Q32" s="241"/>
      <c r="R32" s="241"/>
      <c r="S32" s="241"/>
      <c r="T32" s="241"/>
      <c r="U32" s="241"/>
      <c r="V32" s="241"/>
      <c r="W32" s="241"/>
      <c r="X32" s="241"/>
      <c r="Y32" s="241"/>
      <c r="Z32" s="241"/>
      <c r="AA32" s="241"/>
    </row>
    <row r="33">
      <c r="A33" s="580"/>
      <c r="B33" s="879"/>
      <c r="C33" s="872"/>
      <c r="L33" s="241"/>
      <c r="M33" s="241"/>
      <c r="N33" s="241"/>
      <c r="O33" s="241"/>
      <c r="P33" s="241"/>
      <c r="Q33" s="241"/>
      <c r="R33" s="241"/>
      <c r="S33" s="241"/>
      <c r="T33" s="241"/>
      <c r="U33" s="241"/>
      <c r="V33" s="241"/>
      <c r="W33" s="241"/>
      <c r="X33" s="241"/>
      <c r="Y33" s="241"/>
      <c r="Z33" s="241"/>
      <c r="AA33" s="241"/>
    </row>
    <row r="34">
      <c r="A34" s="580"/>
      <c r="B34" s="879"/>
      <c r="C34" s="872"/>
      <c r="L34" s="241"/>
      <c r="M34" s="241"/>
      <c r="N34" s="241"/>
      <c r="O34" s="241"/>
      <c r="P34" s="241"/>
      <c r="Q34" s="241"/>
      <c r="R34" s="241"/>
      <c r="S34" s="241"/>
      <c r="T34" s="241"/>
      <c r="U34" s="241"/>
      <c r="V34" s="241"/>
      <c r="W34" s="241"/>
      <c r="X34" s="241"/>
      <c r="Y34" s="241"/>
      <c r="Z34" s="241"/>
      <c r="AA34" s="241"/>
    </row>
    <row r="35">
      <c r="A35" s="580"/>
      <c r="B35" s="879"/>
      <c r="C35" s="872"/>
      <c r="L35" s="241"/>
      <c r="M35" s="241"/>
      <c r="N35" s="241"/>
      <c r="O35" s="241"/>
      <c r="P35" s="241"/>
      <c r="Q35" s="241"/>
      <c r="R35" s="241"/>
      <c r="S35" s="241"/>
      <c r="T35" s="241"/>
      <c r="U35" s="241"/>
      <c r="V35" s="241"/>
      <c r="W35" s="241"/>
      <c r="X35" s="241"/>
      <c r="Y35" s="241"/>
      <c r="Z35" s="241"/>
      <c r="AA35" s="241"/>
    </row>
    <row r="36">
      <c r="A36" s="580"/>
      <c r="B36" s="879"/>
      <c r="C36" s="872"/>
      <c r="L36" s="241"/>
      <c r="M36" s="241"/>
      <c r="N36" s="241"/>
      <c r="O36" s="241"/>
      <c r="P36" s="241"/>
      <c r="Q36" s="241"/>
      <c r="R36" s="241"/>
      <c r="S36" s="241"/>
      <c r="T36" s="241"/>
      <c r="U36" s="241"/>
      <c r="V36" s="241"/>
      <c r="W36" s="241"/>
      <c r="X36" s="241"/>
      <c r="Y36" s="241"/>
      <c r="Z36" s="241"/>
      <c r="AA36" s="241"/>
    </row>
    <row r="37">
      <c r="A37" s="580"/>
      <c r="B37" s="879"/>
      <c r="C37" s="872"/>
      <c r="L37" s="241"/>
      <c r="M37" s="241"/>
      <c r="N37" s="241"/>
      <c r="O37" s="241"/>
      <c r="P37" s="241"/>
      <c r="Q37" s="241"/>
      <c r="R37" s="241"/>
      <c r="S37" s="241"/>
      <c r="T37" s="241"/>
      <c r="U37" s="241"/>
      <c r="V37" s="241"/>
      <c r="W37" s="241"/>
      <c r="X37" s="241"/>
      <c r="Y37" s="241"/>
      <c r="Z37" s="241"/>
      <c r="AA37" s="241"/>
    </row>
    <row r="38">
      <c r="A38" s="580"/>
      <c r="B38" s="879"/>
      <c r="C38" s="872"/>
      <c r="L38" s="241"/>
      <c r="M38" s="241"/>
      <c r="N38" s="241"/>
      <c r="O38" s="241"/>
      <c r="P38" s="241"/>
      <c r="Q38" s="241"/>
      <c r="R38" s="241"/>
      <c r="S38" s="241"/>
      <c r="T38" s="241"/>
      <c r="U38" s="241"/>
      <c r="V38" s="241"/>
      <c r="W38" s="241"/>
      <c r="X38" s="241"/>
      <c r="Y38" s="241"/>
      <c r="Z38" s="241"/>
      <c r="AA38" s="241"/>
    </row>
    <row r="39">
      <c r="A39" s="580"/>
      <c r="B39" s="879"/>
      <c r="C39" s="872"/>
      <c r="L39" s="241"/>
      <c r="M39" s="241"/>
      <c r="N39" s="241"/>
      <c r="O39" s="241"/>
      <c r="P39" s="241"/>
      <c r="Q39" s="241"/>
      <c r="R39" s="241"/>
      <c r="S39" s="241"/>
      <c r="T39" s="241"/>
      <c r="U39" s="241"/>
      <c r="V39" s="241"/>
      <c r="W39" s="241"/>
      <c r="X39" s="241"/>
      <c r="Y39" s="241"/>
      <c r="Z39" s="241"/>
      <c r="AA39" s="241"/>
    </row>
    <row r="40">
      <c r="A40" s="580"/>
      <c r="B40" s="879"/>
      <c r="C40" s="872"/>
      <c r="L40" s="241"/>
      <c r="M40" s="241"/>
      <c r="N40" s="241"/>
      <c r="O40" s="241"/>
      <c r="P40" s="241"/>
      <c r="Q40" s="241"/>
      <c r="R40" s="241"/>
      <c r="S40" s="241"/>
      <c r="T40" s="241"/>
      <c r="U40" s="241"/>
      <c r="V40" s="241"/>
      <c r="W40" s="241"/>
      <c r="X40" s="241"/>
      <c r="Y40" s="241"/>
      <c r="Z40" s="241"/>
      <c r="AA40" s="241"/>
    </row>
    <row r="41">
      <c r="A41" s="580"/>
      <c r="B41" s="879"/>
      <c r="C41" s="872"/>
      <c r="L41" s="241"/>
      <c r="M41" s="241"/>
      <c r="N41" s="241"/>
      <c r="O41" s="241"/>
      <c r="P41" s="241"/>
      <c r="Q41" s="241"/>
      <c r="R41" s="241"/>
      <c r="S41" s="241"/>
      <c r="T41" s="241"/>
      <c r="U41" s="241"/>
      <c r="V41" s="241"/>
      <c r="W41" s="241"/>
      <c r="X41" s="241"/>
      <c r="Y41" s="241"/>
      <c r="Z41" s="241"/>
      <c r="AA41" s="241"/>
    </row>
    <row r="42">
      <c r="A42" s="580"/>
      <c r="B42" s="879"/>
      <c r="C42" s="872"/>
      <c r="L42" s="241"/>
      <c r="M42" s="241"/>
      <c r="N42" s="241"/>
      <c r="O42" s="241"/>
      <c r="P42" s="241"/>
      <c r="Q42" s="241"/>
      <c r="R42" s="241"/>
      <c r="S42" s="241"/>
      <c r="T42" s="241"/>
      <c r="U42" s="241"/>
      <c r="V42" s="241"/>
      <c r="W42" s="241"/>
      <c r="X42" s="241"/>
      <c r="Y42" s="241"/>
      <c r="Z42" s="241"/>
      <c r="AA42" s="241"/>
    </row>
    <row r="43">
      <c r="A43" s="580"/>
      <c r="B43" s="879"/>
      <c r="C43" s="872"/>
      <c r="L43" s="241"/>
      <c r="M43" s="241"/>
      <c r="N43" s="241"/>
      <c r="O43" s="241"/>
      <c r="P43" s="241"/>
      <c r="Q43" s="241"/>
      <c r="R43" s="241"/>
      <c r="S43" s="241"/>
      <c r="T43" s="241"/>
      <c r="U43" s="241"/>
      <c r="V43" s="241"/>
      <c r="W43" s="241"/>
      <c r="X43" s="241"/>
      <c r="Y43" s="241"/>
      <c r="Z43" s="241"/>
      <c r="AA43" s="241"/>
    </row>
    <row r="44">
      <c r="A44" s="580"/>
      <c r="B44" s="879"/>
      <c r="C44" s="872"/>
      <c r="L44" s="241"/>
      <c r="M44" s="241"/>
      <c r="N44" s="241"/>
      <c r="O44" s="241"/>
      <c r="P44" s="241"/>
      <c r="Q44" s="241"/>
      <c r="R44" s="241"/>
      <c r="S44" s="241"/>
      <c r="T44" s="241"/>
      <c r="U44" s="241"/>
      <c r="V44" s="241"/>
      <c r="W44" s="241"/>
      <c r="X44" s="241"/>
      <c r="Y44" s="241"/>
      <c r="Z44" s="241"/>
      <c r="AA44" s="241"/>
    </row>
    <row r="45">
      <c r="A45" s="580"/>
      <c r="B45" s="879"/>
      <c r="C45" s="872"/>
      <c r="L45" s="241"/>
      <c r="M45" s="241"/>
      <c r="N45" s="241"/>
      <c r="O45" s="241"/>
      <c r="P45" s="241"/>
      <c r="Q45" s="241"/>
      <c r="R45" s="241"/>
      <c r="S45" s="241"/>
      <c r="T45" s="241"/>
      <c r="U45" s="241"/>
      <c r="V45" s="241"/>
      <c r="W45" s="241"/>
      <c r="X45" s="241"/>
      <c r="Y45" s="241"/>
      <c r="Z45" s="241"/>
      <c r="AA45" s="241"/>
    </row>
    <row r="46">
      <c r="A46" s="580"/>
      <c r="B46" s="879"/>
      <c r="C46" s="872"/>
      <c r="L46" s="241"/>
      <c r="M46" s="241"/>
      <c r="N46" s="241"/>
      <c r="O46" s="241"/>
      <c r="P46" s="241"/>
      <c r="Q46" s="241"/>
      <c r="R46" s="241"/>
      <c r="S46" s="241"/>
      <c r="T46" s="241"/>
      <c r="U46" s="241"/>
      <c r="V46" s="241"/>
      <c r="W46" s="241"/>
      <c r="X46" s="241"/>
      <c r="Y46" s="241"/>
      <c r="Z46" s="241"/>
      <c r="AA46" s="241"/>
    </row>
    <row r="47">
      <c r="A47" s="580"/>
      <c r="B47" s="879"/>
      <c r="C47" s="872"/>
      <c r="L47" s="241"/>
      <c r="M47" s="241"/>
      <c r="N47" s="241"/>
      <c r="O47" s="241"/>
      <c r="P47" s="241"/>
      <c r="Q47" s="241"/>
      <c r="R47" s="241"/>
      <c r="S47" s="241"/>
      <c r="T47" s="241"/>
      <c r="U47" s="241"/>
      <c r="V47" s="241"/>
      <c r="W47" s="241"/>
      <c r="X47" s="241"/>
      <c r="Y47" s="241"/>
      <c r="Z47" s="241"/>
      <c r="AA47" s="241"/>
    </row>
    <row r="48">
      <c r="A48" s="580"/>
      <c r="B48" s="879"/>
      <c r="C48" s="872"/>
      <c r="L48" s="241"/>
      <c r="M48" s="241"/>
      <c r="N48" s="241"/>
      <c r="O48" s="241"/>
      <c r="P48" s="241"/>
      <c r="Q48" s="241"/>
      <c r="R48" s="241"/>
      <c r="S48" s="241"/>
      <c r="T48" s="241"/>
      <c r="U48" s="241"/>
      <c r="V48" s="241"/>
      <c r="W48" s="241"/>
      <c r="X48" s="241"/>
      <c r="Y48" s="241"/>
      <c r="Z48" s="241"/>
      <c r="AA48" s="241"/>
    </row>
    <row r="49">
      <c r="A49" s="580"/>
      <c r="B49" s="879"/>
      <c r="C49" s="872"/>
      <c r="L49" s="241"/>
      <c r="M49" s="241"/>
      <c r="N49" s="241"/>
      <c r="O49" s="241"/>
      <c r="P49" s="241"/>
      <c r="Q49" s="241"/>
      <c r="R49" s="241"/>
      <c r="S49" s="241"/>
      <c r="T49" s="241"/>
      <c r="U49" s="241"/>
      <c r="V49" s="241"/>
      <c r="W49" s="241"/>
      <c r="X49" s="241"/>
      <c r="Y49" s="241"/>
      <c r="Z49" s="241"/>
      <c r="AA49" s="241"/>
    </row>
    <row r="50">
      <c r="A50" s="580"/>
      <c r="B50" s="879"/>
      <c r="C50" s="872"/>
      <c r="L50" s="241"/>
      <c r="M50" s="241"/>
      <c r="N50" s="241"/>
      <c r="O50" s="241"/>
      <c r="P50" s="241"/>
      <c r="Q50" s="241"/>
      <c r="R50" s="241"/>
      <c r="S50" s="241"/>
      <c r="T50" s="241"/>
      <c r="U50" s="241"/>
      <c r="V50" s="241"/>
      <c r="W50" s="241"/>
      <c r="X50" s="241"/>
      <c r="Y50" s="241"/>
      <c r="Z50" s="241"/>
      <c r="AA50" s="241"/>
    </row>
    <row r="51">
      <c r="A51" s="580"/>
      <c r="B51" s="879"/>
      <c r="C51" s="872"/>
      <c r="L51" s="241"/>
      <c r="M51" s="241"/>
      <c r="N51" s="241"/>
      <c r="O51" s="241"/>
      <c r="P51" s="241"/>
      <c r="Q51" s="241"/>
      <c r="R51" s="241"/>
      <c r="S51" s="241"/>
      <c r="T51" s="241"/>
      <c r="U51" s="241"/>
      <c r="V51" s="241"/>
      <c r="W51" s="241"/>
      <c r="X51" s="241"/>
      <c r="Y51" s="241"/>
      <c r="Z51" s="241"/>
      <c r="AA51" s="241"/>
    </row>
    <row r="52">
      <c r="A52" s="580"/>
      <c r="B52" s="879"/>
      <c r="C52" s="872"/>
      <c r="L52" s="241"/>
      <c r="M52" s="241"/>
      <c r="N52" s="241"/>
      <c r="O52" s="241"/>
      <c r="P52" s="241"/>
      <c r="Q52" s="241"/>
      <c r="R52" s="241"/>
      <c r="S52" s="241"/>
      <c r="T52" s="241"/>
      <c r="U52" s="241"/>
      <c r="V52" s="241"/>
      <c r="W52" s="241"/>
      <c r="X52" s="241"/>
      <c r="Y52" s="241"/>
      <c r="Z52" s="241"/>
      <c r="AA52" s="241"/>
    </row>
    <row r="53">
      <c r="A53" s="580"/>
      <c r="B53" s="879"/>
      <c r="C53" s="872"/>
      <c r="L53" s="241"/>
      <c r="M53" s="241"/>
      <c r="N53" s="241"/>
      <c r="O53" s="241"/>
      <c r="P53" s="241"/>
      <c r="Q53" s="241"/>
      <c r="R53" s="241"/>
      <c r="S53" s="241"/>
      <c r="T53" s="241"/>
      <c r="U53" s="241"/>
      <c r="V53" s="241"/>
      <c r="W53" s="241"/>
      <c r="X53" s="241"/>
      <c r="Y53" s="241"/>
      <c r="Z53" s="241"/>
      <c r="AA53" s="241"/>
    </row>
    <row r="54">
      <c r="A54" s="580"/>
      <c r="B54" s="879"/>
      <c r="C54" s="872"/>
      <c r="L54" s="241"/>
      <c r="M54" s="241"/>
      <c r="N54" s="241"/>
      <c r="O54" s="241"/>
      <c r="P54" s="241"/>
      <c r="Q54" s="241"/>
      <c r="R54" s="241"/>
      <c r="S54" s="241"/>
      <c r="T54" s="241"/>
      <c r="U54" s="241"/>
      <c r="V54" s="241"/>
      <c r="W54" s="241"/>
      <c r="X54" s="241"/>
      <c r="Y54" s="241"/>
      <c r="Z54" s="241"/>
      <c r="AA54" s="241"/>
    </row>
    <row r="55">
      <c r="A55" s="580"/>
      <c r="B55" s="879"/>
      <c r="C55" s="872"/>
      <c r="L55" s="241"/>
      <c r="M55" s="241"/>
      <c r="N55" s="241"/>
      <c r="O55" s="241"/>
      <c r="P55" s="241"/>
      <c r="Q55" s="241"/>
      <c r="R55" s="241"/>
      <c r="S55" s="241"/>
      <c r="T55" s="241"/>
      <c r="U55" s="241"/>
      <c r="V55" s="241"/>
      <c r="W55" s="241"/>
      <c r="X55" s="241"/>
      <c r="Y55" s="241"/>
      <c r="Z55" s="241"/>
      <c r="AA55" s="241"/>
    </row>
    <row r="56">
      <c r="A56" s="580"/>
      <c r="B56" s="879"/>
      <c r="C56" s="872"/>
      <c r="L56" s="241"/>
      <c r="M56" s="241"/>
      <c r="N56" s="241"/>
      <c r="O56" s="241"/>
      <c r="P56" s="241"/>
      <c r="Q56" s="241"/>
      <c r="R56" s="241"/>
      <c r="S56" s="241"/>
      <c r="T56" s="241"/>
      <c r="U56" s="241"/>
      <c r="V56" s="241"/>
      <c r="W56" s="241"/>
      <c r="X56" s="241"/>
      <c r="Y56" s="241"/>
      <c r="Z56" s="241"/>
      <c r="AA56" s="241"/>
    </row>
    <row r="57">
      <c r="A57" s="580"/>
      <c r="B57" s="879"/>
      <c r="C57" s="872"/>
      <c r="L57" s="241"/>
      <c r="M57" s="241"/>
      <c r="N57" s="241"/>
      <c r="O57" s="241"/>
      <c r="P57" s="241"/>
      <c r="Q57" s="241"/>
      <c r="R57" s="241"/>
      <c r="S57" s="241"/>
      <c r="T57" s="241"/>
      <c r="U57" s="241"/>
      <c r="V57" s="241"/>
      <c r="W57" s="241"/>
      <c r="X57" s="241"/>
      <c r="Y57" s="241"/>
      <c r="Z57" s="241"/>
      <c r="AA57" s="241"/>
    </row>
    <row r="58">
      <c r="A58" s="580"/>
      <c r="B58" s="879"/>
      <c r="C58" s="872"/>
      <c r="L58" s="241"/>
      <c r="M58" s="241"/>
      <c r="N58" s="241"/>
      <c r="O58" s="241"/>
      <c r="P58" s="241"/>
      <c r="Q58" s="241"/>
      <c r="R58" s="241"/>
      <c r="S58" s="241"/>
      <c r="T58" s="241"/>
      <c r="U58" s="241"/>
      <c r="V58" s="241"/>
      <c r="W58" s="241"/>
      <c r="X58" s="241"/>
      <c r="Y58" s="241"/>
      <c r="Z58" s="241"/>
      <c r="AA58" s="241"/>
    </row>
    <row r="59">
      <c r="A59" s="580"/>
      <c r="B59" s="879"/>
      <c r="C59" s="872"/>
      <c r="L59" s="241"/>
      <c r="M59" s="241"/>
      <c r="N59" s="241"/>
      <c r="O59" s="241"/>
      <c r="P59" s="241"/>
      <c r="Q59" s="241"/>
      <c r="R59" s="241"/>
      <c r="S59" s="241"/>
      <c r="T59" s="241"/>
      <c r="U59" s="241"/>
      <c r="V59" s="241"/>
      <c r="W59" s="241"/>
      <c r="X59" s="241"/>
      <c r="Y59" s="241"/>
      <c r="Z59" s="241"/>
      <c r="AA59" s="241"/>
    </row>
    <row r="60">
      <c r="A60" s="580"/>
      <c r="B60" s="879"/>
      <c r="C60" s="872"/>
      <c r="L60" s="241"/>
      <c r="M60" s="241"/>
      <c r="N60" s="241"/>
      <c r="O60" s="241"/>
      <c r="P60" s="241"/>
      <c r="Q60" s="241"/>
      <c r="R60" s="241"/>
      <c r="S60" s="241"/>
      <c r="T60" s="241"/>
      <c r="U60" s="241"/>
      <c r="V60" s="241"/>
      <c r="W60" s="241"/>
      <c r="X60" s="241"/>
      <c r="Y60" s="241"/>
      <c r="Z60" s="241"/>
      <c r="AA60" s="241"/>
    </row>
    <row r="61">
      <c r="A61" s="580"/>
      <c r="B61" s="879"/>
      <c r="C61" s="872"/>
      <c r="L61" s="241"/>
      <c r="M61" s="241"/>
      <c r="N61" s="241"/>
      <c r="O61" s="241"/>
      <c r="P61" s="241"/>
      <c r="Q61" s="241"/>
      <c r="R61" s="241"/>
      <c r="S61" s="241"/>
      <c r="T61" s="241"/>
      <c r="U61" s="241"/>
      <c r="V61" s="241"/>
      <c r="W61" s="241"/>
      <c r="X61" s="241"/>
      <c r="Y61" s="241"/>
      <c r="Z61" s="241"/>
      <c r="AA61" s="241"/>
    </row>
    <row r="62">
      <c r="A62" s="580"/>
      <c r="B62" s="879"/>
      <c r="C62" s="872"/>
      <c r="L62" s="241"/>
      <c r="M62" s="241"/>
      <c r="N62" s="241"/>
      <c r="O62" s="241"/>
      <c r="P62" s="241"/>
      <c r="Q62" s="241"/>
      <c r="R62" s="241"/>
      <c r="S62" s="241"/>
      <c r="T62" s="241"/>
      <c r="U62" s="241"/>
      <c r="V62" s="241"/>
      <c r="W62" s="241"/>
      <c r="X62" s="241"/>
      <c r="Y62" s="241"/>
      <c r="Z62" s="241"/>
      <c r="AA62" s="241"/>
    </row>
    <row r="63">
      <c r="A63" s="580"/>
      <c r="B63" s="879"/>
      <c r="C63" s="872"/>
      <c r="L63" s="241"/>
      <c r="M63" s="241"/>
      <c r="N63" s="241"/>
      <c r="O63" s="241"/>
      <c r="P63" s="241"/>
      <c r="Q63" s="241"/>
      <c r="R63" s="241"/>
      <c r="S63" s="241"/>
      <c r="T63" s="241"/>
      <c r="U63" s="241"/>
      <c r="V63" s="241"/>
      <c r="W63" s="241"/>
      <c r="X63" s="241"/>
      <c r="Y63" s="241"/>
      <c r="Z63" s="241"/>
      <c r="AA63" s="241"/>
    </row>
    <row r="64">
      <c r="A64" s="580"/>
      <c r="B64" s="879"/>
      <c r="C64" s="872"/>
      <c r="L64" s="241"/>
      <c r="M64" s="241"/>
      <c r="N64" s="241"/>
      <c r="O64" s="241"/>
      <c r="P64" s="241"/>
      <c r="Q64" s="241"/>
      <c r="R64" s="241"/>
      <c r="S64" s="241"/>
      <c r="T64" s="241"/>
      <c r="U64" s="241"/>
      <c r="V64" s="241"/>
      <c r="W64" s="241"/>
      <c r="X64" s="241"/>
      <c r="Y64" s="241"/>
      <c r="Z64" s="241"/>
      <c r="AA64" s="241"/>
    </row>
    <row r="65">
      <c r="A65" s="580"/>
      <c r="B65" s="879"/>
      <c r="C65" s="872"/>
      <c r="L65" s="241"/>
      <c r="M65" s="241"/>
      <c r="N65" s="241"/>
      <c r="O65" s="241"/>
      <c r="P65" s="241"/>
      <c r="Q65" s="241"/>
      <c r="R65" s="241"/>
      <c r="S65" s="241"/>
      <c r="T65" s="241"/>
      <c r="U65" s="241"/>
      <c r="V65" s="241"/>
      <c r="W65" s="241"/>
      <c r="X65" s="241"/>
      <c r="Y65" s="241"/>
      <c r="Z65" s="241"/>
      <c r="AA65" s="241"/>
    </row>
    <row r="66">
      <c r="A66" s="580"/>
      <c r="B66" s="879"/>
      <c r="C66" s="872"/>
      <c r="L66" s="241"/>
      <c r="M66" s="241"/>
      <c r="N66" s="241"/>
      <c r="O66" s="241"/>
      <c r="P66" s="241"/>
      <c r="Q66" s="241"/>
      <c r="R66" s="241"/>
      <c r="S66" s="241"/>
      <c r="T66" s="241"/>
      <c r="U66" s="241"/>
      <c r="V66" s="241"/>
      <c r="W66" s="241"/>
      <c r="X66" s="241"/>
      <c r="Y66" s="241"/>
      <c r="Z66" s="241"/>
      <c r="AA66" s="241"/>
    </row>
    <row r="67">
      <c r="A67" s="580"/>
      <c r="B67" s="879"/>
      <c r="C67" s="872"/>
      <c r="L67" s="241"/>
      <c r="M67" s="241"/>
      <c r="N67" s="241"/>
      <c r="O67" s="241"/>
      <c r="P67" s="241"/>
      <c r="Q67" s="241"/>
      <c r="R67" s="241"/>
      <c r="S67" s="241"/>
      <c r="T67" s="241"/>
      <c r="U67" s="241"/>
      <c r="V67" s="241"/>
      <c r="W67" s="241"/>
      <c r="X67" s="241"/>
      <c r="Y67" s="241"/>
      <c r="Z67" s="241"/>
      <c r="AA67" s="241"/>
    </row>
    <row r="68">
      <c r="A68" s="580"/>
      <c r="B68" s="879"/>
      <c r="C68" s="872"/>
      <c r="L68" s="241"/>
      <c r="M68" s="241"/>
      <c r="N68" s="241"/>
      <c r="O68" s="241"/>
      <c r="P68" s="241"/>
      <c r="Q68" s="241"/>
      <c r="R68" s="241"/>
      <c r="S68" s="241"/>
      <c r="T68" s="241"/>
      <c r="U68" s="241"/>
      <c r="V68" s="241"/>
      <c r="W68" s="241"/>
      <c r="X68" s="241"/>
      <c r="Y68" s="241"/>
      <c r="Z68" s="241"/>
      <c r="AA68" s="241"/>
    </row>
    <row r="69">
      <c r="A69" s="580"/>
      <c r="B69" s="879"/>
      <c r="C69" s="872"/>
      <c r="L69" s="241"/>
      <c r="M69" s="241"/>
      <c r="N69" s="241"/>
      <c r="O69" s="241"/>
      <c r="P69" s="241"/>
      <c r="Q69" s="241"/>
      <c r="R69" s="241"/>
      <c r="S69" s="241"/>
      <c r="T69" s="241"/>
      <c r="U69" s="241"/>
      <c r="V69" s="241"/>
      <c r="W69" s="241"/>
      <c r="X69" s="241"/>
      <c r="Y69" s="241"/>
      <c r="Z69" s="241"/>
      <c r="AA69" s="241"/>
    </row>
    <row r="70">
      <c r="A70" s="580"/>
      <c r="B70" s="879"/>
      <c r="C70" s="872"/>
      <c r="L70" s="241"/>
      <c r="M70" s="241"/>
      <c r="N70" s="241"/>
      <c r="O70" s="241"/>
      <c r="P70" s="241"/>
      <c r="Q70" s="241"/>
      <c r="R70" s="241"/>
      <c r="S70" s="241"/>
      <c r="T70" s="241"/>
      <c r="U70" s="241"/>
      <c r="V70" s="241"/>
      <c r="W70" s="241"/>
      <c r="X70" s="241"/>
      <c r="Y70" s="241"/>
      <c r="Z70" s="241"/>
      <c r="AA70" s="241"/>
    </row>
    <row r="71">
      <c r="A71" s="580"/>
      <c r="B71" s="879"/>
      <c r="C71" s="872"/>
      <c r="L71" s="241"/>
      <c r="M71" s="241"/>
      <c r="N71" s="241"/>
      <c r="O71" s="241"/>
      <c r="P71" s="241"/>
      <c r="Q71" s="241"/>
      <c r="R71" s="241"/>
      <c r="S71" s="241"/>
      <c r="T71" s="241"/>
      <c r="U71" s="241"/>
      <c r="V71" s="241"/>
      <c r="W71" s="241"/>
      <c r="X71" s="241"/>
      <c r="Y71" s="241"/>
      <c r="Z71" s="241"/>
      <c r="AA71" s="241"/>
    </row>
    <row r="72">
      <c r="A72" s="580"/>
      <c r="B72" s="879"/>
      <c r="C72" s="872"/>
      <c r="L72" s="241"/>
      <c r="M72" s="241"/>
      <c r="N72" s="241"/>
      <c r="O72" s="241"/>
      <c r="P72" s="241"/>
      <c r="Q72" s="241"/>
      <c r="R72" s="241"/>
      <c r="S72" s="241"/>
      <c r="T72" s="241"/>
      <c r="U72" s="241"/>
      <c r="V72" s="241"/>
      <c r="W72" s="241"/>
      <c r="X72" s="241"/>
      <c r="Y72" s="241"/>
      <c r="Z72" s="241"/>
      <c r="AA72" s="241"/>
    </row>
    <row r="73">
      <c r="A73" s="580"/>
      <c r="B73" s="879"/>
      <c r="C73" s="872"/>
      <c r="L73" s="241"/>
      <c r="M73" s="241"/>
      <c r="N73" s="241"/>
      <c r="O73" s="241"/>
      <c r="P73" s="241"/>
      <c r="Q73" s="241"/>
      <c r="R73" s="241"/>
      <c r="S73" s="241"/>
      <c r="T73" s="241"/>
      <c r="U73" s="241"/>
      <c r="V73" s="241"/>
      <c r="W73" s="241"/>
      <c r="X73" s="241"/>
      <c r="Y73" s="241"/>
      <c r="Z73" s="241"/>
      <c r="AA73" s="241"/>
    </row>
    <row r="74">
      <c r="A74" s="580"/>
      <c r="B74" s="879"/>
      <c r="C74" s="872"/>
      <c r="L74" s="241"/>
      <c r="M74" s="241"/>
      <c r="N74" s="241"/>
      <c r="O74" s="241"/>
      <c r="P74" s="241"/>
      <c r="Q74" s="241"/>
      <c r="R74" s="241"/>
      <c r="S74" s="241"/>
      <c r="T74" s="241"/>
      <c r="U74" s="241"/>
      <c r="V74" s="241"/>
      <c r="W74" s="241"/>
      <c r="X74" s="241"/>
      <c r="Y74" s="241"/>
      <c r="Z74" s="241"/>
      <c r="AA74" s="241"/>
    </row>
    <row r="75">
      <c r="A75" s="580"/>
      <c r="B75" s="879"/>
      <c r="C75" s="872"/>
      <c r="L75" s="241"/>
      <c r="M75" s="241"/>
      <c r="N75" s="241"/>
      <c r="O75" s="241"/>
      <c r="P75" s="241"/>
      <c r="Q75" s="241"/>
      <c r="R75" s="241"/>
      <c r="S75" s="241"/>
      <c r="T75" s="241"/>
      <c r="U75" s="241"/>
      <c r="V75" s="241"/>
      <c r="W75" s="241"/>
      <c r="X75" s="241"/>
      <c r="Y75" s="241"/>
      <c r="Z75" s="241"/>
      <c r="AA75" s="241"/>
    </row>
    <row r="76">
      <c r="A76" s="580"/>
      <c r="B76" s="879"/>
      <c r="C76" s="872"/>
      <c r="L76" s="241"/>
      <c r="M76" s="241"/>
      <c r="N76" s="241"/>
      <c r="O76" s="241"/>
      <c r="P76" s="241"/>
      <c r="Q76" s="241"/>
      <c r="R76" s="241"/>
      <c r="S76" s="241"/>
      <c r="T76" s="241"/>
      <c r="U76" s="241"/>
      <c r="V76" s="241"/>
      <c r="W76" s="241"/>
      <c r="X76" s="241"/>
      <c r="Y76" s="241"/>
      <c r="Z76" s="241"/>
      <c r="AA76" s="241"/>
    </row>
    <row r="77">
      <c r="A77" s="580"/>
      <c r="B77" s="879"/>
      <c r="C77" s="872"/>
      <c r="L77" s="241"/>
      <c r="M77" s="241"/>
      <c r="N77" s="241"/>
      <c r="O77" s="241"/>
      <c r="P77" s="241"/>
      <c r="Q77" s="241"/>
      <c r="R77" s="241"/>
      <c r="S77" s="241"/>
      <c r="T77" s="241"/>
      <c r="U77" s="241"/>
      <c r="V77" s="241"/>
      <c r="W77" s="241"/>
      <c r="X77" s="241"/>
      <c r="Y77" s="241"/>
      <c r="Z77" s="241"/>
      <c r="AA77" s="241"/>
    </row>
    <row r="78">
      <c r="A78" s="580"/>
      <c r="B78" s="879"/>
      <c r="C78" s="872"/>
      <c r="L78" s="241"/>
      <c r="M78" s="241"/>
      <c r="N78" s="241"/>
      <c r="O78" s="241"/>
      <c r="P78" s="241"/>
      <c r="Q78" s="241"/>
      <c r="R78" s="241"/>
      <c r="S78" s="241"/>
      <c r="T78" s="241"/>
      <c r="U78" s="241"/>
      <c r="V78" s="241"/>
      <c r="W78" s="241"/>
      <c r="X78" s="241"/>
      <c r="Y78" s="241"/>
      <c r="Z78" s="241"/>
      <c r="AA78" s="241"/>
    </row>
    <row r="79">
      <c r="A79" s="580"/>
      <c r="B79" s="879"/>
      <c r="C79" s="872"/>
      <c r="L79" s="241"/>
      <c r="M79" s="241"/>
      <c r="N79" s="241"/>
      <c r="O79" s="241"/>
      <c r="P79" s="241"/>
      <c r="Q79" s="241"/>
      <c r="R79" s="241"/>
      <c r="S79" s="241"/>
      <c r="T79" s="241"/>
      <c r="U79" s="241"/>
      <c r="V79" s="241"/>
      <c r="W79" s="241"/>
      <c r="X79" s="241"/>
      <c r="Y79" s="241"/>
      <c r="Z79" s="241"/>
      <c r="AA79" s="241"/>
    </row>
    <row r="80">
      <c r="A80" s="580"/>
      <c r="B80" s="879"/>
      <c r="C80" s="872"/>
      <c r="L80" s="241"/>
      <c r="M80" s="241"/>
      <c r="N80" s="241"/>
      <c r="O80" s="241"/>
      <c r="P80" s="241"/>
      <c r="Q80" s="241"/>
      <c r="R80" s="241"/>
      <c r="S80" s="241"/>
      <c r="T80" s="241"/>
      <c r="U80" s="241"/>
      <c r="V80" s="241"/>
      <c r="W80" s="241"/>
      <c r="X80" s="241"/>
      <c r="Y80" s="241"/>
      <c r="Z80" s="241"/>
      <c r="AA80" s="241"/>
    </row>
    <row r="81">
      <c r="A81" s="580"/>
      <c r="B81" s="879"/>
      <c r="C81" s="872"/>
      <c r="L81" s="241"/>
      <c r="M81" s="241"/>
      <c r="N81" s="241"/>
      <c r="O81" s="241"/>
      <c r="P81" s="241"/>
      <c r="Q81" s="241"/>
      <c r="R81" s="241"/>
      <c r="S81" s="241"/>
      <c r="T81" s="241"/>
      <c r="U81" s="241"/>
      <c r="V81" s="241"/>
      <c r="W81" s="241"/>
      <c r="X81" s="241"/>
      <c r="Y81" s="241"/>
      <c r="Z81" s="241"/>
      <c r="AA81" s="241"/>
    </row>
    <row r="82">
      <c r="A82" s="580"/>
      <c r="B82" s="879"/>
      <c r="C82" s="872"/>
      <c r="L82" s="241"/>
      <c r="M82" s="241"/>
      <c r="N82" s="241"/>
      <c r="O82" s="241"/>
      <c r="P82" s="241"/>
      <c r="Q82" s="241"/>
      <c r="R82" s="241"/>
      <c r="S82" s="241"/>
      <c r="T82" s="241"/>
      <c r="U82" s="241"/>
      <c r="V82" s="241"/>
      <c r="W82" s="241"/>
      <c r="X82" s="241"/>
      <c r="Y82" s="241"/>
      <c r="Z82" s="241"/>
      <c r="AA82" s="241"/>
    </row>
    <row r="83">
      <c r="A83" s="580"/>
      <c r="B83" s="879"/>
      <c r="C83" s="872"/>
      <c r="L83" s="241"/>
      <c r="M83" s="241"/>
      <c r="N83" s="241"/>
      <c r="O83" s="241"/>
      <c r="P83" s="241"/>
      <c r="Q83" s="241"/>
      <c r="R83" s="241"/>
      <c r="S83" s="241"/>
      <c r="T83" s="241"/>
      <c r="U83" s="241"/>
      <c r="V83" s="241"/>
      <c r="W83" s="241"/>
      <c r="X83" s="241"/>
      <c r="Y83" s="241"/>
      <c r="Z83" s="241"/>
      <c r="AA83" s="241"/>
    </row>
    <row r="84">
      <c r="A84" s="580"/>
      <c r="B84" s="879"/>
      <c r="C84" s="872"/>
      <c r="L84" s="241"/>
      <c r="M84" s="241"/>
      <c r="N84" s="241"/>
      <c r="O84" s="241"/>
      <c r="P84" s="241"/>
      <c r="Q84" s="241"/>
      <c r="R84" s="241"/>
      <c r="S84" s="241"/>
      <c r="T84" s="241"/>
      <c r="U84" s="241"/>
      <c r="V84" s="241"/>
      <c r="W84" s="241"/>
      <c r="X84" s="241"/>
      <c r="Y84" s="241"/>
      <c r="Z84" s="241"/>
      <c r="AA84" s="241"/>
    </row>
    <row r="85">
      <c r="A85" s="580"/>
      <c r="B85" s="879"/>
      <c r="C85" s="872"/>
      <c r="L85" s="241"/>
      <c r="M85" s="241"/>
      <c r="N85" s="241"/>
      <c r="O85" s="241"/>
      <c r="P85" s="241"/>
      <c r="Q85" s="241"/>
      <c r="R85" s="241"/>
      <c r="S85" s="241"/>
      <c r="T85" s="241"/>
      <c r="U85" s="241"/>
      <c r="V85" s="241"/>
      <c r="W85" s="241"/>
      <c r="X85" s="241"/>
      <c r="Y85" s="241"/>
      <c r="Z85" s="241"/>
      <c r="AA85" s="241"/>
    </row>
    <row r="86">
      <c r="A86" s="580"/>
      <c r="B86" s="879"/>
      <c r="C86" s="872"/>
      <c r="L86" s="241"/>
      <c r="M86" s="241"/>
      <c r="N86" s="241"/>
      <c r="O86" s="241"/>
      <c r="P86" s="241"/>
      <c r="Q86" s="241"/>
      <c r="R86" s="241"/>
      <c r="S86" s="241"/>
      <c r="T86" s="241"/>
      <c r="U86" s="241"/>
      <c r="V86" s="241"/>
      <c r="W86" s="241"/>
      <c r="X86" s="241"/>
      <c r="Y86" s="241"/>
      <c r="Z86" s="241"/>
      <c r="AA86" s="241"/>
    </row>
    <row r="87">
      <c r="A87" s="580"/>
      <c r="B87" s="879"/>
      <c r="C87" s="872"/>
      <c r="L87" s="241"/>
      <c r="M87" s="241"/>
      <c r="N87" s="241"/>
      <c r="O87" s="241"/>
      <c r="P87" s="241"/>
      <c r="Q87" s="241"/>
      <c r="R87" s="241"/>
      <c r="S87" s="241"/>
      <c r="T87" s="241"/>
      <c r="U87" s="241"/>
      <c r="V87" s="241"/>
      <c r="W87" s="241"/>
      <c r="X87" s="241"/>
      <c r="Y87" s="241"/>
      <c r="Z87" s="241"/>
      <c r="AA87" s="241"/>
    </row>
    <row r="88">
      <c r="A88" s="580"/>
      <c r="B88" s="879"/>
      <c r="C88" s="872"/>
      <c r="L88" s="241"/>
      <c r="M88" s="241"/>
      <c r="N88" s="241"/>
      <c r="O88" s="241"/>
      <c r="P88" s="241"/>
      <c r="Q88" s="241"/>
      <c r="R88" s="241"/>
      <c r="S88" s="241"/>
      <c r="T88" s="241"/>
      <c r="U88" s="241"/>
      <c r="V88" s="241"/>
      <c r="W88" s="241"/>
      <c r="X88" s="241"/>
      <c r="Y88" s="241"/>
      <c r="Z88" s="241"/>
      <c r="AA88" s="241"/>
    </row>
    <row r="89">
      <c r="A89" s="580"/>
      <c r="B89" s="879"/>
      <c r="C89" s="872"/>
      <c r="L89" s="241"/>
      <c r="M89" s="241"/>
      <c r="N89" s="241"/>
      <c r="O89" s="241"/>
      <c r="P89" s="241"/>
      <c r="Q89" s="241"/>
      <c r="R89" s="241"/>
      <c r="S89" s="241"/>
      <c r="T89" s="241"/>
      <c r="U89" s="241"/>
      <c r="V89" s="241"/>
      <c r="W89" s="241"/>
      <c r="X89" s="241"/>
      <c r="Y89" s="241"/>
      <c r="Z89" s="241"/>
      <c r="AA89" s="241"/>
    </row>
    <row r="90">
      <c r="A90" s="580"/>
      <c r="B90" s="879"/>
      <c r="C90" s="872"/>
      <c r="L90" s="241"/>
      <c r="M90" s="241"/>
      <c r="N90" s="241"/>
      <c r="O90" s="241"/>
      <c r="P90" s="241"/>
      <c r="Q90" s="241"/>
      <c r="R90" s="241"/>
      <c r="S90" s="241"/>
      <c r="T90" s="241"/>
      <c r="U90" s="241"/>
      <c r="V90" s="241"/>
      <c r="W90" s="241"/>
      <c r="X90" s="241"/>
      <c r="Y90" s="241"/>
      <c r="Z90" s="241"/>
      <c r="AA90" s="241"/>
    </row>
    <row r="91">
      <c r="A91" s="580"/>
      <c r="B91" s="879"/>
      <c r="C91" s="872"/>
      <c r="L91" s="241"/>
      <c r="M91" s="241"/>
      <c r="N91" s="241"/>
      <c r="O91" s="241"/>
      <c r="P91" s="241"/>
      <c r="Q91" s="241"/>
      <c r="R91" s="241"/>
      <c r="S91" s="241"/>
      <c r="T91" s="241"/>
      <c r="U91" s="241"/>
      <c r="V91" s="241"/>
      <c r="W91" s="241"/>
      <c r="X91" s="241"/>
      <c r="Y91" s="241"/>
      <c r="Z91" s="241"/>
      <c r="AA91" s="241"/>
    </row>
    <row r="92">
      <c r="A92" s="580"/>
      <c r="B92" s="879"/>
      <c r="C92" s="872"/>
      <c r="L92" s="241"/>
      <c r="M92" s="241"/>
      <c r="N92" s="241"/>
      <c r="O92" s="241"/>
      <c r="P92" s="241"/>
      <c r="Q92" s="241"/>
      <c r="R92" s="241"/>
      <c r="S92" s="241"/>
      <c r="T92" s="241"/>
      <c r="U92" s="241"/>
      <c r="V92" s="241"/>
      <c r="W92" s="241"/>
      <c r="X92" s="241"/>
      <c r="Y92" s="241"/>
      <c r="Z92" s="241"/>
      <c r="AA92" s="241"/>
    </row>
    <row r="93">
      <c r="A93" s="580"/>
      <c r="B93" s="879"/>
      <c r="C93" s="872"/>
      <c r="L93" s="241"/>
      <c r="M93" s="241"/>
      <c r="N93" s="241"/>
      <c r="O93" s="241"/>
      <c r="P93" s="241"/>
      <c r="Q93" s="241"/>
      <c r="R93" s="241"/>
      <c r="S93" s="241"/>
      <c r="T93" s="241"/>
      <c r="U93" s="241"/>
      <c r="V93" s="241"/>
      <c r="W93" s="241"/>
      <c r="X93" s="241"/>
      <c r="Y93" s="241"/>
      <c r="Z93" s="241"/>
      <c r="AA93" s="241"/>
    </row>
    <row r="94">
      <c r="A94" s="580"/>
      <c r="B94" s="879"/>
      <c r="C94" s="872"/>
      <c r="L94" s="241"/>
      <c r="M94" s="241"/>
      <c r="N94" s="241"/>
      <c r="O94" s="241"/>
      <c r="P94" s="241"/>
      <c r="Q94" s="241"/>
      <c r="R94" s="241"/>
      <c r="S94" s="241"/>
      <c r="T94" s="241"/>
      <c r="U94" s="241"/>
      <c r="V94" s="241"/>
      <c r="W94" s="241"/>
      <c r="X94" s="241"/>
      <c r="Y94" s="241"/>
      <c r="Z94" s="241"/>
      <c r="AA94" s="241"/>
    </row>
    <row r="95">
      <c r="A95" s="580"/>
      <c r="B95" s="879"/>
      <c r="C95" s="872"/>
      <c r="L95" s="241"/>
      <c r="M95" s="241"/>
      <c r="N95" s="241"/>
      <c r="O95" s="241"/>
      <c r="P95" s="241"/>
      <c r="Q95" s="241"/>
      <c r="R95" s="241"/>
      <c r="S95" s="241"/>
      <c r="T95" s="241"/>
      <c r="U95" s="241"/>
      <c r="V95" s="241"/>
      <c r="W95" s="241"/>
      <c r="X95" s="241"/>
      <c r="Y95" s="241"/>
      <c r="Z95" s="241"/>
      <c r="AA95" s="241"/>
    </row>
    <row r="96">
      <c r="A96" s="580"/>
      <c r="B96" s="879"/>
      <c r="C96" s="872"/>
      <c r="L96" s="241"/>
      <c r="M96" s="241"/>
      <c r="N96" s="241"/>
      <c r="O96" s="241"/>
      <c r="P96" s="241"/>
      <c r="Q96" s="241"/>
      <c r="R96" s="241"/>
      <c r="S96" s="241"/>
      <c r="T96" s="241"/>
      <c r="U96" s="241"/>
      <c r="V96" s="241"/>
      <c r="W96" s="241"/>
      <c r="X96" s="241"/>
      <c r="Y96" s="241"/>
      <c r="Z96" s="241"/>
      <c r="AA96" s="241"/>
    </row>
    <row r="97">
      <c r="A97" s="580"/>
      <c r="B97" s="879"/>
      <c r="C97" s="872"/>
      <c r="L97" s="241"/>
      <c r="M97" s="241"/>
      <c r="N97" s="241"/>
      <c r="O97" s="241"/>
      <c r="P97" s="241"/>
      <c r="Q97" s="241"/>
      <c r="R97" s="241"/>
      <c r="S97" s="241"/>
      <c r="T97" s="241"/>
      <c r="U97" s="241"/>
      <c r="V97" s="241"/>
      <c r="W97" s="241"/>
      <c r="X97" s="241"/>
      <c r="Y97" s="241"/>
      <c r="Z97" s="241"/>
      <c r="AA97" s="241"/>
    </row>
    <row r="98">
      <c r="A98" s="580"/>
      <c r="B98" s="879"/>
      <c r="C98" s="872"/>
      <c r="L98" s="241"/>
      <c r="M98" s="241"/>
      <c r="N98" s="241"/>
      <c r="O98" s="241"/>
      <c r="P98" s="241"/>
      <c r="Q98" s="241"/>
      <c r="R98" s="241"/>
      <c r="S98" s="241"/>
      <c r="T98" s="241"/>
      <c r="U98" s="241"/>
      <c r="V98" s="241"/>
      <c r="W98" s="241"/>
      <c r="X98" s="241"/>
      <c r="Y98" s="241"/>
      <c r="Z98" s="241"/>
      <c r="AA98" s="241"/>
    </row>
    <row r="99">
      <c r="A99" s="580"/>
      <c r="B99" s="879"/>
      <c r="C99" s="872"/>
      <c r="L99" s="241"/>
      <c r="M99" s="241"/>
      <c r="N99" s="241"/>
      <c r="O99" s="241"/>
      <c r="P99" s="241"/>
      <c r="Q99" s="241"/>
      <c r="R99" s="241"/>
      <c r="S99" s="241"/>
      <c r="T99" s="241"/>
      <c r="U99" s="241"/>
      <c r="V99" s="241"/>
      <c r="W99" s="241"/>
      <c r="X99" s="241"/>
      <c r="Y99" s="241"/>
      <c r="Z99" s="241"/>
      <c r="AA99" s="241"/>
    </row>
    <row r="100">
      <c r="A100" s="580"/>
      <c r="B100" s="879"/>
      <c r="C100" s="872"/>
      <c r="L100" s="241"/>
      <c r="M100" s="241"/>
      <c r="N100" s="241"/>
      <c r="O100" s="241"/>
      <c r="P100" s="241"/>
      <c r="Q100" s="241"/>
      <c r="R100" s="241"/>
      <c r="S100" s="241"/>
      <c r="T100" s="241"/>
      <c r="U100" s="241"/>
      <c r="V100" s="241"/>
      <c r="W100" s="241"/>
      <c r="X100" s="241"/>
      <c r="Y100" s="241"/>
      <c r="Z100" s="241"/>
      <c r="AA100" s="241"/>
    </row>
    <row r="101">
      <c r="A101" s="580"/>
      <c r="B101" s="879"/>
      <c r="C101" s="872"/>
      <c r="L101" s="241"/>
      <c r="M101" s="241"/>
      <c r="N101" s="241"/>
      <c r="O101" s="241"/>
      <c r="P101" s="241"/>
      <c r="Q101" s="241"/>
      <c r="R101" s="241"/>
      <c r="S101" s="241"/>
      <c r="T101" s="241"/>
      <c r="U101" s="241"/>
      <c r="V101" s="241"/>
      <c r="W101" s="241"/>
      <c r="X101" s="241"/>
      <c r="Y101" s="241"/>
      <c r="Z101" s="241"/>
      <c r="AA101" s="241"/>
    </row>
    <row r="102">
      <c r="A102" s="580"/>
      <c r="B102" s="879"/>
      <c r="C102" s="872"/>
      <c r="L102" s="241"/>
      <c r="M102" s="241"/>
      <c r="N102" s="241"/>
      <c r="O102" s="241"/>
      <c r="P102" s="241"/>
      <c r="Q102" s="241"/>
      <c r="R102" s="241"/>
      <c r="S102" s="241"/>
      <c r="T102" s="241"/>
      <c r="U102" s="241"/>
      <c r="V102" s="241"/>
      <c r="W102" s="241"/>
      <c r="X102" s="241"/>
      <c r="Y102" s="241"/>
      <c r="Z102" s="241"/>
      <c r="AA102" s="241"/>
    </row>
    <row r="103">
      <c r="A103" s="580"/>
      <c r="B103" s="879"/>
      <c r="C103" s="872"/>
      <c r="L103" s="241"/>
      <c r="M103" s="241"/>
      <c r="N103" s="241"/>
      <c r="O103" s="241"/>
      <c r="P103" s="241"/>
      <c r="Q103" s="241"/>
      <c r="R103" s="241"/>
      <c r="S103" s="241"/>
      <c r="T103" s="241"/>
      <c r="U103" s="241"/>
      <c r="V103" s="241"/>
      <c r="W103" s="241"/>
      <c r="X103" s="241"/>
      <c r="Y103" s="241"/>
      <c r="Z103" s="241"/>
      <c r="AA103" s="241"/>
    </row>
    <row r="104">
      <c r="A104" s="580"/>
      <c r="B104" s="879"/>
      <c r="C104" s="872"/>
      <c r="L104" s="241"/>
      <c r="M104" s="241"/>
      <c r="N104" s="241"/>
      <c r="O104" s="241"/>
      <c r="P104" s="241"/>
      <c r="Q104" s="241"/>
      <c r="R104" s="241"/>
      <c r="S104" s="241"/>
      <c r="T104" s="241"/>
      <c r="U104" s="241"/>
      <c r="V104" s="241"/>
      <c r="W104" s="241"/>
      <c r="X104" s="241"/>
      <c r="Y104" s="241"/>
      <c r="Z104" s="241"/>
      <c r="AA104" s="241"/>
    </row>
    <row r="105">
      <c r="A105" s="580"/>
      <c r="B105" s="879"/>
      <c r="C105" s="872"/>
      <c r="L105" s="241"/>
      <c r="M105" s="241"/>
      <c r="N105" s="241"/>
      <c r="O105" s="241"/>
      <c r="P105" s="241"/>
      <c r="Q105" s="241"/>
      <c r="R105" s="241"/>
      <c r="S105" s="241"/>
      <c r="T105" s="241"/>
      <c r="U105" s="241"/>
      <c r="V105" s="241"/>
      <c r="W105" s="241"/>
      <c r="X105" s="241"/>
      <c r="Y105" s="241"/>
      <c r="Z105" s="241"/>
      <c r="AA105" s="241"/>
    </row>
    <row r="106">
      <c r="A106" s="580"/>
      <c r="B106" s="879"/>
      <c r="C106" s="872"/>
      <c r="L106" s="241"/>
      <c r="M106" s="241"/>
      <c r="N106" s="241"/>
      <c r="O106" s="241"/>
      <c r="P106" s="241"/>
      <c r="Q106" s="241"/>
      <c r="R106" s="241"/>
      <c r="S106" s="241"/>
      <c r="T106" s="241"/>
      <c r="U106" s="241"/>
      <c r="V106" s="241"/>
      <c r="W106" s="241"/>
      <c r="X106" s="241"/>
      <c r="Y106" s="241"/>
      <c r="Z106" s="241"/>
      <c r="AA106" s="241"/>
    </row>
    <row r="107">
      <c r="A107" s="580"/>
      <c r="B107" s="879"/>
      <c r="C107" s="872"/>
      <c r="L107" s="241"/>
      <c r="M107" s="241"/>
      <c r="N107" s="241"/>
      <c r="O107" s="241"/>
      <c r="P107" s="241"/>
      <c r="Q107" s="241"/>
      <c r="R107" s="241"/>
      <c r="S107" s="241"/>
      <c r="T107" s="241"/>
      <c r="U107" s="241"/>
      <c r="V107" s="241"/>
      <c r="W107" s="241"/>
      <c r="X107" s="241"/>
      <c r="Y107" s="241"/>
      <c r="Z107" s="241"/>
      <c r="AA107" s="241"/>
    </row>
    <row r="108">
      <c r="A108" s="580"/>
      <c r="B108" s="879"/>
      <c r="C108" s="872"/>
      <c r="L108" s="241"/>
      <c r="M108" s="241"/>
      <c r="N108" s="241"/>
      <c r="O108" s="241"/>
      <c r="P108" s="241"/>
      <c r="Q108" s="241"/>
      <c r="R108" s="241"/>
      <c r="S108" s="241"/>
      <c r="T108" s="241"/>
      <c r="U108" s="241"/>
      <c r="V108" s="241"/>
      <c r="W108" s="241"/>
      <c r="X108" s="241"/>
      <c r="Y108" s="241"/>
      <c r="Z108" s="241"/>
      <c r="AA108" s="241"/>
    </row>
    <row r="109">
      <c r="A109" s="243"/>
      <c r="B109" s="243"/>
      <c r="C109" s="241"/>
      <c r="D109" s="241"/>
      <c r="E109" s="241"/>
      <c r="F109" s="241"/>
      <c r="G109" s="241"/>
      <c r="H109" s="241"/>
      <c r="I109" s="241"/>
      <c r="J109" s="241"/>
      <c r="K109" s="241"/>
      <c r="L109" s="241"/>
      <c r="M109" s="241"/>
      <c r="N109" s="241"/>
      <c r="O109" s="241"/>
      <c r="P109" s="241"/>
      <c r="Q109" s="241"/>
      <c r="R109" s="241"/>
      <c r="S109" s="241"/>
      <c r="T109" s="241"/>
      <c r="U109" s="241"/>
      <c r="V109" s="241"/>
      <c r="W109" s="241"/>
      <c r="X109" s="241"/>
      <c r="Y109" s="241"/>
      <c r="Z109" s="241"/>
      <c r="AA109" s="241"/>
    </row>
    <row r="110">
      <c r="A110" s="243"/>
      <c r="B110" s="243"/>
      <c r="C110" s="241"/>
      <c r="D110" s="241"/>
      <c r="E110" s="241"/>
      <c r="F110" s="241"/>
      <c r="G110" s="241"/>
      <c r="H110" s="241"/>
      <c r="I110" s="241"/>
      <c r="J110" s="241"/>
      <c r="K110" s="241"/>
      <c r="L110" s="241"/>
      <c r="M110" s="241"/>
      <c r="N110" s="241"/>
      <c r="O110" s="241"/>
      <c r="P110" s="241"/>
      <c r="Q110" s="241"/>
      <c r="R110" s="241"/>
      <c r="S110" s="241"/>
      <c r="T110" s="241"/>
      <c r="U110" s="241"/>
      <c r="V110" s="241"/>
      <c r="W110" s="241"/>
      <c r="X110" s="241"/>
      <c r="Y110" s="241"/>
      <c r="Z110" s="241"/>
      <c r="AA110" s="241"/>
    </row>
    <row r="111">
      <c r="A111" s="243"/>
      <c r="B111" s="243"/>
      <c r="C111" s="241"/>
      <c r="D111" s="241"/>
      <c r="E111" s="241"/>
      <c r="F111" s="241"/>
      <c r="G111" s="241"/>
      <c r="H111" s="241"/>
      <c r="I111" s="241"/>
      <c r="J111" s="241"/>
      <c r="K111" s="241"/>
      <c r="L111" s="241"/>
      <c r="M111" s="241"/>
      <c r="N111" s="241"/>
      <c r="O111" s="241"/>
      <c r="P111" s="241"/>
      <c r="Q111" s="241"/>
      <c r="R111" s="241"/>
      <c r="S111" s="241"/>
      <c r="T111" s="241"/>
      <c r="U111" s="241"/>
      <c r="V111" s="241"/>
      <c r="W111" s="241"/>
      <c r="X111" s="241"/>
      <c r="Y111" s="241"/>
      <c r="Z111" s="241"/>
      <c r="AA111" s="241"/>
    </row>
    <row r="112">
      <c r="A112" s="243"/>
      <c r="B112" s="243"/>
      <c r="C112" s="241"/>
      <c r="D112" s="241"/>
      <c r="E112" s="241"/>
      <c r="F112" s="241"/>
      <c r="G112" s="241"/>
      <c r="H112" s="241"/>
      <c r="I112" s="241"/>
      <c r="J112" s="241"/>
      <c r="K112" s="241"/>
      <c r="L112" s="241"/>
      <c r="M112" s="241"/>
      <c r="N112" s="241"/>
      <c r="O112" s="241"/>
      <c r="P112" s="241"/>
      <c r="Q112" s="241"/>
      <c r="R112" s="241"/>
      <c r="S112" s="241"/>
      <c r="T112" s="241"/>
      <c r="U112" s="241"/>
      <c r="V112" s="241"/>
      <c r="W112" s="241"/>
      <c r="X112" s="241"/>
      <c r="Y112" s="241"/>
      <c r="Z112" s="241"/>
      <c r="AA112" s="241"/>
    </row>
    <row r="113">
      <c r="A113" s="243"/>
      <c r="B113" s="243"/>
      <c r="C113" s="241"/>
      <c r="D113" s="241"/>
      <c r="E113" s="241"/>
      <c r="F113" s="241"/>
      <c r="G113" s="241"/>
      <c r="H113" s="241"/>
      <c r="I113" s="241"/>
      <c r="J113" s="241"/>
      <c r="K113" s="241"/>
      <c r="L113" s="241"/>
      <c r="M113" s="241"/>
      <c r="N113" s="241"/>
      <c r="O113" s="241"/>
      <c r="P113" s="241"/>
      <c r="Q113" s="241"/>
      <c r="R113" s="241"/>
      <c r="S113" s="241"/>
      <c r="T113" s="241"/>
      <c r="U113" s="241"/>
      <c r="V113" s="241"/>
      <c r="W113" s="241"/>
      <c r="X113" s="241"/>
      <c r="Y113" s="241"/>
      <c r="Z113" s="241"/>
      <c r="AA113" s="241"/>
    </row>
    <row r="114">
      <c r="A114" s="243"/>
      <c r="B114" s="243"/>
      <c r="C114" s="241"/>
      <c r="D114" s="241"/>
      <c r="E114" s="241"/>
      <c r="F114" s="241"/>
      <c r="G114" s="241"/>
      <c r="H114" s="241"/>
      <c r="I114" s="241"/>
      <c r="J114" s="241"/>
      <c r="K114" s="241"/>
      <c r="L114" s="241"/>
      <c r="M114" s="241"/>
      <c r="N114" s="241"/>
      <c r="O114" s="241"/>
      <c r="P114" s="241"/>
      <c r="Q114" s="241"/>
      <c r="R114" s="241"/>
      <c r="S114" s="241"/>
      <c r="T114" s="241"/>
      <c r="U114" s="241"/>
      <c r="V114" s="241"/>
      <c r="W114" s="241"/>
      <c r="X114" s="241"/>
      <c r="Y114" s="241"/>
      <c r="Z114" s="241"/>
      <c r="AA114" s="241"/>
    </row>
    <row r="115">
      <c r="A115" s="243"/>
      <c r="B115" s="243"/>
      <c r="C115" s="241"/>
      <c r="D115" s="241"/>
      <c r="E115" s="241"/>
      <c r="F115" s="241"/>
      <c r="G115" s="241"/>
      <c r="H115" s="241"/>
      <c r="I115" s="241"/>
      <c r="J115" s="241"/>
      <c r="K115" s="241"/>
      <c r="L115" s="241"/>
      <c r="M115" s="241"/>
      <c r="N115" s="241"/>
      <c r="O115" s="241"/>
      <c r="P115" s="241"/>
      <c r="Q115" s="241"/>
      <c r="R115" s="241"/>
      <c r="S115" s="241"/>
      <c r="T115" s="241"/>
      <c r="U115" s="241"/>
      <c r="V115" s="241"/>
      <c r="W115" s="241"/>
      <c r="X115" s="241"/>
      <c r="Y115" s="241"/>
      <c r="Z115" s="241"/>
      <c r="AA115" s="241"/>
    </row>
    <row r="116">
      <c r="A116" s="243"/>
      <c r="B116" s="243"/>
      <c r="C116" s="241"/>
      <c r="D116" s="241"/>
      <c r="E116" s="241"/>
      <c r="F116" s="241"/>
      <c r="G116" s="241"/>
      <c r="H116" s="241"/>
      <c r="I116" s="241"/>
      <c r="J116" s="241"/>
      <c r="K116" s="241"/>
      <c r="L116" s="241"/>
      <c r="M116" s="241"/>
      <c r="N116" s="241"/>
      <c r="O116" s="241"/>
      <c r="P116" s="241"/>
      <c r="Q116" s="241"/>
      <c r="R116" s="241"/>
      <c r="S116" s="241"/>
      <c r="T116" s="241"/>
      <c r="U116" s="241"/>
      <c r="V116" s="241"/>
      <c r="W116" s="241"/>
      <c r="X116" s="241"/>
      <c r="Y116" s="241"/>
      <c r="Z116" s="241"/>
      <c r="AA116" s="241"/>
    </row>
    <row r="117">
      <c r="A117" s="243"/>
      <c r="B117" s="243"/>
      <c r="C117" s="241"/>
      <c r="D117" s="241"/>
      <c r="E117" s="241"/>
      <c r="F117" s="241"/>
      <c r="G117" s="241"/>
      <c r="H117" s="241"/>
      <c r="I117" s="241"/>
      <c r="J117" s="241"/>
      <c r="K117" s="241"/>
      <c r="L117" s="241"/>
      <c r="M117" s="241"/>
      <c r="N117" s="241"/>
      <c r="O117" s="241"/>
      <c r="P117" s="241"/>
      <c r="Q117" s="241"/>
      <c r="R117" s="241"/>
      <c r="S117" s="241"/>
      <c r="T117" s="241"/>
      <c r="U117" s="241"/>
      <c r="V117" s="241"/>
      <c r="W117" s="241"/>
      <c r="X117" s="241"/>
      <c r="Y117" s="241"/>
      <c r="Z117" s="241"/>
      <c r="AA117" s="241"/>
    </row>
    <row r="118">
      <c r="A118" s="243"/>
      <c r="B118" s="243"/>
      <c r="C118" s="241"/>
      <c r="D118" s="241"/>
      <c r="E118" s="241"/>
      <c r="F118" s="241"/>
      <c r="G118" s="241"/>
      <c r="H118" s="241"/>
      <c r="I118" s="241"/>
      <c r="J118" s="241"/>
      <c r="K118" s="241"/>
      <c r="L118" s="241"/>
      <c r="M118" s="241"/>
      <c r="N118" s="241"/>
      <c r="O118" s="241"/>
      <c r="P118" s="241"/>
      <c r="Q118" s="241"/>
      <c r="R118" s="241"/>
      <c r="S118" s="241"/>
      <c r="T118" s="241"/>
      <c r="U118" s="241"/>
      <c r="V118" s="241"/>
      <c r="W118" s="241"/>
      <c r="X118" s="241"/>
      <c r="Y118" s="241"/>
      <c r="Z118" s="241"/>
      <c r="AA118" s="241"/>
    </row>
    <row r="119">
      <c r="A119" s="243"/>
      <c r="B119" s="243"/>
      <c r="C119" s="241"/>
      <c r="D119" s="241"/>
      <c r="E119" s="241"/>
      <c r="F119" s="241"/>
      <c r="G119" s="241"/>
      <c r="H119" s="241"/>
      <c r="I119" s="241"/>
      <c r="J119" s="241"/>
      <c r="K119" s="241"/>
      <c r="L119" s="241"/>
      <c r="M119" s="241"/>
      <c r="N119" s="241"/>
      <c r="O119" s="241"/>
      <c r="P119" s="241"/>
      <c r="Q119" s="241"/>
      <c r="R119" s="241"/>
      <c r="S119" s="241"/>
      <c r="T119" s="241"/>
      <c r="U119" s="241"/>
      <c r="V119" s="241"/>
      <c r="W119" s="241"/>
      <c r="X119" s="241"/>
      <c r="Y119" s="241"/>
      <c r="Z119" s="241"/>
      <c r="AA119" s="241"/>
    </row>
    <row r="120">
      <c r="A120" s="243"/>
      <c r="B120" s="243"/>
      <c r="C120" s="241"/>
      <c r="D120" s="241"/>
      <c r="E120" s="241"/>
      <c r="F120" s="241"/>
      <c r="G120" s="241"/>
      <c r="H120" s="241"/>
      <c r="I120" s="241"/>
      <c r="J120" s="241"/>
      <c r="K120" s="241"/>
      <c r="L120" s="241"/>
      <c r="M120" s="241"/>
      <c r="N120" s="241"/>
      <c r="O120" s="241"/>
      <c r="P120" s="241"/>
      <c r="Q120" s="241"/>
      <c r="R120" s="241"/>
      <c r="S120" s="241"/>
      <c r="T120" s="241"/>
      <c r="U120" s="241"/>
      <c r="V120" s="241"/>
      <c r="W120" s="241"/>
      <c r="X120" s="241"/>
      <c r="Y120" s="241"/>
      <c r="Z120" s="241"/>
      <c r="AA120" s="241"/>
    </row>
    <row r="121">
      <c r="A121" s="243"/>
      <c r="B121" s="243"/>
      <c r="C121" s="241"/>
      <c r="D121" s="241"/>
      <c r="E121" s="241"/>
      <c r="F121" s="241"/>
      <c r="G121" s="241"/>
      <c r="H121" s="241"/>
      <c r="I121" s="241"/>
      <c r="J121" s="241"/>
      <c r="K121" s="241"/>
      <c r="L121" s="241"/>
      <c r="M121" s="241"/>
      <c r="N121" s="241"/>
      <c r="O121" s="241"/>
      <c r="P121" s="241"/>
      <c r="Q121" s="241"/>
      <c r="R121" s="241"/>
      <c r="S121" s="241"/>
      <c r="T121" s="241"/>
      <c r="U121" s="241"/>
      <c r="V121" s="241"/>
      <c r="W121" s="241"/>
      <c r="X121" s="241"/>
      <c r="Y121" s="241"/>
      <c r="Z121" s="241"/>
      <c r="AA121" s="241"/>
    </row>
    <row r="122">
      <c r="A122" s="243"/>
      <c r="B122" s="243"/>
      <c r="C122" s="241"/>
      <c r="D122" s="241"/>
      <c r="E122" s="241"/>
      <c r="F122" s="241"/>
      <c r="G122" s="241"/>
      <c r="H122" s="241"/>
      <c r="I122" s="241"/>
      <c r="J122" s="241"/>
      <c r="K122" s="241"/>
      <c r="L122" s="241"/>
      <c r="M122" s="241"/>
      <c r="N122" s="241"/>
      <c r="O122" s="241"/>
      <c r="P122" s="241"/>
      <c r="Q122" s="241"/>
      <c r="R122" s="241"/>
      <c r="S122" s="241"/>
      <c r="T122" s="241"/>
      <c r="U122" s="241"/>
      <c r="V122" s="241"/>
      <c r="W122" s="241"/>
      <c r="X122" s="241"/>
      <c r="Y122" s="241"/>
      <c r="Z122" s="241"/>
      <c r="AA122" s="241"/>
    </row>
    <row r="123">
      <c r="A123" s="243"/>
      <c r="B123" s="243"/>
      <c r="C123" s="241"/>
      <c r="D123" s="241"/>
      <c r="E123" s="241"/>
      <c r="F123" s="241"/>
      <c r="G123" s="241"/>
      <c r="H123" s="241"/>
      <c r="I123" s="241"/>
      <c r="J123" s="241"/>
      <c r="K123" s="241"/>
      <c r="L123" s="241"/>
      <c r="M123" s="241"/>
      <c r="N123" s="241"/>
      <c r="O123" s="241"/>
      <c r="P123" s="241"/>
      <c r="Q123" s="241"/>
      <c r="R123" s="241"/>
      <c r="S123" s="241"/>
      <c r="T123" s="241"/>
      <c r="U123" s="241"/>
      <c r="V123" s="241"/>
      <c r="W123" s="241"/>
      <c r="X123" s="241"/>
      <c r="Y123" s="241"/>
      <c r="Z123" s="241"/>
      <c r="AA123" s="241"/>
    </row>
    <row r="124">
      <c r="A124" s="243"/>
      <c r="B124" s="243"/>
      <c r="C124" s="241"/>
      <c r="D124" s="241"/>
      <c r="E124" s="241"/>
      <c r="F124" s="241"/>
      <c r="G124" s="241"/>
      <c r="H124" s="241"/>
      <c r="I124" s="241"/>
      <c r="J124" s="241"/>
      <c r="K124" s="241"/>
      <c r="L124" s="241"/>
      <c r="M124" s="241"/>
      <c r="N124" s="241"/>
      <c r="O124" s="241"/>
      <c r="P124" s="241"/>
      <c r="Q124" s="241"/>
      <c r="R124" s="241"/>
      <c r="S124" s="241"/>
      <c r="T124" s="241"/>
      <c r="U124" s="241"/>
      <c r="V124" s="241"/>
      <c r="W124" s="241"/>
      <c r="X124" s="241"/>
      <c r="Y124" s="241"/>
      <c r="Z124" s="241"/>
      <c r="AA124" s="241"/>
    </row>
    <row r="125">
      <c r="A125" s="243"/>
      <c r="B125" s="243"/>
      <c r="C125" s="241"/>
      <c r="D125" s="241"/>
      <c r="E125" s="241"/>
      <c r="F125" s="241"/>
      <c r="G125" s="241"/>
      <c r="H125" s="241"/>
      <c r="I125" s="241"/>
      <c r="J125" s="241"/>
      <c r="K125" s="241"/>
      <c r="L125" s="241"/>
      <c r="M125" s="241"/>
      <c r="N125" s="241"/>
      <c r="O125" s="241"/>
      <c r="P125" s="241"/>
      <c r="Q125" s="241"/>
      <c r="R125" s="241"/>
      <c r="S125" s="241"/>
      <c r="T125" s="241"/>
      <c r="U125" s="241"/>
      <c r="V125" s="241"/>
      <c r="W125" s="241"/>
      <c r="X125" s="241"/>
      <c r="Y125" s="241"/>
      <c r="Z125" s="241"/>
      <c r="AA125" s="241"/>
    </row>
    <row r="126">
      <c r="A126" s="243"/>
      <c r="B126" s="243"/>
      <c r="C126" s="241"/>
      <c r="D126" s="241"/>
      <c r="E126" s="241"/>
      <c r="F126" s="241"/>
      <c r="G126" s="241"/>
      <c r="H126" s="241"/>
      <c r="I126" s="241"/>
      <c r="J126" s="241"/>
      <c r="K126" s="241"/>
      <c r="L126" s="241"/>
      <c r="M126" s="241"/>
      <c r="N126" s="241"/>
      <c r="O126" s="241"/>
      <c r="P126" s="241"/>
      <c r="Q126" s="241"/>
      <c r="R126" s="241"/>
      <c r="S126" s="241"/>
      <c r="T126" s="241"/>
      <c r="U126" s="241"/>
      <c r="V126" s="241"/>
      <c r="W126" s="241"/>
      <c r="X126" s="241"/>
      <c r="Y126" s="241"/>
      <c r="Z126" s="241"/>
      <c r="AA126" s="241"/>
    </row>
    <row r="127">
      <c r="A127" s="243"/>
      <c r="B127" s="243"/>
      <c r="C127" s="241"/>
      <c r="D127" s="241"/>
      <c r="E127" s="241"/>
      <c r="F127" s="241"/>
      <c r="G127" s="241"/>
      <c r="H127" s="241"/>
      <c r="I127" s="241"/>
      <c r="J127" s="241"/>
      <c r="K127" s="241"/>
      <c r="L127" s="241"/>
      <c r="M127" s="241"/>
      <c r="N127" s="241"/>
      <c r="O127" s="241"/>
      <c r="P127" s="241"/>
      <c r="Q127" s="241"/>
      <c r="R127" s="241"/>
      <c r="S127" s="241"/>
      <c r="T127" s="241"/>
      <c r="U127" s="241"/>
      <c r="V127" s="241"/>
      <c r="W127" s="241"/>
      <c r="X127" s="241"/>
      <c r="Y127" s="241"/>
      <c r="Z127" s="241"/>
      <c r="AA127" s="241"/>
    </row>
    <row r="128">
      <c r="A128" s="243"/>
      <c r="B128" s="243"/>
      <c r="C128" s="241"/>
      <c r="D128" s="241"/>
      <c r="E128" s="241"/>
      <c r="F128" s="241"/>
      <c r="G128" s="241"/>
      <c r="H128" s="241"/>
      <c r="I128" s="241"/>
      <c r="J128" s="241"/>
      <c r="K128" s="241"/>
      <c r="L128" s="241"/>
      <c r="M128" s="241"/>
      <c r="N128" s="241"/>
      <c r="O128" s="241"/>
      <c r="P128" s="241"/>
      <c r="Q128" s="241"/>
      <c r="R128" s="241"/>
      <c r="S128" s="241"/>
      <c r="T128" s="241"/>
      <c r="U128" s="241"/>
      <c r="V128" s="241"/>
      <c r="W128" s="241"/>
      <c r="X128" s="241"/>
      <c r="Y128" s="241"/>
      <c r="Z128" s="241"/>
      <c r="AA128" s="241"/>
    </row>
    <row r="129">
      <c r="A129" s="243"/>
      <c r="B129" s="243"/>
      <c r="C129" s="241"/>
      <c r="D129" s="241"/>
      <c r="E129" s="241"/>
      <c r="F129" s="241"/>
      <c r="G129" s="241"/>
      <c r="H129" s="241"/>
      <c r="I129" s="241"/>
      <c r="J129" s="241"/>
      <c r="K129" s="241"/>
      <c r="L129" s="241"/>
      <c r="M129" s="241"/>
      <c r="N129" s="241"/>
      <c r="O129" s="241"/>
      <c r="P129" s="241"/>
      <c r="Q129" s="241"/>
      <c r="R129" s="241"/>
      <c r="S129" s="241"/>
      <c r="T129" s="241"/>
      <c r="U129" s="241"/>
      <c r="V129" s="241"/>
      <c r="W129" s="241"/>
      <c r="X129" s="241"/>
      <c r="Y129" s="241"/>
      <c r="Z129" s="241"/>
      <c r="AA129" s="241"/>
    </row>
    <row r="130">
      <c r="A130" s="243"/>
      <c r="B130" s="243"/>
      <c r="C130" s="241"/>
      <c r="D130" s="241"/>
      <c r="E130" s="241"/>
      <c r="F130" s="241"/>
      <c r="G130" s="241"/>
      <c r="H130" s="241"/>
      <c r="I130" s="241"/>
      <c r="J130" s="241"/>
      <c r="K130" s="241"/>
      <c r="L130" s="241"/>
      <c r="M130" s="241"/>
      <c r="N130" s="241"/>
      <c r="O130" s="241"/>
      <c r="P130" s="241"/>
      <c r="Q130" s="241"/>
      <c r="R130" s="241"/>
      <c r="S130" s="241"/>
      <c r="T130" s="241"/>
      <c r="U130" s="241"/>
      <c r="V130" s="241"/>
      <c r="W130" s="241"/>
      <c r="X130" s="241"/>
      <c r="Y130" s="241"/>
      <c r="Z130" s="241"/>
      <c r="AA130" s="241"/>
    </row>
    <row r="131">
      <c r="A131" s="243"/>
      <c r="B131" s="243"/>
      <c r="C131" s="241"/>
      <c r="D131" s="241"/>
      <c r="E131" s="241"/>
      <c r="F131" s="241"/>
      <c r="G131" s="241"/>
      <c r="H131" s="241"/>
      <c r="I131" s="241"/>
      <c r="J131" s="241"/>
      <c r="K131" s="241"/>
      <c r="L131" s="241"/>
      <c r="M131" s="241"/>
      <c r="N131" s="241"/>
      <c r="O131" s="241"/>
      <c r="P131" s="241"/>
      <c r="Q131" s="241"/>
      <c r="R131" s="241"/>
      <c r="S131" s="241"/>
      <c r="T131" s="241"/>
      <c r="U131" s="241"/>
      <c r="V131" s="241"/>
      <c r="W131" s="241"/>
      <c r="X131" s="241"/>
      <c r="Y131" s="241"/>
      <c r="Z131" s="241"/>
      <c r="AA131" s="241"/>
    </row>
    <row r="132">
      <c r="A132" s="243"/>
      <c r="B132" s="243"/>
      <c r="C132" s="241"/>
      <c r="D132" s="241"/>
      <c r="E132" s="241"/>
      <c r="F132" s="241"/>
      <c r="G132" s="241"/>
      <c r="H132" s="241"/>
      <c r="I132" s="241"/>
      <c r="J132" s="241"/>
      <c r="K132" s="241"/>
      <c r="L132" s="241"/>
      <c r="M132" s="241"/>
      <c r="N132" s="241"/>
      <c r="O132" s="241"/>
      <c r="P132" s="241"/>
      <c r="Q132" s="241"/>
      <c r="R132" s="241"/>
      <c r="S132" s="241"/>
      <c r="T132" s="241"/>
      <c r="U132" s="241"/>
      <c r="V132" s="241"/>
      <c r="W132" s="241"/>
      <c r="X132" s="241"/>
      <c r="Y132" s="241"/>
      <c r="Z132" s="241"/>
      <c r="AA132" s="241"/>
    </row>
    <row r="133">
      <c r="A133" s="243"/>
      <c r="B133" s="243"/>
      <c r="C133" s="241"/>
      <c r="D133" s="241"/>
      <c r="E133" s="241"/>
      <c r="F133" s="241"/>
      <c r="G133" s="241"/>
      <c r="H133" s="241"/>
      <c r="I133" s="241"/>
      <c r="J133" s="241"/>
      <c r="K133" s="241"/>
      <c r="L133" s="241"/>
      <c r="M133" s="241"/>
      <c r="N133" s="241"/>
      <c r="O133" s="241"/>
      <c r="P133" s="241"/>
      <c r="Q133" s="241"/>
      <c r="R133" s="241"/>
      <c r="S133" s="241"/>
      <c r="T133" s="241"/>
      <c r="U133" s="241"/>
      <c r="V133" s="241"/>
      <c r="W133" s="241"/>
      <c r="X133" s="241"/>
      <c r="Y133" s="241"/>
      <c r="Z133" s="241"/>
      <c r="AA133" s="241"/>
    </row>
    <row r="134">
      <c r="A134" s="243"/>
      <c r="B134" s="243"/>
      <c r="C134" s="241"/>
      <c r="D134" s="241"/>
      <c r="E134" s="241"/>
      <c r="F134" s="241"/>
      <c r="G134" s="241"/>
      <c r="H134" s="241"/>
      <c r="I134" s="241"/>
      <c r="J134" s="241"/>
      <c r="K134" s="241"/>
      <c r="L134" s="241"/>
      <c r="M134" s="241"/>
      <c r="N134" s="241"/>
      <c r="O134" s="241"/>
      <c r="P134" s="241"/>
      <c r="Q134" s="241"/>
      <c r="R134" s="241"/>
      <c r="S134" s="241"/>
      <c r="T134" s="241"/>
      <c r="U134" s="241"/>
      <c r="V134" s="241"/>
      <c r="W134" s="241"/>
      <c r="X134" s="241"/>
      <c r="Y134" s="241"/>
      <c r="Z134" s="241"/>
      <c r="AA134" s="241"/>
    </row>
    <row r="135">
      <c r="A135" s="243"/>
      <c r="B135" s="243"/>
      <c r="C135" s="241"/>
      <c r="D135" s="241"/>
      <c r="E135" s="241"/>
      <c r="F135" s="241"/>
      <c r="G135" s="241"/>
      <c r="H135" s="241"/>
      <c r="I135" s="241"/>
      <c r="J135" s="241"/>
      <c r="K135" s="241"/>
      <c r="L135" s="241"/>
      <c r="M135" s="241"/>
      <c r="N135" s="241"/>
      <c r="O135" s="241"/>
      <c r="P135" s="241"/>
      <c r="Q135" s="241"/>
      <c r="R135" s="241"/>
      <c r="S135" s="241"/>
      <c r="T135" s="241"/>
      <c r="U135" s="241"/>
      <c r="V135" s="241"/>
      <c r="W135" s="241"/>
      <c r="X135" s="241"/>
      <c r="Y135" s="241"/>
      <c r="Z135" s="241"/>
      <c r="AA135" s="241"/>
    </row>
    <row r="136">
      <c r="A136" s="243"/>
      <c r="B136" s="243"/>
      <c r="C136" s="241"/>
      <c r="D136" s="241"/>
      <c r="E136" s="241"/>
      <c r="F136" s="241"/>
      <c r="G136" s="241"/>
      <c r="H136" s="241"/>
      <c r="I136" s="241"/>
      <c r="J136" s="241"/>
      <c r="K136" s="241"/>
      <c r="L136" s="241"/>
      <c r="M136" s="241"/>
      <c r="N136" s="241"/>
      <c r="O136" s="241"/>
      <c r="P136" s="241"/>
      <c r="Q136" s="241"/>
      <c r="R136" s="241"/>
      <c r="S136" s="241"/>
      <c r="T136" s="241"/>
      <c r="U136" s="241"/>
      <c r="V136" s="241"/>
      <c r="W136" s="241"/>
      <c r="X136" s="241"/>
      <c r="Y136" s="241"/>
      <c r="Z136" s="241"/>
      <c r="AA136" s="241"/>
    </row>
    <row r="137">
      <c r="A137" s="243"/>
      <c r="B137" s="243"/>
      <c r="C137" s="241"/>
      <c r="D137" s="241"/>
      <c r="E137" s="241"/>
      <c r="F137" s="241"/>
      <c r="G137" s="241"/>
      <c r="H137" s="241"/>
      <c r="I137" s="241"/>
      <c r="J137" s="241"/>
      <c r="K137" s="241"/>
      <c r="L137" s="241"/>
      <c r="M137" s="241"/>
      <c r="N137" s="241"/>
      <c r="O137" s="241"/>
      <c r="P137" s="241"/>
      <c r="Q137" s="241"/>
      <c r="R137" s="241"/>
      <c r="S137" s="241"/>
      <c r="T137" s="241"/>
      <c r="U137" s="241"/>
      <c r="V137" s="241"/>
      <c r="W137" s="241"/>
      <c r="X137" s="241"/>
      <c r="Y137" s="241"/>
      <c r="Z137" s="241"/>
      <c r="AA137" s="241"/>
    </row>
    <row r="138">
      <c r="A138" s="243"/>
      <c r="B138" s="243"/>
      <c r="C138" s="241"/>
      <c r="D138" s="241"/>
      <c r="E138" s="241"/>
      <c r="F138" s="241"/>
      <c r="G138" s="241"/>
      <c r="H138" s="241"/>
      <c r="I138" s="241"/>
      <c r="J138" s="241"/>
      <c r="K138" s="241"/>
      <c r="L138" s="241"/>
      <c r="M138" s="241"/>
      <c r="N138" s="241"/>
      <c r="O138" s="241"/>
      <c r="P138" s="241"/>
      <c r="Q138" s="241"/>
      <c r="R138" s="241"/>
      <c r="S138" s="241"/>
      <c r="T138" s="241"/>
      <c r="U138" s="241"/>
      <c r="V138" s="241"/>
      <c r="W138" s="241"/>
      <c r="X138" s="241"/>
      <c r="Y138" s="241"/>
      <c r="Z138" s="241"/>
      <c r="AA138" s="241"/>
    </row>
    <row r="139">
      <c r="A139" s="243"/>
      <c r="B139" s="243"/>
      <c r="C139" s="241"/>
      <c r="D139" s="241"/>
      <c r="E139" s="241"/>
      <c r="F139" s="241"/>
      <c r="G139" s="241"/>
      <c r="H139" s="241"/>
      <c r="I139" s="241"/>
      <c r="J139" s="241"/>
      <c r="K139" s="241"/>
      <c r="L139" s="241"/>
      <c r="M139" s="241"/>
      <c r="N139" s="241"/>
      <c r="O139" s="241"/>
      <c r="P139" s="241"/>
      <c r="Q139" s="241"/>
      <c r="R139" s="241"/>
      <c r="S139" s="241"/>
      <c r="T139" s="241"/>
      <c r="U139" s="241"/>
      <c r="V139" s="241"/>
      <c r="W139" s="241"/>
      <c r="X139" s="241"/>
      <c r="Y139" s="241"/>
      <c r="Z139" s="241"/>
      <c r="AA139" s="241"/>
    </row>
    <row r="140">
      <c r="A140" s="243"/>
      <c r="B140" s="243"/>
      <c r="C140" s="241"/>
      <c r="D140" s="241"/>
      <c r="E140" s="241"/>
      <c r="F140" s="241"/>
      <c r="G140" s="241"/>
      <c r="H140" s="241"/>
      <c r="I140" s="241"/>
      <c r="J140" s="241"/>
      <c r="K140" s="241"/>
      <c r="L140" s="241"/>
      <c r="M140" s="241"/>
      <c r="N140" s="241"/>
      <c r="O140" s="241"/>
      <c r="P140" s="241"/>
      <c r="Q140" s="241"/>
      <c r="R140" s="241"/>
      <c r="S140" s="241"/>
      <c r="T140" s="241"/>
      <c r="U140" s="241"/>
      <c r="V140" s="241"/>
      <c r="W140" s="241"/>
      <c r="X140" s="241"/>
      <c r="Y140" s="241"/>
      <c r="Z140" s="241"/>
      <c r="AA140" s="241"/>
    </row>
    <row r="141">
      <c r="A141" s="243"/>
      <c r="B141" s="243"/>
      <c r="C141" s="241"/>
      <c r="D141" s="241"/>
      <c r="E141" s="241"/>
      <c r="F141" s="241"/>
      <c r="G141" s="241"/>
      <c r="H141" s="241"/>
      <c r="I141" s="241"/>
      <c r="J141" s="241"/>
      <c r="K141" s="241"/>
      <c r="L141" s="241"/>
      <c r="M141" s="241"/>
      <c r="N141" s="241"/>
      <c r="O141" s="241"/>
      <c r="P141" s="241"/>
      <c r="Q141" s="241"/>
      <c r="R141" s="241"/>
      <c r="S141" s="241"/>
      <c r="T141" s="241"/>
      <c r="U141" s="241"/>
      <c r="V141" s="241"/>
      <c r="W141" s="241"/>
      <c r="X141" s="241"/>
      <c r="Y141" s="241"/>
      <c r="Z141" s="241"/>
      <c r="AA141" s="241"/>
    </row>
    <row r="142">
      <c r="A142" s="243"/>
      <c r="B142" s="243"/>
      <c r="C142" s="241"/>
      <c r="D142" s="241"/>
      <c r="E142" s="241"/>
      <c r="F142" s="241"/>
      <c r="G142" s="241"/>
      <c r="H142" s="241"/>
      <c r="I142" s="241"/>
      <c r="J142" s="241"/>
      <c r="K142" s="241"/>
      <c r="L142" s="241"/>
      <c r="M142" s="241"/>
      <c r="N142" s="241"/>
      <c r="O142" s="241"/>
      <c r="P142" s="241"/>
      <c r="Q142" s="241"/>
      <c r="R142" s="241"/>
      <c r="S142" s="241"/>
      <c r="T142" s="241"/>
      <c r="U142" s="241"/>
      <c r="V142" s="241"/>
      <c r="W142" s="241"/>
      <c r="X142" s="241"/>
      <c r="Y142" s="241"/>
      <c r="Z142" s="241"/>
      <c r="AA142" s="241"/>
    </row>
    <row r="143">
      <c r="A143" s="243"/>
      <c r="B143" s="243"/>
      <c r="C143" s="241"/>
      <c r="D143" s="241"/>
      <c r="E143" s="241"/>
      <c r="F143" s="241"/>
      <c r="G143" s="241"/>
      <c r="H143" s="241"/>
      <c r="I143" s="241"/>
      <c r="J143" s="241"/>
      <c r="K143" s="241"/>
      <c r="L143" s="241"/>
      <c r="M143" s="241"/>
      <c r="N143" s="241"/>
      <c r="O143" s="241"/>
      <c r="P143" s="241"/>
      <c r="Q143" s="241"/>
      <c r="R143" s="241"/>
      <c r="S143" s="241"/>
      <c r="T143" s="241"/>
      <c r="U143" s="241"/>
      <c r="V143" s="241"/>
      <c r="W143" s="241"/>
      <c r="X143" s="241"/>
      <c r="Y143" s="241"/>
      <c r="Z143" s="241"/>
      <c r="AA143" s="241"/>
    </row>
    <row r="144">
      <c r="A144" s="243"/>
      <c r="B144" s="243"/>
      <c r="C144" s="241"/>
      <c r="D144" s="241"/>
      <c r="E144" s="241"/>
      <c r="F144" s="241"/>
      <c r="G144" s="241"/>
      <c r="H144" s="241"/>
      <c r="I144" s="241"/>
      <c r="J144" s="241"/>
      <c r="K144" s="241"/>
      <c r="L144" s="241"/>
      <c r="M144" s="241"/>
      <c r="N144" s="241"/>
      <c r="O144" s="241"/>
      <c r="P144" s="241"/>
      <c r="Q144" s="241"/>
      <c r="R144" s="241"/>
      <c r="S144" s="241"/>
      <c r="T144" s="241"/>
      <c r="U144" s="241"/>
      <c r="V144" s="241"/>
      <c r="W144" s="241"/>
      <c r="X144" s="241"/>
      <c r="Y144" s="241"/>
      <c r="Z144" s="241"/>
      <c r="AA144" s="241"/>
    </row>
    <row r="145">
      <c r="A145" s="243"/>
      <c r="B145" s="243"/>
      <c r="C145" s="241"/>
      <c r="D145" s="241"/>
      <c r="E145" s="241"/>
      <c r="F145" s="241"/>
      <c r="G145" s="241"/>
      <c r="H145" s="241"/>
      <c r="I145" s="241"/>
      <c r="J145" s="241"/>
      <c r="K145" s="241"/>
      <c r="L145" s="241"/>
      <c r="M145" s="241"/>
      <c r="N145" s="241"/>
      <c r="O145" s="241"/>
      <c r="P145" s="241"/>
      <c r="Q145" s="241"/>
      <c r="R145" s="241"/>
      <c r="S145" s="241"/>
      <c r="T145" s="241"/>
      <c r="U145" s="241"/>
      <c r="V145" s="241"/>
      <c r="W145" s="241"/>
      <c r="X145" s="241"/>
      <c r="Y145" s="241"/>
      <c r="Z145" s="241"/>
      <c r="AA145" s="241"/>
    </row>
    <row r="146">
      <c r="A146" s="243"/>
      <c r="B146" s="243"/>
      <c r="C146" s="241"/>
      <c r="D146" s="241"/>
      <c r="E146" s="241"/>
      <c r="F146" s="241"/>
      <c r="G146" s="241"/>
      <c r="H146" s="241"/>
      <c r="I146" s="241"/>
      <c r="J146" s="241"/>
      <c r="K146" s="241"/>
      <c r="L146" s="241"/>
      <c r="M146" s="241"/>
      <c r="N146" s="241"/>
      <c r="O146" s="241"/>
      <c r="P146" s="241"/>
      <c r="Q146" s="241"/>
      <c r="R146" s="241"/>
      <c r="S146" s="241"/>
      <c r="T146" s="241"/>
      <c r="U146" s="241"/>
      <c r="V146" s="241"/>
      <c r="W146" s="241"/>
      <c r="X146" s="241"/>
      <c r="Y146" s="241"/>
      <c r="Z146" s="241"/>
      <c r="AA146" s="241"/>
    </row>
    <row r="147">
      <c r="A147" s="243"/>
      <c r="B147" s="243"/>
      <c r="C147" s="241"/>
      <c r="D147" s="241"/>
      <c r="E147" s="241"/>
      <c r="F147" s="241"/>
      <c r="G147" s="241"/>
      <c r="H147" s="241"/>
      <c r="I147" s="241"/>
      <c r="J147" s="241"/>
      <c r="K147" s="241"/>
      <c r="L147" s="241"/>
      <c r="M147" s="241"/>
      <c r="N147" s="241"/>
      <c r="O147" s="241"/>
      <c r="P147" s="241"/>
      <c r="Q147" s="241"/>
      <c r="R147" s="241"/>
      <c r="S147" s="241"/>
      <c r="T147" s="241"/>
      <c r="U147" s="241"/>
      <c r="V147" s="241"/>
      <c r="W147" s="241"/>
      <c r="X147" s="241"/>
      <c r="Y147" s="241"/>
      <c r="Z147" s="241"/>
      <c r="AA147" s="241"/>
    </row>
    <row r="148">
      <c r="A148" s="243"/>
      <c r="B148" s="243"/>
      <c r="C148" s="241"/>
      <c r="D148" s="241"/>
      <c r="E148" s="241"/>
      <c r="F148" s="241"/>
      <c r="G148" s="241"/>
      <c r="H148" s="241"/>
      <c r="I148" s="241"/>
      <c r="J148" s="241"/>
      <c r="K148" s="241"/>
      <c r="L148" s="241"/>
      <c r="M148" s="241"/>
      <c r="N148" s="241"/>
      <c r="O148" s="241"/>
      <c r="P148" s="241"/>
      <c r="Q148" s="241"/>
      <c r="R148" s="241"/>
      <c r="S148" s="241"/>
      <c r="T148" s="241"/>
      <c r="U148" s="241"/>
      <c r="V148" s="241"/>
      <c r="W148" s="241"/>
      <c r="X148" s="241"/>
      <c r="Y148" s="241"/>
      <c r="Z148" s="241"/>
      <c r="AA148" s="241"/>
    </row>
    <row r="149">
      <c r="A149" s="243"/>
      <c r="B149" s="243"/>
      <c r="C149" s="241"/>
      <c r="D149" s="241"/>
      <c r="E149" s="241"/>
      <c r="F149" s="241"/>
      <c r="G149" s="241"/>
      <c r="H149" s="241"/>
      <c r="I149" s="241"/>
      <c r="J149" s="241"/>
      <c r="K149" s="241"/>
      <c r="L149" s="241"/>
      <c r="M149" s="241"/>
      <c r="N149" s="241"/>
      <c r="O149" s="241"/>
      <c r="P149" s="241"/>
      <c r="Q149" s="241"/>
      <c r="R149" s="241"/>
      <c r="S149" s="241"/>
      <c r="T149" s="241"/>
      <c r="U149" s="241"/>
      <c r="V149" s="241"/>
      <c r="W149" s="241"/>
      <c r="X149" s="241"/>
      <c r="Y149" s="241"/>
      <c r="Z149" s="241"/>
      <c r="AA149" s="241"/>
    </row>
    <row r="150">
      <c r="A150" s="243"/>
      <c r="B150" s="243"/>
      <c r="C150" s="241"/>
      <c r="D150" s="241"/>
      <c r="E150" s="241"/>
      <c r="F150" s="241"/>
      <c r="G150" s="241"/>
      <c r="H150" s="241"/>
      <c r="I150" s="241"/>
      <c r="J150" s="241"/>
      <c r="K150" s="241"/>
      <c r="L150" s="241"/>
      <c r="M150" s="241"/>
      <c r="N150" s="241"/>
      <c r="O150" s="241"/>
      <c r="P150" s="241"/>
      <c r="Q150" s="241"/>
      <c r="R150" s="241"/>
      <c r="S150" s="241"/>
      <c r="T150" s="241"/>
      <c r="U150" s="241"/>
      <c r="V150" s="241"/>
      <c r="W150" s="241"/>
      <c r="X150" s="241"/>
      <c r="Y150" s="241"/>
      <c r="Z150" s="241"/>
      <c r="AA150" s="241"/>
    </row>
    <row r="151">
      <c r="A151" s="243"/>
      <c r="B151" s="243"/>
      <c r="C151" s="241"/>
      <c r="D151" s="241"/>
      <c r="E151" s="241"/>
      <c r="F151" s="241"/>
      <c r="G151" s="241"/>
      <c r="H151" s="241"/>
      <c r="I151" s="241"/>
      <c r="J151" s="241"/>
      <c r="K151" s="241"/>
      <c r="L151" s="241"/>
      <c r="M151" s="241"/>
      <c r="N151" s="241"/>
      <c r="O151" s="241"/>
      <c r="P151" s="241"/>
      <c r="Q151" s="241"/>
      <c r="R151" s="241"/>
      <c r="S151" s="241"/>
      <c r="T151" s="241"/>
      <c r="U151" s="241"/>
      <c r="V151" s="241"/>
      <c r="W151" s="241"/>
      <c r="X151" s="241"/>
      <c r="Y151" s="241"/>
      <c r="Z151" s="241"/>
      <c r="AA151" s="241"/>
    </row>
    <row r="152">
      <c r="A152" s="243"/>
      <c r="B152" s="243"/>
      <c r="C152" s="241"/>
      <c r="D152" s="241"/>
      <c r="E152" s="241"/>
      <c r="F152" s="241"/>
      <c r="G152" s="241"/>
      <c r="H152" s="241"/>
      <c r="I152" s="241"/>
      <c r="J152" s="241"/>
      <c r="K152" s="241"/>
      <c r="L152" s="241"/>
      <c r="M152" s="241"/>
      <c r="N152" s="241"/>
      <c r="O152" s="241"/>
      <c r="P152" s="241"/>
      <c r="Q152" s="241"/>
      <c r="R152" s="241"/>
      <c r="S152" s="241"/>
      <c r="T152" s="241"/>
      <c r="U152" s="241"/>
      <c r="V152" s="241"/>
      <c r="W152" s="241"/>
      <c r="X152" s="241"/>
      <c r="Y152" s="241"/>
      <c r="Z152" s="241"/>
      <c r="AA152" s="241"/>
    </row>
    <row r="153">
      <c r="A153" s="243"/>
      <c r="B153" s="243"/>
      <c r="C153" s="241"/>
      <c r="D153" s="241"/>
      <c r="E153" s="241"/>
      <c r="F153" s="241"/>
      <c r="G153" s="241"/>
      <c r="H153" s="241"/>
      <c r="I153" s="241"/>
      <c r="J153" s="241"/>
      <c r="K153" s="241"/>
      <c r="L153" s="241"/>
      <c r="M153" s="241"/>
      <c r="N153" s="241"/>
      <c r="O153" s="241"/>
      <c r="P153" s="241"/>
      <c r="Q153" s="241"/>
      <c r="R153" s="241"/>
      <c r="S153" s="241"/>
      <c r="T153" s="241"/>
      <c r="U153" s="241"/>
      <c r="V153" s="241"/>
      <c r="W153" s="241"/>
      <c r="X153" s="241"/>
      <c r="Y153" s="241"/>
      <c r="Z153" s="241"/>
      <c r="AA153" s="241"/>
    </row>
    <row r="154">
      <c r="A154" s="243"/>
      <c r="B154" s="243"/>
      <c r="C154" s="241"/>
      <c r="D154" s="241"/>
      <c r="E154" s="241"/>
      <c r="F154" s="241"/>
      <c r="G154" s="241"/>
      <c r="H154" s="241"/>
      <c r="I154" s="241"/>
      <c r="J154" s="241"/>
      <c r="K154" s="241"/>
      <c r="L154" s="241"/>
      <c r="M154" s="241"/>
      <c r="N154" s="241"/>
      <c r="O154" s="241"/>
      <c r="P154" s="241"/>
      <c r="Q154" s="241"/>
      <c r="R154" s="241"/>
      <c r="S154" s="241"/>
      <c r="T154" s="241"/>
      <c r="U154" s="241"/>
      <c r="V154" s="241"/>
      <c r="W154" s="241"/>
      <c r="X154" s="241"/>
      <c r="Y154" s="241"/>
      <c r="Z154" s="241"/>
      <c r="AA154" s="241"/>
    </row>
    <row r="155">
      <c r="A155" s="243"/>
      <c r="B155" s="243"/>
      <c r="C155" s="241"/>
      <c r="D155" s="241"/>
      <c r="E155" s="241"/>
      <c r="F155" s="241"/>
      <c r="G155" s="241"/>
      <c r="H155" s="241"/>
      <c r="I155" s="241"/>
      <c r="J155" s="241"/>
      <c r="K155" s="241"/>
      <c r="L155" s="241"/>
      <c r="M155" s="241"/>
      <c r="N155" s="241"/>
      <c r="O155" s="241"/>
      <c r="P155" s="241"/>
      <c r="Q155" s="241"/>
      <c r="R155" s="241"/>
      <c r="S155" s="241"/>
      <c r="T155" s="241"/>
      <c r="U155" s="241"/>
      <c r="V155" s="241"/>
      <c r="W155" s="241"/>
      <c r="X155" s="241"/>
      <c r="Y155" s="241"/>
      <c r="Z155" s="241"/>
      <c r="AA155" s="241"/>
    </row>
    <row r="156">
      <c r="A156" s="243"/>
      <c r="B156" s="243"/>
      <c r="C156" s="241"/>
      <c r="D156" s="241"/>
      <c r="E156" s="241"/>
      <c r="F156" s="241"/>
      <c r="G156" s="241"/>
      <c r="H156" s="241"/>
      <c r="I156" s="241"/>
      <c r="J156" s="241"/>
      <c r="K156" s="241"/>
      <c r="L156" s="241"/>
      <c r="M156" s="241"/>
      <c r="N156" s="241"/>
      <c r="O156" s="241"/>
      <c r="P156" s="241"/>
      <c r="Q156" s="241"/>
      <c r="R156" s="241"/>
      <c r="S156" s="241"/>
      <c r="T156" s="241"/>
      <c r="U156" s="241"/>
      <c r="V156" s="241"/>
      <c r="W156" s="241"/>
      <c r="X156" s="241"/>
      <c r="Y156" s="241"/>
      <c r="Z156" s="241"/>
      <c r="AA156" s="241"/>
    </row>
    <row r="157">
      <c r="A157" s="243"/>
      <c r="B157" s="243"/>
      <c r="C157" s="241"/>
      <c r="D157" s="241"/>
      <c r="E157" s="241"/>
      <c r="F157" s="241"/>
      <c r="G157" s="241"/>
      <c r="H157" s="241"/>
      <c r="I157" s="241"/>
      <c r="J157" s="241"/>
      <c r="K157" s="241"/>
      <c r="L157" s="241"/>
      <c r="M157" s="241"/>
      <c r="N157" s="241"/>
      <c r="O157" s="241"/>
      <c r="P157" s="241"/>
      <c r="Q157" s="241"/>
      <c r="R157" s="241"/>
      <c r="S157" s="241"/>
      <c r="T157" s="241"/>
      <c r="U157" s="241"/>
      <c r="V157" s="241"/>
      <c r="W157" s="241"/>
      <c r="X157" s="241"/>
      <c r="Y157" s="241"/>
      <c r="Z157" s="241"/>
      <c r="AA157" s="241"/>
    </row>
    <row r="158">
      <c r="A158" s="243"/>
      <c r="B158" s="243"/>
      <c r="C158" s="241"/>
      <c r="D158" s="241"/>
      <c r="E158" s="241"/>
      <c r="F158" s="241"/>
      <c r="G158" s="241"/>
      <c r="H158" s="241"/>
      <c r="I158" s="241"/>
      <c r="J158" s="241"/>
      <c r="K158" s="241"/>
      <c r="L158" s="241"/>
      <c r="M158" s="241"/>
      <c r="N158" s="241"/>
      <c r="O158" s="241"/>
      <c r="P158" s="241"/>
      <c r="Q158" s="241"/>
      <c r="R158" s="241"/>
      <c r="S158" s="241"/>
      <c r="T158" s="241"/>
      <c r="U158" s="241"/>
      <c r="V158" s="241"/>
      <c r="W158" s="241"/>
      <c r="X158" s="241"/>
      <c r="Y158" s="241"/>
      <c r="Z158" s="241"/>
      <c r="AA158" s="241"/>
    </row>
    <row r="159">
      <c r="A159" s="243"/>
      <c r="B159" s="243"/>
      <c r="C159" s="241"/>
      <c r="D159" s="241"/>
      <c r="E159" s="241"/>
      <c r="F159" s="241"/>
      <c r="G159" s="241"/>
      <c r="H159" s="241"/>
      <c r="I159" s="241"/>
      <c r="J159" s="241"/>
      <c r="K159" s="241"/>
      <c r="L159" s="241"/>
      <c r="M159" s="241"/>
      <c r="N159" s="241"/>
      <c r="O159" s="241"/>
      <c r="P159" s="241"/>
      <c r="Q159" s="241"/>
      <c r="R159" s="241"/>
      <c r="S159" s="241"/>
      <c r="T159" s="241"/>
      <c r="U159" s="241"/>
      <c r="V159" s="241"/>
      <c r="W159" s="241"/>
      <c r="X159" s="241"/>
      <c r="Y159" s="241"/>
      <c r="Z159" s="241"/>
      <c r="AA159" s="241"/>
    </row>
    <row r="160">
      <c r="A160" s="243"/>
      <c r="B160" s="243"/>
      <c r="C160" s="241"/>
      <c r="D160" s="241"/>
      <c r="E160" s="241"/>
      <c r="F160" s="241"/>
      <c r="G160" s="241"/>
      <c r="H160" s="241"/>
      <c r="I160" s="241"/>
      <c r="J160" s="241"/>
      <c r="K160" s="241"/>
      <c r="L160" s="241"/>
      <c r="M160" s="241"/>
      <c r="N160" s="241"/>
      <c r="O160" s="241"/>
      <c r="P160" s="241"/>
      <c r="Q160" s="241"/>
      <c r="R160" s="241"/>
      <c r="S160" s="241"/>
      <c r="T160" s="241"/>
      <c r="U160" s="241"/>
      <c r="V160" s="241"/>
      <c r="W160" s="241"/>
      <c r="X160" s="241"/>
      <c r="Y160" s="241"/>
      <c r="Z160" s="241"/>
      <c r="AA160" s="241"/>
    </row>
    <row r="161">
      <c r="A161" s="243"/>
      <c r="B161" s="243"/>
      <c r="C161" s="241"/>
      <c r="D161" s="241"/>
      <c r="E161" s="241"/>
      <c r="F161" s="241"/>
      <c r="G161" s="241"/>
      <c r="H161" s="241"/>
      <c r="I161" s="241"/>
      <c r="J161" s="241"/>
      <c r="K161" s="241"/>
      <c r="L161" s="241"/>
      <c r="M161" s="241"/>
      <c r="N161" s="241"/>
      <c r="O161" s="241"/>
      <c r="P161" s="241"/>
      <c r="Q161" s="241"/>
      <c r="R161" s="241"/>
      <c r="S161" s="241"/>
      <c r="T161" s="241"/>
      <c r="U161" s="241"/>
      <c r="V161" s="241"/>
      <c r="W161" s="241"/>
      <c r="X161" s="241"/>
      <c r="Y161" s="241"/>
      <c r="Z161" s="241"/>
      <c r="AA161" s="241"/>
    </row>
    <row r="162">
      <c r="A162" s="243"/>
      <c r="B162" s="243"/>
      <c r="C162" s="241"/>
      <c r="D162" s="241"/>
      <c r="E162" s="241"/>
      <c r="F162" s="241"/>
      <c r="G162" s="241"/>
      <c r="H162" s="241"/>
      <c r="I162" s="241"/>
      <c r="J162" s="241"/>
      <c r="K162" s="241"/>
      <c r="L162" s="241"/>
      <c r="M162" s="241"/>
      <c r="N162" s="241"/>
      <c r="O162" s="241"/>
      <c r="P162" s="241"/>
      <c r="Q162" s="241"/>
      <c r="R162" s="241"/>
      <c r="S162" s="241"/>
      <c r="T162" s="241"/>
      <c r="U162" s="241"/>
      <c r="V162" s="241"/>
      <c r="W162" s="241"/>
      <c r="X162" s="241"/>
      <c r="Y162" s="241"/>
      <c r="Z162" s="241"/>
      <c r="AA162" s="241"/>
    </row>
    <row r="163">
      <c r="A163" s="243"/>
      <c r="B163" s="243"/>
      <c r="C163" s="241"/>
      <c r="D163" s="241"/>
      <c r="E163" s="241"/>
      <c r="F163" s="241"/>
      <c r="G163" s="241"/>
      <c r="H163" s="241"/>
      <c r="I163" s="241"/>
      <c r="J163" s="241"/>
      <c r="K163" s="241"/>
      <c r="L163" s="241"/>
      <c r="M163" s="241"/>
      <c r="N163" s="241"/>
      <c r="O163" s="241"/>
      <c r="P163" s="241"/>
      <c r="Q163" s="241"/>
      <c r="R163" s="241"/>
      <c r="S163" s="241"/>
      <c r="T163" s="241"/>
      <c r="U163" s="241"/>
      <c r="V163" s="241"/>
      <c r="W163" s="241"/>
      <c r="X163" s="241"/>
      <c r="Y163" s="241"/>
      <c r="Z163" s="241"/>
      <c r="AA163" s="241"/>
    </row>
    <row r="164">
      <c r="A164" s="243"/>
      <c r="B164" s="243"/>
      <c r="C164" s="241"/>
      <c r="D164" s="241"/>
      <c r="E164" s="241"/>
      <c r="F164" s="241"/>
      <c r="G164" s="241"/>
      <c r="H164" s="241"/>
      <c r="I164" s="241"/>
      <c r="J164" s="241"/>
      <c r="K164" s="241"/>
      <c r="L164" s="241"/>
      <c r="M164" s="241"/>
      <c r="N164" s="241"/>
      <c r="O164" s="241"/>
      <c r="P164" s="241"/>
      <c r="Q164" s="241"/>
      <c r="R164" s="241"/>
      <c r="S164" s="241"/>
      <c r="T164" s="241"/>
      <c r="U164" s="241"/>
      <c r="V164" s="241"/>
      <c r="W164" s="241"/>
      <c r="X164" s="241"/>
      <c r="Y164" s="241"/>
      <c r="Z164" s="241"/>
      <c r="AA164" s="241"/>
    </row>
    <row r="165">
      <c r="A165" s="243"/>
      <c r="B165" s="243"/>
      <c r="C165" s="241"/>
      <c r="D165" s="241"/>
      <c r="E165" s="241"/>
      <c r="F165" s="241"/>
      <c r="G165" s="241"/>
      <c r="H165" s="241"/>
      <c r="I165" s="241"/>
      <c r="J165" s="241"/>
      <c r="K165" s="241"/>
      <c r="L165" s="241"/>
      <c r="M165" s="241"/>
      <c r="N165" s="241"/>
      <c r="O165" s="241"/>
      <c r="P165" s="241"/>
      <c r="Q165" s="241"/>
      <c r="R165" s="241"/>
      <c r="S165" s="241"/>
      <c r="T165" s="241"/>
      <c r="U165" s="241"/>
      <c r="V165" s="241"/>
      <c r="W165" s="241"/>
      <c r="X165" s="241"/>
      <c r="Y165" s="241"/>
      <c r="Z165" s="241"/>
      <c r="AA165" s="241"/>
    </row>
    <row r="166">
      <c r="A166" s="243"/>
      <c r="B166" s="243"/>
      <c r="C166" s="241"/>
      <c r="D166" s="241"/>
      <c r="E166" s="241"/>
      <c r="F166" s="241"/>
      <c r="G166" s="241"/>
      <c r="H166" s="241"/>
      <c r="I166" s="241"/>
      <c r="J166" s="241"/>
      <c r="K166" s="241"/>
      <c r="L166" s="241"/>
      <c r="M166" s="241"/>
      <c r="N166" s="241"/>
      <c r="O166" s="241"/>
      <c r="P166" s="241"/>
      <c r="Q166" s="241"/>
      <c r="R166" s="241"/>
      <c r="S166" s="241"/>
      <c r="T166" s="241"/>
      <c r="U166" s="241"/>
      <c r="V166" s="241"/>
      <c r="W166" s="241"/>
      <c r="X166" s="241"/>
      <c r="Y166" s="241"/>
      <c r="Z166" s="241"/>
      <c r="AA166" s="241"/>
    </row>
    <row r="167">
      <c r="A167" s="243"/>
      <c r="B167" s="243"/>
      <c r="C167" s="241"/>
      <c r="D167" s="241"/>
      <c r="E167" s="241"/>
      <c r="F167" s="241"/>
      <c r="G167" s="241"/>
      <c r="H167" s="241"/>
      <c r="I167" s="241"/>
      <c r="J167" s="241"/>
      <c r="K167" s="241"/>
      <c r="L167" s="241"/>
      <c r="M167" s="241"/>
      <c r="N167" s="241"/>
      <c r="O167" s="241"/>
      <c r="P167" s="241"/>
      <c r="Q167" s="241"/>
      <c r="R167" s="241"/>
      <c r="S167" s="241"/>
      <c r="T167" s="241"/>
      <c r="U167" s="241"/>
      <c r="V167" s="241"/>
      <c r="W167" s="241"/>
      <c r="X167" s="241"/>
      <c r="Y167" s="241"/>
      <c r="Z167" s="241"/>
      <c r="AA167" s="241"/>
    </row>
    <row r="168">
      <c r="A168" s="243"/>
      <c r="B168" s="243"/>
      <c r="C168" s="241"/>
      <c r="D168" s="241"/>
      <c r="E168" s="241"/>
      <c r="F168" s="241"/>
      <c r="G168" s="241"/>
      <c r="H168" s="241"/>
      <c r="I168" s="241"/>
      <c r="J168" s="241"/>
      <c r="K168" s="241"/>
      <c r="L168" s="241"/>
      <c r="M168" s="241"/>
      <c r="N168" s="241"/>
      <c r="O168" s="241"/>
      <c r="P168" s="241"/>
      <c r="Q168" s="241"/>
      <c r="R168" s="241"/>
      <c r="S168" s="241"/>
      <c r="T168" s="241"/>
      <c r="U168" s="241"/>
      <c r="V168" s="241"/>
      <c r="W168" s="241"/>
      <c r="X168" s="241"/>
      <c r="Y168" s="241"/>
      <c r="Z168" s="241"/>
      <c r="AA168" s="241"/>
    </row>
    <row r="169">
      <c r="A169" s="243"/>
      <c r="B169" s="243"/>
      <c r="C169" s="241"/>
      <c r="D169" s="241"/>
      <c r="E169" s="241"/>
      <c r="F169" s="241"/>
      <c r="G169" s="241"/>
      <c r="H169" s="241"/>
      <c r="I169" s="241"/>
      <c r="J169" s="241"/>
      <c r="K169" s="241"/>
      <c r="L169" s="241"/>
      <c r="M169" s="241"/>
      <c r="N169" s="241"/>
      <c r="O169" s="241"/>
      <c r="P169" s="241"/>
      <c r="Q169" s="241"/>
      <c r="R169" s="241"/>
      <c r="S169" s="241"/>
      <c r="T169" s="241"/>
      <c r="U169" s="241"/>
      <c r="V169" s="241"/>
      <c r="W169" s="241"/>
      <c r="X169" s="241"/>
      <c r="Y169" s="241"/>
      <c r="Z169" s="241"/>
      <c r="AA169" s="241"/>
    </row>
    <row r="170">
      <c r="A170" s="243"/>
      <c r="B170" s="243"/>
      <c r="C170" s="241"/>
      <c r="D170" s="241"/>
      <c r="E170" s="241"/>
      <c r="F170" s="241"/>
      <c r="G170" s="241"/>
      <c r="H170" s="241"/>
      <c r="I170" s="241"/>
      <c r="J170" s="241"/>
      <c r="K170" s="241"/>
      <c r="L170" s="241"/>
      <c r="M170" s="241"/>
      <c r="N170" s="241"/>
      <c r="O170" s="241"/>
      <c r="P170" s="241"/>
      <c r="Q170" s="241"/>
      <c r="R170" s="241"/>
      <c r="S170" s="241"/>
      <c r="T170" s="241"/>
      <c r="U170" s="241"/>
      <c r="V170" s="241"/>
      <c r="W170" s="241"/>
      <c r="X170" s="241"/>
      <c r="Y170" s="241"/>
      <c r="Z170" s="241"/>
      <c r="AA170" s="241"/>
    </row>
    <row r="171">
      <c r="A171" s="243"/>
      <c r="B171" s="243"/>
      <c r="C171" s="241"/>
      <c r="D171" s="241"/>
      <c r="E171" s="241"/>
      <c r="F171" s="241"/>
      <c r="G171" s="241"/>
      <c r="H171" s="241"/>
      <c r="I171" s="241"/>
      <c r="J171" s="241"/>
      <c r="K171" s="241"/>
      <c r="L171" s="241"/>
      <c r="M171" s="241"/>
      <c r="N171" s="241"/>
      <c r="O171" s="241"/>
      <c r="P171" s="241"/>
      <c r="Q171" s="241"/>
      <c r="R171" s="241"/>
      <c r="S171" s="241"/>
      <c r="T171" s="241"/>
      <c r="U171" s="241"/>
      <c r="V171" s="241"/>
      <c r="W171" s="241"/>
      <c r="X171" s="241"/>
      <c r="Y171" s="241"/>
      <c r="Z171" s="241"/>
      <c r="AA171" s="241"/>
    </row>
    <row r="172">
      <c r="A172" s="243"/>
      <c r="B172" s="243"/>
      <c r="C172" s="241"/>
      <c r="D172" s="241"/>
      <c r="E172" s="241"/>
      <c r="F172" s="241"/>
      <c r="G172" s="241"/>
      <c r="H172" s="241"/>
      <c r="I172" s="241"/>
      <c r="J172" s="241"/>
      <c r="K172" s="241"/>
      <c r="L172" s="241"/>
      <c r="M172" s="241"/>
      <c r="N172" s="241"/>
      <c r="O172" s="241"/>
      <c r="P172" s="241"/>
      <c r="Q172" s="241"/>
      <c r="R172" s="241"/>
      <c r="S172" s="241"/>
      <c r="T172" s="241"/>
      <c r="U172" s="241"/>
      <c r="V172" s="241"/>
      <c r="W172" s="241"/>
      <c r="X172" s="241"/>
      <c r="Y172" s="241"/>
      <c r="Z172" s="241"/>
      <c r="AA172" s="241"/>
    </row>
    <row r="173">
      <c r="A173" s="243"/>
      <c r="B173" s="243"/>
      <c r="C173" s="241"/>
      <c r="D173" s="241"/>
      <c r="E173" s="241"/>
      <c r="F173" s="241"/>
      <c r="G173" s="241"/>
      <c r="H173" s="241"/>
      <c r="I173" s="241"/>
      <c r="J173" s="241"/>
      <c r="K173" s="241"/>
      <c r="L173" s="241"/>
      <c r="M173" s="241"/>
      <c r="N173" s="241"/>
      <c r="O173" s="241"/>
      <c r="P173" s="241"/>
      <c r="Q173" s="241"/>
      <c r="R173" s="241"/>
      <c r="S173" s="241"/>
      <c r="T173" s="241"/>
      <c r="U173" s="241"/>
      <c r="V173" s="241"/>
      <c r="W173" s="241"/>
      <c r="X173" s="241"/>
      <c r="Y173" s="241"/>
      <c r="Z173" s="241"/>
      <c r="AA173" s="241"/>
    </row>
    <row r="174">
      <c r="A174" s="243"/>
      <c r="B174" s="243"/>
      <c r="C174" s="241"/>
      <c r="D174" s="241"/>
      <c r="E174" s="241"/>
      <c r="F174" s="241"/>
      <c r="G174" s="241"/>
      <c r="H174" s="241"/>
      <c r="I174" s="241"/>
      <c r="J174" s="241"/>
      <c r="K174" s="241"/>
      <c r="L174" s="241"/>
      <c r="M174" s="241"/>
      <c r="N174" s="241"/>
      <c r="O174" s="241"/>
      <c r="P174" s="241"/>
      <c r="Q174" s="241"/>
      <c r="R174" s="241"/>
      <c r="S174" s="241"/>
      <c r="T174" s="241"/>
      <c r="U174" s="241"/>
      <c r="V174" s="241"/>
      <c r="W174" s="241"/>
      <c r="X174" s="241"/>
      <c r="Y174" s="241"/>
      <c r="Z174" s="241"/>
      <c r="AA174" s="241"/>
    </row>
    <row r="175">
      <c r="A175" s="243"/>
      <c r="B175" s="243"/>
      <c r="C175" s="241"/>
      <c r="D175" s="241"/>
      <c r="E175" s="241"/>
      <c r="F175" s="241"/>
      <c r="G175" s="241"/>
      <c r="H175" s="241"/>
      <c r="I175" s="241"/>
      <c r="J175" s="241"/>
      <c r="K175" s="241"/>
      <c r="L175" s="241"/>
      <c r="M175" s="241"/>
      <c r="N175" s="241"/>
      <c r="O175" s="241"/>
      <c r="P175" s="241"/>
      <c r="Q175" s="241"/>
      <c r="R175" s="241"/>
      <c r="S175" s="241"/>
      <c r="T175" s="241"/>
      <c r="U175" s="241"/>
      <c r="V175" s="241"/>
      <c r="W175" s="241"/>
      <c r="X175" s="241"/>
      <c r="Y175" s="241"/>
      <c r="Z175" s="241"/>
      <c r="AA175" s="241"/>
    </row>
    <row r="176">
      <c r="A176" s="243"/>
      <c r="B176" s="243"/>
      <c r="C176" s="241"/>
      <c r="D176" s="241"/>
      <c r="E176" s="241"/>
      <c r="F176" s="241"/>
      <c r="G176" s="241"/>
      <c r="H176" s="241"/>
      <c r="I176" s="241"/>
      <c r="J176" s="241"/>
      <c r="K176" s="241"/>
      <c r="L176" s="241"/>
      <c r="M176" s="241"/>
      <c r="N176" s="241"/>
      <c r="O176" s="241"/>
      <c r="P176" s="241"/>
      <c r="Q176" s="241"/>
      <c r="R176" s="241"/>
      <c r="S176" s="241"/>
      <c r="T176" s="241"/>
      <c r="U176" s="241"/>
      <c r="V176" s="241"/>
      <c r="W176" s="241"/>
      <c r="X176" s="241"/>
      <c r="Y176" s="241"/>
      <c r="Z176" s="241"/>
      <c r="AA176" s="241"/>
    </row>
    <row r="177">
      <c r="A177" s="243"/>
      <c r="B177" s="243"/>
      <c r="C177" s="241"/>
      <c r="D177" s="241"/>
      <c r="E177" s="241"/>
      <c r="F177" s="241"/>
      <c r="G177" s="241"/>
      <c r="H177" s="241"/>
      <c r="I177" s="241"/>
      <c r="J177" s="241"/>
      <c r="K177" s="241"/>
      <c r="L177" s="241"/>
      <c r="M177" s="241"/>
      <c r="N177" s="241"/>
      <c r="O177" s="241"/>
      <c r="P177" s="241"/>
      <c r="Q177" s="241"/>
      <c r="R177" s="241"/>
      <c r="S177" s="241"/>
      <c r="T177" s="241"/>
      <c r="U177" s="241"/>
      <c r="V177" s="241"/>
      <c r="W177" s="241"/>
      <c r="X177" s="241"/>
      <c r="Y177" s="241"/>
      <c r="Z177" s="241"/>
      <c r="AA177" s="241"/>
    </row>
    <row r="178">
      <c r="A178" s="243"/>
      <c r="B178" s="243"/>
      <c r="C178" s="241"/>
      <c r="D178" s="241"/>
      <c r="E178" s="241"/>
      <c r="F178" s="241"/>
      <c r="G178" s="241"/>
      <c r="H178" s="241"/>
      <c r="I178" s="241"/>
      <c r="J178" s="241"/>
      <c r="K178" s="241"/>
      <c r="L178" s="241"/>
      <c r="M178" s="241"/>
      <c r="N178" s="241"/>
      <c r="O178" s="241"/>
      <c r="P178" s="241"/>
      <c r="Q178" s="241"/>
      <c r="R178" s="241"/>
      <c r="S178" s="241"/>
      <c r="T178" s="241"/>
      <c r="U178" s="241"/>
      <c r="V178" s="241"/>
      <c r="W178" s="241"/>
      <c r="X178" s="241"/>
      <c r="Y178" s="241"/>
      <c r="Z178" s="241"/>
      <c r="AA178" s="241"/>
    </row>
    <row r="179">
      <c r="A179" s="243"/>
      <c r="B179" s="243"/>
      <c r="C179" s="241"/>
      <c r="D179" s="241"/>
      <c r="E179" s="241"/>
      <c r="F179" s="241"/>
      <c r="G179" s="241"/>
      <c r="H179" s="241"/>
      <c r="I179" s="241"/>
      <c r="J179" s="241"/>
      <c r="K179" s="241"/>
      <c r="L179" s="241"/>
      <c r="M179" s="241"/>
      <c r="N179" s="241"/>
      <c r="O179" s="241"/>
      <c r="P179" s="241"/>
      <c r="Q179" s="241"/>
      <c r="R179" s="241"/>
      <c r="S179" s="241"/>
      <c r="T179" s="241"/>
      <c r="U179" s="241"/>
      <c r="V179" s="241"/>
      <c r="W179" s="241"/>
      <c r="X179" s="241"/>
      <c r="Y179" s="241"/>
      <c r="Z179" s="241"/>
      <c r="AA179" s="241"/>
    </row>
    <row r="180">
      <c r="A180" s="243"/>
      <c r="B180" s="243"/>
      <c r="C180" s="241"/>
      <c r="D180" s="241"/>
      <c r="E180" s="241"/>
      <c r="F180" s="241"/>
      <c r="G180" s="241"/>
      <c r="H180" s="241"/>
      <c r="I180" s="241"/>
      <c r="J180" s="241"/>
      <c r="K180" s="241"/>
      <c r="L180" s="241"/>
      <c r="M180" s="241"/>
      <c r="N180" s="241"/>
      <c r="O180" s="241"/>
      <c r="P180" s="241"/>
      <c r="Q180" s="241"/>
      <c r="R180" s="241"/>
      <c r="S180" s="241"/>
      <c r="T180" s="241"/>
      <c r="U180" s="241"/>
      <c r="V180" s="241"/>
      <c r="W180" s="241"/>
      <c r="X180" s="241"/>
      <c r="Y180" s="241"/>
      <c r="Z180" s="241"/>
      <c r="AA180" s="241"/>
    </row>
    <row r="181">
      <c r="A181" s="243"/>
      <c r="B181" s="243"/>
      <c r="C181" s="241"/>
      <c r="D181" s="241"/>
      <c r="E181" s="241"/>
      <c r="F181" s="241"/>
      <c r="G181" s="241"/>
      <c r="H181" s="241"/>
      <c r="I181" s="241"/>
      <c r="J181" s="241"/>
      <c r="K181" s="241"/>
      <c r="L181" s="241"/>
      <c r="M181" s="241"/>
      <c r="N181" s="241"/>
      <c r="O181" s="241"/>
      <c r="P181" s="241"/>
      <c r="Q181" s="241"/>
      <c r="R181" s="241"/>
      <c r="S181" s="241"/>
      <c r="T181" s="241"/>
      <c r="U181" s="241"/>
      <c r="V181" s="241"/>
      <c r="W181" s="241"/>
      <c r="X181" s="241"/>
      <c r="Y181" s="241"/>
      <c r="Z181" s="241"/>
      <c r="AA181" s="241"/>
    </row>
    <row r="182">
      <c r="A182" s="243"/>
      <c r="B182" s="243"/>
      <c r="C182" s="241"/>
      <c r="D182" s="241"/>
      <c r="E182" s="241"/>
      <c r="F182" s="241"/>
      <c r="G182" s="241"/>
      <c r="H182" s="241"/>
      <c r="I182" s="241"/>
      <c r="J182" s="241"/>
      <c r="K182" s="241"/>
      <c r="L182" s="241"/>
      <c r="M182" s="241"/>
      <c r="N182" s="241"/>
      <c r="O182" s="241"/>
      <c r="P182" s="241"/>
      <c r="Q182" s="241"/>
      <c r="R182" s="241"/>
      <c r="S182" s="241"/>
      <c r="T182" s="241"/>
      <c r="U182" s="241"/>
      <c r="V182" s="241"/>
      <c r="W182" s="241"/>
      <c r="X182" s="241"/>
      <c r="Y182" s="241"/>
      <c r="Z182" s="241"/>
      <c r="AA182" s="241"/>
    </row>
    <row r="183">
      <c r="A183" s="243"/>
      <c r="B183" s="243"/>
      <c r="C183" s="241"/>
      <c r="D183" s="241"/>
      <c r="E183" s="241"/>
      <c r="F183" s="241"/>
      <c r="G183" s="241"/>
      <c r="H183" s="241"/>
      <c r="I183" s="241"/>
      <c r="J183" s="241"/>
      <c r="K183" s="241"/>
      <c r="L183" s="241"/>
      <c r="M183" s="241"/>
      <c r="N183" s="241"/>
      <c r="O183" s="241"/>
      <c r="P183" s="241"/>
      <c r="Q183" s="241"/>
      <c r="R183" s="241"/>
      <c r="S183" s="241"/>
      <c r="T183" s="241"/>
      <c r="U183" s="241"/>
      <c r="V183" s="241"/>
      <c r="W183" s="241"/>
      <c r="X183" s="241"/>
      <c r="Y183" s="241"/>
      <c r="Z183" s="241"/>
      <c r="AA183" s="241"/>
    </row>
    <row r="184">
      <c r="A184" s="243"/>
      <c r="B184" s="243"/>
      <c r="C184" s="241"/>
      <c r="D184" s="241"/>
      <c r="E184" s="241"/>
      <c r="F184" s="241"/>
      <c r="G184" s="241"/>
      <c r="H184" s="241"/>
      <c r="I184" s="241"/>
      <c r="J184" s="241"/>
      <c r="K184" s="241"/>
      <c r="L184" s="241"/>
      <c r="M184" s="241"/>
      <c r="N184" s="241"/>
      <c r="O184" s="241"/>
      <c r="P184" s="241"/>
      <c r="Q184" s="241"/>
      <c r="R184" s="241"/>
      <c r="S184" s="241"/>
      <c r="T184" s="241"/>
      <c r="U184" s="241"/>
      <c r="V184" s="241"/>
      <c r="W184" s="241"/>
      <c r="X184" s="241"/>
      <c r="Y184" s="241"/>
      <c r="Z184" s="241"/>
      <c r="AA184" s="241"/>
    </row>
    <row r="185">
      <c r="A185" s="243"/>
      <c r="B185" s="243"/>
      <c r="C185" s="241"/>
      <c r="D185" s="241"/>
      <c r="E185" s="241"/>
      <c r="F185" s="241"/>
      <c r="G185" s="241"/>
      <c r="H185" s="241"/>
      <c r="I185" s="241"/>
      <c r="J185" s="241"/>
      <c r="K185" s="241"/>
      <c r="L185" s="241"/>
      <c r="M185" s="241"/>
      <c r="N185" s="241"/>
      <c r="O185" s="241"/>
      <c r="P185" s="241"/>
      <c r="Q185" s="241"/>
      <c r="R185" s="241"/>
      <c r="S185" s="241"/>
      <c r="T185" s="241"/>
      <c r="U185" s="241"/>
      <c r="V185" s="241"/>
      <c r="W185" s="241"/>
      <c r="X185" s="241"/>
      <c r="Y185" s="241"/>
      <c r="Z185" s="241"/>
      <c r="AA185" s="241"/>
    </row>
    <row r="186">
      <c r="A186" s="243"/>
      <c r="B186" s="243"/>
      <c r="C186" s="241"/>
      <c r="D186" s="241"/>
      <c r="E186" s="241"/>
      <c r="F186" s="241"/>
      <c r="G186" s="241"/>
      <c r="H186" s="241"/>
      <c r="I186" s="241"/>
      <c r="J186" s="241"/>
      <c r="K186" s="241"/>
      <c r="L186" s="241"/>
      <c r="M186" s="241"/>
      <c r="N186" s="241"/>
      <c r="O186" s="241"/>
      <c r="P186" s="241"/>
      <c r="Q186" s="241"/>
      <c r="R186" s="241"/>
      <c r="S186" s="241"/>
      <c r="T186" s="241"/>
      <c r="U186" s="241"/>
      <c r="V186" s="241"/>
      <c r="W186" s="241"/>
      <c r="X186" s="241"/>
      <c r="Y186" s="241"/>
      <c r="Z186" s="241"/>
      <c r="AA186" s="241"/>
    </row>
    <row r="187">
      <c r="A187" s="243"/>
      <c r="B187" s="243"/>
      <c r="C187" s="241"/>
      <c r="D187" s="241"/>
      <c r="E187" s="241"/>
      <c r="F187" s="241"/>
      <c r="G187" s="241"/>
      <c r="H187" s="241"/>
      <c r="I187" s="241"/>
      <c r="J187" s="241"/>
      <c r="K187" s="241"/>
      <c r="L187" s="241"/>
      <c r="M187" s="241"/>
      <c r="N187" s="241"/>
      <c r="O187" s="241"/>
      <c r="P187" s="241"/>
      <c r="Q187" s="241"/>
      <c r="R187" s="241"/>
      <c r="S187" s="241"/>
      <c r="T187" s="241"/>
      <c r="U187" s="241"/>
      <c r="V187" s="241"/>
      <c r="W187" s="241"/>
      <c r="X187" s="241"/>
      <c r="Y187" s="241"/>
      <c r="Z187" s="241"/>
      <c r="AA187" s="241"/>
    </row>
    <row r="188">
      <c r="A188" s="243"/>
      <c r="B188" s="243"/>
      <c r="C188" s="241"/>
      <c r="D188" s="241"/>
      <c r="E188" s="241"/>
      <c r="F188" s="241"/>
      <c r="G188" s="241"/>
      <c r="H188" s="241"/>
      <c r="I188" s="241"/>
      <c r="J188" s="241"/>
      <c r="K188" s="241"/>
      <c r="L188" s="241"/>
      <c r="M188" s="241"/>
      <c r="N188" s="241"/>
      <c r="O188" s="241"/>
      <c r="P188" s="241"/>
      <c r="Q188" s="241"/>
      <c r="R188" s="241"/>
      <c r="S188" s="241"/>
      <c r="T188" s="241"/>
      <c r="U188" s="241"/>
      <c r="V188" s="241"/>
      <c r="W188" s="241"/>
      <c r="X188" s="241"/>
      <c r="Y188" s="241"/>
      <c r="Z188" s="241"/>
      <c r="AA188" s="241"/>
    </row>
    <row r="189">
      <c r="A189" s="243"/>
      <c r="B189" s="243"/>
      <c r="C189" s="241"/>
      <c r="D189" s="241"/>
      <c r="E189" s="241"/>
      <c r="F189" s="241"/>
      <c r="G189" s="241"/>
      <c r="H189" s="241"/>
      <c r="I189" s="241"/>
      <c r="J189" s="241"/>
      <c r="K189" s="241"/>
      <c r="L189" s="241"/>
      <c r="M189" s="241"/>
      <c r="N189" s="241"/>
      <c r="O189" s="241"/>
      <c r="P189" s="241"/>
      <c r="Q189" s="241"/>
      <c r="R189" s="241"/>
      <c r="S189" s="241"/>
      <c r="T189" s="241"/>
      <c r="U189" s="241"/>
      <c r="V189" s="241"/>
      <c r="W189" s="241"/>
      <c r="X189" s="241"/>
      <c r="Y189" s="241"/>
      <c r="Z189" s="241"/>
      <c r="AA189" s="241"/>
    </row>
    <row r="190">
      <c r="A190" s="243"/>
      <c r="B190" s="243"/>
      <c r="C190" s="241"/>
      <c r="D190" s="241"/>
      <c r="E190" s="241"/>
      <c r="F190" s="241"/>
      <c r="G190" s="241"/>
      <c r="H190" s="241"/>
      <c r="I190" s="241"/>
      <c r="J190" s="241"/>
      <c r="K190" s="241"/>
      <c r="L190" s="241"/>
      <c r="M190" s="241"/>
      <c r="N190" s="241"/>
      <c r="O190" s="241"/>
      <c r="P190" s="241"/>
      <c r="Q190" s="241"/>
      <c r="R190" s="241"/>
      <c r="S190" s="241"/>
      <c r="T190" s="241"/>
      <c r="U190" s="241"/>
      <c r="V190" s="241"/>
      <c r="W190" s="241"/>
      <c r="X190" s="241"/>
      <c r="Y190" s="241"/>
      <c r="Z190" s="241"/>
      <c r="AA190" s="241"/>
    </row>
    <row r="191">
      <c r="A191" s="243"/>
      <c r="B191" s="243"/>
      <c r="C191" s="241"/>
      <c r="D191" s="241"/>
      <c r="E191" s="241"/>
      <c r="F191" s="241"/>
      <c r="G191" s="241"/>
      <c r="H191" s="241"/>
      <c r="I191" s="241"/>
      <c r="J191" s="241"/>
      <c r="K191" s="241"/>
      <c r="L191" s="241"/>
      <c r="M191" s="241"/>
      <c r="N191" s="241"/>
      <c r="O191" s="241"/>
      <c r="P191" s="241"/>
      <c r="Q191" s="241"/>
      <c r="R191" s="241"/>
      <c r="S191" s="241"/>
      <c r="T191" s="241"/>
      <c r="U191" s="241"/>
      <c r="V191" s="241"/>
      <c r="W191" s="241"/>
      <c r="X191" s="241"/>
      <c r="Y191" s="241"/>
      <c r="Z191" s="241"/>
      <c r="AA191" s="241"/>
    </row>
    <row r="192">
      <c r="A192" s="243"/>
      <c r="B192" s="243"/>
      <c r="C192" s="241"/>
      <c r="D192" s="241"/>
      <c r="E192" s="241"/>
      <c r="F192" s="241"/>
      <c r="G192" s="241"/>
      <c r="H192" s="241"/>
      <c r="I192" s="241"/>
      <c r="J192" s="241"/>
      <c r="K192" s="241"/>
      <c r="L192" s="241"/>
      <c r="M192" s="241"/>
      <c r="N192" s="241"/>
      <c r="O192" s="241"/>
      <c r="P192" s="241"/>
      <c r="Q192" s="241"/>
      <c r="R192" s="241"/>
      <c r="S192" s="241"/>
      <c r="T192" s="241"/>
      <c r="U192" s="241"/>
      <c r="V192" s="241"/>
      <c r="W192" s="241"/>
      <c r="X192" s="241"/>
      <c r="Y192" s="241"/>
      <c r="Z192" s="241"/>
      <c r="AA192" s="241"/>
    </row>
    <row r="193">
      <c r="A193" s="243"/>
      <c r="B193" s="243"/>
      <c r="C193" s="241"/>
      <c r="D193" s="241"/>
      <c r="E193" s="241"/>
      <c r="F193" s="241"/>
      <c r="G193" s="241"/>
      <c r="H193" s="241"/>
      <c r="I193" s="241"/>
      <c r="J193" s="241"/>
      <c r="K193" s="241"/>
      <c r="L193" s="241"/>
      <c r="M193" s="241"/>
      <c r="N193" s="241"/>
      <c r="O193" s="241"/>
      <c r="P193" s="241"/>
      <c r="Q193" s="241"/>
      <c r="R193" s="241"/>
      <c r="S193" s="241"/>
      <c r="T193" s="241"/>
      <c r="U193" s="241"/>
      <c r="V193" s="241"/>
      <c r="W193" s="241"/>
      <c r="X193" s="241"/>
      <c r="Y193" s="241"/>
      <c r="Z193" s="241"/>
      <c r="AA193" s="241"/>
    </row>
    <row r="194">
      <c r="A194" s="243"/>
      <c r="B194" s="243"/>
      <c r="C194" s="241"/>
      <c r="D194" s="241"/>
      <c r="E194" s="241"/>
      <c r="F194" s="241"/>
      <c r="G194" s="241"/>
      <c r="H194" s="241"/>
      <c r="I194" s="241"/>
      <c r="J194" s="241"/>
      <c r="K194" s="241"/>
      <c r="L194" s="241"/>
      <c r="M194" s="241"/>
      <c r="N194" s="241"/>
      <c r="O194" s="241"/>
      <c r="P194" s="241"/>
      <c r="Q194" s="241"/>
      <c r="R194" s="241"/>
      <c r="S194" s="241"/>
      <c r="T194" s="241"/>
      <c r="U194" s="241"/>
      <c r="V194" s="241"/>
      <c r="W194" s="241"/>
      <c r="X194" s="241"/>
      <c r="Y194" s="241"/>
      <c r="Z194" s="241"/>
      <c r="AA194" s="241"/>
    </row>
    <row r="195">
      <c r="A195" s="243"/>
      <c r="B195" s="243"/>
      <c r="C195" s="241"/>
      <c r="D195" s="241"/>
      <c r="E195" s="241"/>
      <c r="F195" s="241"/>
      <c r="G195" s="241"/>
      <c r="H195" s="241"/>
      <c r="I195" s="241"/>
      <c r="J195" s="241"/>
      <c r="K195" s="241"/>
      <c r="L195" s="241"/>
      <c r="M195" s="241"/>
      <c r="N195" s="241"/>
      <c r="O195" s="241"/>
      <c r="P195" s="241"/>
      <c r="Q195" s="241"/>
      <c r="R195" s="241"/>
      <c r="S195" s="241"/>
      <c r="T195" s="241"/>
      <c r="U195" s="241"/>
      <c r="V195" s="241"/>
      <c r="W195" s="241"/>
      <c r="X195" s="241"/>
      <c r="Y195" s="241"/>
      <c r="Z195" s="241"/>
      <c r="AA195" s="241"/>
    </row>
    <row r="196">
      <c r="A196" s="243"/>
      <c r="B196" s="243"/>
      <c r="C196" s="241"/>
      <c r="D196" s="241"/>
      <c r="E196" s="241"/>
      <c r="F196" s="241"/>
      <c r="G196" s="241"/>
      <c r="H196" s="241"/>
      <c r="I196" s="241"/>
      <c r="J196" s="241"/>
      <c r="K196" s="241"/>
      <c r="L196" s="241"/>
      <c r="M196" s="241"/>
      <c r="N196" s="241"/>
      <c r="O196" s="241"/>
      <c r="P196" s="241"/>
      <c r="Q196" s="241"/>
      <c r="R196" s="241"/>
      <c r="S196" s="241"/>
      <c r="T196" s="241"/>
      <c r="U196" s="241"/>
      <c r="V196" s="241"/>
      <c r="W196" s="241"/>
      <c r="X196" s="241"/>
      <c r="Y196" s="241"/>
      <c r="Z196" s="241"/>
      <c r="AA196" s="241"/>
    </row>
    <row r="197">
      <c r="A197" s="243"/>
      <c r="B197" s="243"/>
      <c r="C197" s="241"/>
      <c r="D197" s="241"/>
      <c r="E197" s="241"/>
      <c r="F197" s="241"/>
      <c r="G197" s="241"/>
      <c r="H197" s="241"/>
      <c r="I197" s="241"/>
      <c r="J197" s="241"/>
      <c r="K197" s="241"/>
      <c r="L197" s="241"/>
      <c r="M197" s="241"/>
      <c r="N197" s="241"/>
      <c r="O197" s="241"/>
      <c r="P197" s="241"/>
      <c r="Q197" s="241"/>
      <c r="R197" s="241"/>
      <c r="S197" s="241"/>
      <c r="T197" s="241"/>
      <c r="U197" s="241"/>
      <c r="V197" s="241"/>
      <c r="W197" s="241"/>
      <c r="X197" s="241"/>
      <c r="Y197" s="241"/>
      <c r="Z197" s="241"/>
      <c r="AA197" s="241"/>
    </row>
    <row r="198">
      <c r="A198" s="243"/>
      <c r="B198" s="243"/>
      <c r="C198" s="241"/>
      <c r="D198" s="241"/>
      <c r="E198" s="241"/>
      <c r="F198" s="241"/>
      <c r="G198" s="241"/>
      <c r="H198" s="241"/>
      <c r="I198" s="241"/>
      <c r="J198" s="241"/>
      <c r="K198" s="241"/>
      <c r="L198" s="241"/>
      <c r="M198" s="241"/>
      <c r="N198" s="241"/>
      <c r="O198" s="241"/>
      <c r="P198" s="241"/>
      <c r="Q198" s="241"/>
      <c r="R198" s="241"/>
      <c r="S198" s="241"/>
      <c r="T198" s="241"/>
      <c r="U198" s="241"/>
      <c r="V198" s="241"/>
      <c r="W198" s="241"/>
      <c r="X198" s="241"/>
      <c r="Y198" s="241"/>
      <c r="Z198" s="241"/>
      <c r="AA198" s="241"/>
    </row>
    <row r="199">
      <c r="A199" s="243"/>
      <c r="B199" s="243"/>
      <c r="C199" s="241"/>
      <c r="D199" s="241"/>
      <c r="E199" s="241"/>
      <c r="F199" s="241"/>
      <c r="G199" s="241"/>
      <c r="H199" s="241"/>
      <c r="I199" s="241"/>
      <c r="J199" s="241"/>
      <c r="K199" s="241"/>
      <c r="L199" s="241"/>
      <c r="M199" s="241"/>
      <c r="N199" s="241"/>
      <c r="O199" s="241"/>
      <c r="P199" s="241"/>
      <c r="Q199" s="241"/>
      <c r="R199" s="241"/>
      <c r="S199" s="241"/>
      <c r="T199" s="241"/>
      <c r="U199" s="241"/>
      <c r="V199" s="241"/>
      <c r="W199" s="241"/>
      <c r="X199" s="241"/>
      <c r="Y199" s="241"/>
      <c r="Z199" s="241"/>
      <c r="AA199" s="241"/>
    </row>
    <row r="200">
      <c r="A200" s="243"/>
      <c r="B200" s="243"/>
      <c r="C200" s="241"/>
      <c r="D200" s="241"/>
      <c r="E200" s="241"/>
      <c r="F200" s="241"/>
      <c r="G200" s="241"/>
      <c r="H200" s="241"/>
      <c r="I200" s="241"/>
      <c r="J200" s="241"/>
      <c r="K200" s="241"/>
      <c r="L200" s="241"/>
      <c r="M200" s="241"/>
      <c r="N200" s="241"/>
      <c r="O200" s="241"/>
      <c r="P200" s="241"/>
      <c r="Q200" s="241"/>
      <c r="R200" s="241"/>
      <c r="S200" s="241"/>
      <c r="T200" s="241"/>
      <c r="U200" s="241"/>
      <c r="V200" s="241"/>
      <c r="W200" s="241"/>
      <c r="X200" s="241"/>
      <c r="Y200" s="241"/>
      <c r="Z200" s="241"/>
      <c r="AA200" s="241"/>
    </row>
    <row r="201">
      <c r="A201" s="243"/>
      <c r="B201" s="243"/>
      <c r="C201" s="241"/>
      <c r="D201" s="241"/>
      <c r="E201" s="241"/>
      <c r="F201" s="241"/>
      <c r="G201" s="241"/>
      <c r="H201" s="241"/>
      <c r="I201" s="241"/>
      <c r="J201" s="241"/>
      <c r="K201" s="241"/>
      <c r="L201" s="241"/>
      <c r="M201" s="241"/>
      <c r="N201" s="241"/>
      <c r="O201" s="241"/>
      <c r="P201" s="241"/>
      <c r="Q201" s="241"/>
      <c r="R201" s="241"/>
      <c r="S201" s="241"/>
      <c r="T201" s="241"/>
      <c r="U201" s="241"/>
      <c r="V201" s="241"/>
      <c r="W201" s="241"/>
      <c r="X201" s="241"/>
      <c r="Y201" s="241"/>
      <c r="Z201" s="241"/>
      <c r="AA201" s="241"/>
    </row>
    <row r="202">
      <c r="A202" s="243"/>
      <c r="B202" s="243"/>
      <c r="C202" s="241"/>
      <c r="D202" s="241"/>
      <c r="E202" s="241"/>
      <c r="F202" s="241"/>
      <c r="G202" s="241"/>
      <c r="H202" s="241"/>
      <c r="I202" s="241"/>
      <c r="J202" s="241"/>
      <c r="K202" s="241"/>
      <c r="L202" s="241"/>
      <c r="M202" s="241"/>
      <c r="N202" s="241"/>
      <c r="O202" s="241"/>
      <c r="P202" s="241"/>
      <c r="Q202" s="241"/>
      <c r="R202" s="241"/>
      <c r="S202" s="241"/>
      <c r="T202" s="241"/>
      <c r="U202" s="241"/>
      <c r="V202" s="241"/>
      <c r="W202" s="241"/>
      <c r="X202" s="241"/>
      <c r="Y202" s="241"/>
      <c r="Z202" s="241"/>
      <c r="AA202" s="241"/>
    </row>
    <row r="203">
      <c r="A203" s="243"/>
      <c r="B203" s="243"/>
      <c r="C203" s="241"/>
      <c r="D203" s="241"/>
      <c r="E203" s="241"/>
      <c r="F203" s="241"/>
      <c r="G203" s="241"/>
      <c r="H203" s="241"/>
      <c r="I203" s="241"/>
      <c r="J203" s="241"/>
      <c r="K203" s="241"/>
      <c r="L203" s="241"/>
      <c r="M203" s="241"/>
      <c r="N203" s="241"/>
      <c r="O203" s="241"/>
      <c r="P203" s="241"/>
      <c r="Q203" s="241"/>
      <c r="R203" s="241"/>
      <c r="S203" s="241"/>
      <c r="T203" s="241"/>
      <c r="U203" s="241"/>
      <c r="V203" s="241"/>
      <c r="W203" s="241"/>
      <c r="X203" s="241"/>
      <c r="Y203" s="241"/>
      <c r="Z203" s="241"/>
      <c r="AA203" s="241"/>
    </row>
    <row r="204">
      <c r="A204" s="243"/>
      <c r="B204" s="243"/>
      <c r="C204" s="241"/>
      <c r="D204" s="241"/>
      <c r="E204" s="241"/>
      <c r="F204" s="241"/>
      <c r="G204" s="241"/>
      <c r="H204" s="241"/>
      <c r="I204" s="241"/>
      <c r="J204" s="241"/>
      <c r="K204" s="241"/>
      <c r="L204" s="241"/>
      <c r="M204" s="241"/>
      <c r="N204" s="241"/>
      <c r="O204" s="241"/>
      <c r="P204" s="241"/>
      <c r="Q204" s="241"/>
      <c r="R204" s="241"/>
      <c r="S204" s="241"/>
      <c r="T204" s="241"/>
      <c r="U204" s="241"/>
      <c r="V204" s="241"/>
      <c r="W204" s="241"/>
      <c r="X204" s="241"/>
      <c r="Y204" s="241"/>
      <c r="Z204" s="241"/>
      <c r="AA204" s="241"/>
    </row>
    <row r="205">
      <c r="A205" s="243"/>
      <c r="B205" s="243"/>
      <c r="C205" s="241"/>
      <c r="D205" s="241"/>
      <c r="E205" s="241"/>
      <c r="F205" s="241"/>
      <c r="G205" s="241"/>
      <c r="H205" s="241"/>
      <c r="I205" s="241"/>
      <c r="J205" s="241"/>
      <c r="K205" s="241"/>
      <c r="L205" s="241"/>
      <c r="M205" s="241"/>
      <c r="N205" s="241"/>
      <c r="O205" s="241"/>
      <c r="P205" s="241"/>
      <c r="Q205" s="241"/>
      <c r="R205" s="241"/>
      <c r="S205" s="241"/>
      <c r="T205" s="241"/>
      <c r="U205" s="241"/>
      <c r="V205" s="241"/>
      <c r="W205" s="241"/>
      <c r="X205" s="241"/>
      <c r="Y205" s="241"/>
      <c r="Z205" s="241"/>
      <c r="AA205" s="241"/>
    </row>
    <row r="206">
      <c r="A206" s="243"/>
      <c r="B206" s="243"/>
      <c r="C206" s="241"/>
      <c r="D206" s="241"/>
      <c r="E206" s="241"/>
      <c r="F206" s="241"/>
      <c r="G206" s="241"/>
      <c r="H206" s="241"/>
      <c r="I206" s="241"/>
      <c r="J206" s="241"/>
      <c r="K206" s="241"/>
      <c r="L206" s="241"/>
      <c r="M206" s="241"/>
      <c r="N206" s="241"/>
      <c r="O206" s="241"/>
      <c r="P206" s="241"/>
      <c r="Q206" s="241"/>
      <c r="R206" s="241"/>
      <c r="S206" s="241"/>
      <c r="T206" s="241"/>
      <c r="U206" s="241"/>
      <c r="V206" s="241"/>
      <c r="W206" s="241"/>
      <c r="X206" s="241"/>
      <c r="Y206" s="241"/>
      <c r="Z206" s="241"/>
      <c r="AA206" s="241"/>
    </row>
    <row r="207">
      <c r="A207" s="243"/>
      <c r="B207" s="243"/>
      <c r="C207" s="241"/>
      <c r="D207" s="241"/>
      <c r="E207" s="241"/>
      <c r="F207" s="241"/>
      <c r="G207" s="241"/>
      <c r="H207" s="241"/>
      <c r="I207" s="241"/>
      <c r="J207" s="241"/>
      <c r="K207" s="241"/>
      <c r="L207" s="241"/>
      <c r="M207" s="241"/>
      <c r="N207" s="241"/>
      <c r="O207" s="241"/>
      <c r="P207" s="241"/>
      <c r="Q207" s="241"/>
      <c r="R207" s="241"/>
      <c r="S207" s="241"/>
      <c r="T207" s="241"/>
      <c r="U207" s="241"/>
      <c r="V207" s="241"/>
      <c r="W207" s="241"/>
      <c r="X207" s="241"/>
      <c r="Y207" s="241"/>
      <c r="Z207" s="241"/>
      <c r="AA207" s="241"/>
    </row>
    <row r="208">
      <c r="A208" s="243"/>
      <c r="B208" s="243"/>
      <c r="C208" s="241"/>
      <c r="D208" s="241"/>
      <c r="E208" s="241"/>
      <c r="F208" s="241"/>
      <c r="G208" s="241"/>
      <c r="H208" s="241"/>
      <c r="I208" s="241"/>
      <c r="J208" s="241"/>
      <c r="K208" s="241"/>
      <c r="L208" s="241"/>
      <c r="M208" s="241"/>
      <c r="N208" s="241"/>
      <c r="O208" s="241"/>
      <c r="P208" s="241"/>
      <c r="Q208" s="241"/>
      <c r="R208" s="241"/>
      <c r="S208" s="241"/>
      <c r="T208" s="241"/>
      <c r="U208" s="241"/>
      <c r="V208" s="241"/>
      <c r="W208" s="241"/>
      <c r="X208" s="241"/>
      <c r="Y208" s="241"/>
      <c r="Z208" s="241"/>
      <c r="AA208" s="241"/>
    </row>
    <row r="209">
      <c r="A209" s="243"/>
      <c r="B209" s="243"/>
      <c r="C209" s="241"/>
      <c r="D209" s="241"/>
      <c r="E209" s="241"/>
      <c r="F209" s="241"/>
      <c r="G209" s="241"/>
      <c r="H209" s="241"/>
      <c r="I209" s="241"/>
      <c r="J209" s="241"/>
      <c r="K209" s="241"/>
      <c r="L209" s="241"/>
      <c r="M209" s="241"/>
      <c r="N209" s="241"/>
      <c r="O209" s="241"/>
      <c r="P209" s="241"/>
      <c r="Q209" s="241"/>
      <c r="R209" s="241"/>
      <c r="S209" s="241"/>
      <c r="T209" s="241"/>
      <c r="U209" s="241"/>
      <c r="V209" s="241"/>
      <c r="W209" s="241"/>
      <c r="X209" s="241"/>
      <c r="Y209" s="241"/>
      <c r="Z209" s="241"/>
      <c r="AA209" s="241"/>
    </row>
    <row r="210">
      <c r="A210" s="243"/>
      <c r="B210" s="243"/>
      <c r="C210" s="241"/>
      <c r="D210" s="241"/>
      <c r="E210" s="241"/>
      <c r="F210" s="241"/>
      <c r="G210" s="241"/>
      <c r="H210" s="241"/>
      <c r="I210" s="241"/>
      <c r="J210" s="241"/>
      <c r="K210" s="241"/>
      <c r="L210" s="241"/>
      <c r="M210" s="241"/>
      <c r="N210" s="241"/>
      <c r="O210" s="241"/>
      <c r="P210" s="241"/>
      <c r="Q210" s="241"/>
      <c r="R210" s="241"/>
      <c r="S210" s="241"/>
      <c r="T210" s="241"/>
      <c r="U210" s="241"/>
      <c r="V210" s="241"/>
      <c r="W210" s="241"/>
      <c r="X210" s="241"/>
      <c r="Y210" s="241"/>
      <c r="Z210" s="241"/>
      <c r="AA210" s="241"/>
    </row>
    <row r="211">
      <c r="A211" s="243"/>
      <c r="B211" s="243"/>
      <c r="C211" s="241"/>
      <c r="D211" s="241"/>
      <c r="E211" s="241"/>
      <c r="F211" s="241"/>
      <c r="G211" s="241"/>
      <c r="H211" s="241"/>
      <c r="I211" s="241"/>
      <c r="J211" s="241"/>
      <c r="K211" s="241"/>
      <c r="L211" s="241"/>
      <c r="M211" s="241"/>
      <c r="N211" s="241"/>
      <c r="O211" s="241"/>
      <c r="P211" s="241"/>
      <c r="Q211" s="241"/>
      <c r="R211" s="241"/>
      <c r="S211" s="241"/>
      <c r="T211" s="241"/>
      <c r="U211" s="241"/>
      <c r="V211" s="241"/>
      <c r="W211" s="241"/>
      <c r="X211" s="241"/>
      <c r="Y211" s="241"/>
      <c r="Z211" s="241"/>
      <c r="AA211" s="241"/>
    </row>
    <row r="212">
      <c r="A212" s="243"/>
      <c r="B212" s="243"/>
      <c r="C212" s="241"/>
      <c r="D212" s="241"/>
      <c r="E212" s="241"/>
      <c r="F212" s="241"/>
      <c r="G212" s="241"/>
      <c r="H212" s="241"/>
      <c r="I212" s="241"/>
      <c r="J212" s="241"/>
      <c r="K212" s="241"/>
      <c r="L212" s="241"/>
      <c r="M212" s="241"/>
      <c r="N212" s="241"/>
      <c r="O212" s="241"/>
      <c r="P212" s="241"/>
      <c r="Q212" s="241"/>
      <c r="R212" s="241"/>
      <c r="S212" s="241"/>
      <c r="T212" s="241"/>
      <c r="U212" s="241"/>
      <c r="V212" s="241"/>
      <c r="W212" s="241"/>
      <c r="X212" s="241"/>
      <c r="Y212" s="241"/>
      <c r="Z212" s="241"/>
      <c r="AA212" s="241"/>
    </row>
    <row r="213">
      <c r="A213" s="243"/>
      <c r="B213" s="243"/>
      <c r="C213" s="241"/>
      <c r="D213" s="241"/>
      <c r="E213" s="241"/>
      <c r="F213" s="241"/>
      <c r="G213" s="241"/>
      <c r="H213" s="241"/>
      <c r="I213" s="241"/>
      <c r="J213" s="241"/>
      <c r="K213" s="241"/>
      <c r="L213" s="241"/>
      <c r="M213" s="241"/>
      <c r="N213" s="241"/>
      <c r="O213" s="241"/>
      <c r="P213" s="241"/>
      <c r="Q213" s="241"/>
      <c r="R213" s="241"/>
      <c r="S213" s="241"/>
      <c r="T213" s="241"/>
      <c r="U213" s="241"/>
      <c r="V213" s="241"/>
      <c r="W213" s="241"/>
      <c r="X213" s="241"/>
      <c r="Y213" s="241"/>
      <c r="Z213" s="241"/>
      <c r="AA213" s="241"/>
    </row>
    <row r="214">
      <c r="A214" s="243"/>
      <c r="B214" s="243"/>
      <c r="C214" s="241"/>
      <c r="D214" s="241"/>
      <c r="E214" s="241"/>
      <c r="F214" s="241"/>
      <c r="G214" s="241"/>
      <c r="H214" s="241"/>
      <c r="I214" s="241"/>
      <c r="J214" s="241"/>
      <c r="K214" s="241"/>
      <c r="L214" s="241"/>
      <c r="M214" s="241"/>
      <c r="N214" s="241"/>
      <c r="O214" s="241"/>
      <c r="P214" s="241"/>
      <c r="Q214" s="241"/>
      <c r="R214" s="241"/>
      <c r="S214" s="241"/>
      <c r="T214" s="241"/>
      <c r="U214" s="241"/>
      <c r="V214" s="241"/>
      <c r="W214" s="241"/>
      <c r="X214" s="241"/>
      <c r="Y214" s="241"/>
      <c r="Z214" s="241"/>
      <c r="AA214" s="241"/>
    </row>
    <row r="215">
      <c r="A215" s="243"/>
      <c r="B215" s="243"/>
      <c r="C215" s="241"/>
      <c r="D215" s="241"/>
      <c r="E215" s="241"/>
      <c r="F215" s="241"/>
      <c r="G215" s="241"/>
      <c r="H215" s="241"/>
      <c r="I215" s="241"/>
      <c r="J215" s="241"/>
      <c r="K215" s="241"/>
      <c r="L215" s="241"/>
      <c r="M215" s="241"/>
      <c r="N215" s="241"/>
      <c r="O215" s="241"/>
      <c r="P215" s="241"/>
      <c r="Q215" s="241"/>
      <c r="R215" s="241"/>
      <c r="S215" s="241"/>
      <c r="T215" s="241"/>
      <c r="U215" s="241"/>
      <c r="V215" s="241"/>
      <c r="W215" s="241"/>
      <c r="X215" s="241"/>
      <c r="Y215" s="241"/>
      <c r="Z215" s="241"/>
      <c r="AA215" s="241"/>
    </row>
    <row r="216">
      <c r="A216" s="243"/>
      <c r="B216" s="243"/>
      <c r="C216" s="241"/>
      <c r="D216" s="241"/>
      <c r="E216" s="241"/>
      <c r="F216" s="241"/>
      <c r="G216" s="241"/>
      <c r="H216" s="241"/>
      <c r="I216" s="241"/>
      <c r="J216" s="241"/>
      <c r="K216" s="241"/>
      <c r="L216" s="241"/>
      <c r="M216" s="241"/>
      <c r="N216" s="241"/>
      <c r="O216" s="241"/>
      <c r="P216" s="241"/>
      <c r="Q216" s="241"/>
      <c r="R216" s="241"/>
      <c r="S216" s="241"/>
      <c r="T216" s="241"/>
      <c r="U216" s="241"/>
      <c r="V216" s="241"/>
      <c r="W216" s="241"/>
      <c r="X216" s="241"/>
      <c r="Y216" s="241"/>
      <c r="Z216" s="241"/>
      <c r="AA216" s="241"/>
    </row>
    <row r="217">
      <c r="A217" s="243"/>
      <c r="B217" s="243"/>
      <c r="C217" s="241"/>
      <c r="D217" s="241"/>
      <c r="E217" s="241"/>
      <c r="F217" s="241"/>
      <c r="G217" s="241"/>
      <c r="H217" s="241"/>
      <c r="I217" s="241"/>
      <c r="J217" s="241"/>
      <c r="K217" s="241"/>
      <c r="L217" s="241"/>
      <c r="M217" s="241"/>
      <c r="N217" s="241"/>
      <c r="O217" s="241"/>
      <c r="P217" s="241"/>
      <c r="Q217" s="241"/>
      <c r="R217" s="241"/>
      <c r="S217" s="241"/>
      <c r="T217" s="241"/>
      <c r="U217" s="241"/>
      <c r="V217" s="241"/>
      <c r="W217" s="241"/>
      <c r="X217" s="241"/>
      <c r="Y217" s="241"/>
      <c r="Z217" s="241"/>
      <c r="AA217" s="241"/>
    </row>
    <row r="218">
      <c r="A218" s="243"/>
      <c r="B218" s="243"/>
      <c r="C218" s="241"/>
      <c r="D218" s="241"/>
      <c r="E218" s="241"/>
      <c r="F218" s="241"/>
      <c r="G218" s="241"/>
      <c r="H218" s="241"/>
      <c r="I218" s="241"/>
      <c r="J218" s="241"/>
      <c r="K218" s="241"/>
      <c r="L218" s="241"/>
      <c r="M218" s="241"/>
      <c r="N218" s="241"/>
      <c r="O218" s="241"/>
      <c r="P218" s="241"/>
      <c r="Q218" s="241"/>
      <c r="R218" s="241"/>
      <c r="S218" s="241"/>
      <c r="T218" s="241"/>
      <c r="U218" s="241"/>
      <c r="V218" s="241"/>
      <c r="W218" s="241"/>
      <c r="X218" s="241"/>
      <c r="Y218" s="241"/>
      <c r="Z218" s="241"/>
      <c r="AA218" s="241"/>
    </row>
    <row r="219">
      <c r="A219" s="243"/>
      <c r="B219" s="243"/>
      <c r="C219" s="241"/>
      <c r="D219" s="241"/>
      <c r="E219" s="241"/>
      <c r="F219" s="241"/>
      <c r="G219" s="241"/>
      <c r="H219" s="241"/>
      <c r="I219" s="241"/>
      <c r="J219" s="241"/>
      <c r="K219" s="241"/>
      <c r="L219" s="241"/>
      <c r="M219" s="241"/>
      <c r="N219" s="241"/>
      <c r="O219" s="241"/>
      <c r="P219" s="241"/>
      <c r="Q219" s="241"/>
      <c r="R219" s="241"/>
      <c r="S219" s="241"/>
      <c r="T219" s="241"/>
      <c r="U219" s="241"/>
      <c r="V219" s="241"/>
      <c r="W219" s="241"/>
      <c r="X219" s="241"/>
      <c r="Y219" s="241"/>
      <c r="Z219" s="241"/>
      <c r="AA219" s="241"/>
    </row>
    <row r="220">
      <c r="A220" s="243"/>
      <c r="B220" s="243"/>
      <c r="C220" s="241"/>
      <c r="D220" s="241"/>
      <c r="E220" s="241"/>
      <c r="F220" s="241"/>
      <c r="G220" s="241"/>
      <c r="H220" s="241"/>
      <c r="I220" s="241"/>
      <c r="J220" s="241"/>
      <c r="K220" s="241"/>
      <c r="L220" s="241"/>
      <c r="M220" s="241"/>
      <c r="N220" s="241"/>
      <c r="O220" s="241"/>
      <c r="P220" s="241"/>
      <c r="Q220" s="241"/>
      <c r="R220" s="241"/>
      <c r="S220" s="241"/>
      <c r="T220" s="241"/>
      <c r="U220" s="241"/>
      <c r="V220" s="241"/>
      <c r="W220" s="241"/>
      <c r="X220" s="241"/>
      <c r="Y220" s="241"/>
      <c r="Z220" s="241"/>
      <c r="AA220" s="241"/>
    </row>
    <row r="221">
      <c r="A221" s="243"/>
      <c r="B221" s="243"/>
      <c r="C221" s="241"/>
      <c r="D221" s="241"/>
      <c r="E221" s="241"/>
      <c r="F221" s="241"/>
      <c r="G221" s="241"/>
      <c r="H221" s="241"/>
      <c r="I221" s="241"/>
      <c r="J221" s="241"/>
      <c r="K221" s="241"/>
      <c r="L221" s="241"/>
      <c r="M221" s="241"/>
      <c r="N221" s="241"/>
      <c r="O221" s="241"/>
      <c r="P221" s="241"/>
      <c r="Q221" s="241"/>
      <c r="R221" s="241"/>
      <c r="S221" s="241"/>
      <c r="T221" s="241"/>
      <c r="U221" s="241"/>
      <c r="V221" s="241"/>
      <c r="W221" s="241"/>
      <c r="X221" s="241"/>
      <c r="Y221" s="241"/>
      <c r="Z221" s="241"/>
      <c r="AA221" s="241"/>
    </row>
    <row r="222">
      <c r="A222" s="243"/>
      <c r="B222" s="243"/>
      <c r="C222" s="241"/>
      <c r="D222" s="241"/>
      <c r="E222" s="241"/>
      <c r="F222" s="241"/>
      <c r="G222" s="241"/>
      <c r="H222" s="241"/>
      <c r="I222" s="241"/>
      <c r="J222" s="241"/>
      <c r="K222" s="241"/>
      <c r="L222" s="241"/>
      <c r="M222" s="241"/>
      <c r="N222" s="241"/>
      <c r="O222" s="241"/>
      <c r="P222" s="241"/>
      <c r="Q222" s="241"/>
      <c r="R222" s="241"/>
      <c r="S222" s="241"/>
      <c r="T222" s="241"/>
      <c r="U222" s="241"/>
      <c r="V222" s="241"/>
      <c r="W222" s="241"/>
      <c r="X222" s="241"/>
      <c r="Y222" s="241"/>
      <c r="Z222" s="241"/>
      <c r="AA222" s="241"/>
    </row>
    <row r="223">
      <c r="A223" s="243"/>
      <c r="B223" s="243"/>
      <c r="C223" s="241"/>
      <c r="D223" s="241"/>
      <c r="E223" s="241"/>
      <c r="F223" s="241"/>
      <c r="G223" s="241"/>
      <c r="H223" s="241"/>
      <c r="I223" s="241"/>
      <c r="J223" s="241"/>
      <c r="K223" s="241"/>
      <c r="L223" s="241"/>
      <c r="M223" s="241"/>
      <c r="N223" s="241"/>
      <c r="O223" s="241"/>
      <c r="P223" s="241"/>
      <c r="Q223" s="241"/>
      <c r="R223" s="241"/>
      <c r="S223" s="241"/>
      <c r="T223" s="241"/>
      <c r="U223" s="241"/>
      <c r="V223" s="241"/>
      <c r="W223" s="241"/>
      <c r="X223" s="241"/>
      <c r="Y223" s="241"/>
      <c r="Z223" s="241"/>
      <c r="AA223" s="241"/>
    </row>
    <row r="224">
      <c r="A224" s="243"/>
      <c r="B224" s="243"/>
      <c r="C224" s="241"/>
      <c r="D224" s="241"/>
      <c r="E224" s="241"/>
      <c r="F224" s="241"/>
      <c r="G224" s="241"/>
      <c r="H224" s="241"/>
      <c r="I224" s="241"/>
      <c r="J224" s="241"/>
      <c r="K224" s="241"/>
      <c r="L224" s="241"/>
      <c r="M224" s="241"/>
      <c r="N224" s="241"/>
      <c r="O224" s="241"/>
      <c r="P224" s="241"/>
      <c r="Q224" s="241"/>
      <c r="R224" s="241"/>
      <c r="S224" s="241"/>
      <c r="T224" s="241"/>
      <c r="U224" s="241"/>
      <c r="V224" s="241"/>
      <c r="W224" s="241"/>
      <c r="X224" s="241"/>
      <c r="Y224" s="241"/>
      <c r="Z224" s="241"/>
      <c r="AA224" s="241"/>
    </row>
    <row r="225">
      <c r="A225" s="243"/>
      <c r="B225" s="243"/>
      <c r="C225" s="241"/>
      <c r="D225" s="241"/>
      <c r="E225" s="241"/>
      <c r="F225" s="241"/>
      <c r="G225" s="241"/>
      <c r="H225" s="241"/>
      <c r="I225" s="241"/>
      <c r="J225" s="241"/>
      <c r="K225" s="241"/>
      <c r="L225" s="241"/>
      <c r="M225" s="241"/>
      <c r="N225" s="241"/>
      <c r="O225" s="241"/>
      <c r="P225" s="241"/>
      <c r="Q225" s="241"/>
      <c r="R225" s="241"/>
      <c r="S225" s="241"/>
      <c r="T225" s="241"/>
      <c r="U225" s="241"/>
      <c r="V225" s="241"/>
      <c r="W225" s="241"/>
      <c r="X225" s="241"/>
      <c r="Y225" s="241"/>
      <c r="Z225" s="241"/>
      <c r="AA225" s="241"/>
    </row>
    <row r="226">
      <c r="A226" s="243"/>
      <c r="B226" s="243"/>
      <c r="C226" s="241"/>
      <c r="D226" s="241"/>
      <c r="E226" s="241"/>
      <c r="F226" s="241"/>
      <c r="G226" s="241"/>
      <c r="H226" s="241"/>
      <c r="I226" s="241"/>
      <c r="J226" s="241"/>
      <c r="K226" s="241"/>
      <c r="L226" s="241"/>
      <c r="M226" s="241"/>
      <c r="N226" s="241"/>
      <c r="O226" s="241"/>
      <c r="P226" s="241"/>
      <c r="Q226" s="241"/>
      <c r="R226" s="241"/>
      <c r="S226" s="241"/>
      <c r="T226" s="241"/>
      <c r="U226" s="241"/>
      <c r="V226" s="241"/>
      <c r="W226" s="241"/>
      <c r="X226" s="241"/>
      <c r="Y226" s="241"/>
      <c r="Z226" s="241"/>
      <c r="AA226" s="241"/>
    </row>
    <row r="227">
      <c r="A227" s="243"/>
      <c r="B227" s="243"/>
      <c r="C227" s="241"/>
      <c r="D227" s="241"/>
      <c r="E227" s="241"/>
      <c r="F227" s="241"/>
      <c r="G227" s="241"/>
      <c r="H227" s="241"/>
      <c r="I227" s="241"/>
      <c r="J227" s="241"/>
      <c r="K227" s="241"/>
      <c r="L227" s="241"/>
      <c r="M227" s="241"/>
      <c r="N227" s="241"/>
      <c r="O227" s="241"/>
      <c r="P227" s="241"/>
      <c r="Q227" s="241"/>
      <c r="R227" s="241"/>
      <c r="S227" s="241"/>
      <c r="T227" s="241"/>
      <c r="U227" s="241"/>
      <c r="V227" s="241"/>
      <c r="W227" s="241"/>
      <c r="X227" s="241"/>
      <c r="Y227" s="241"/>
      <c r="Z227" s="241"/>
      <c r="AA227" s="241"/>
    </row>
    <row r="228">
      <c r="A228" s="243"/>
      <c r="B228" s="243"/>
      <c r="C228" s="241"/>
      <c r="D228" s="241"/>
      <c r="E228" s="241"/>
      <c r="F228" s="241"/>
      <c r="G228" s="241"/>
      <c r="H228" s="241"/>
      <c r="I228" s="241"/>
      <c r="J228" s="241"/>
      <c r="K228" s="241"/>
      <c r="L228" s="241"/>
      <c r="M228" s="241"/>
      <c r="N228" s="241"/>
      <c r="O228" s="241"/>
      <c r="P228" s="241"/>
      <c r="Q228" s="241"/>
      <c r="R228" s="241"/>
      <c r="S228" s="241"/>
      <c r="T228" s="241"/>
      <c r="U228" s="241"/>
      <c r="V228" s="241"/>
      <c r="W228" s="241"/>
      <c r="X228" s="241"/>
      <c r="Y228" s="241"/>
      <c r="Z228" s="241"/>
      <c r="AA228" s="241"/>
    </row>
    <row r="229">
      <c r="A229" s="243"/>
      <c r="B229" s="243"/>
      <c r="C229" s="241"/>
      <c r="D229" s="241"/>
      <c r="E229" s="241"/>
      <c r="F229" s="241"/>
      <c r="G229" s="241"/>
      <c r="H229" s="241"/>
      <c r="I229" s="241"/>
      <c r="J229" s="241"/>
      <c r="K229" s="241"/>
      <c r="L229" s="241"/>
      <c r="M229" s="241"/>
      <c r="N229" s="241"/>
      <c r="O229" s="241"/>
      <c r="P229" s="241"/>
      <c r="Q229" s="241"/>
      <c r="R229" s="241"/>
      <c r="S229" s="241"/>
      <c r="T229" s="241"/>
      <c r="U229" s="241"/>
      <c r="V229" s="241"/>
      <c r="W229" s="241"/>
      <c r="X229" s="241"/>
      <c r="Y229" s="241"/>
      <c r="Z229" s="241"/>
      <c r="AA229" s="241"/>
    </row>
    <row r="230">
      <c r="A230" s="243"/>
      <c r="B230" s="243"/>
      <c r="C230" s="241"/>
      <c r="D230" s="241"/>
      <c r="E230" s="241"/>
      <c r="F230" s="241"/>
      <c r="G230" s="241"/>
      <c r="H230" s="241"/>
      <c r="I230" s="241"/>
      <c r="J230" s="241"/>
      <c r="K230" s="241"/>
      <c r="L230" s="241"/>
      <c r="M230" s="241"/>
      <c r="N230" s="241"/>
      <c r="O230" s="241"/>
      <c r="P230" s="241"/>
      <c r="Q230" s="241"/>
      <c r="R230" s="241"/>
      <c r="S230" s="241"/>
      <c r="T230" s="241"/>
      <c r="U230" s="241"/>
      <c r="V230" s="241"/>
      <c r="W230" s="241"/>
      <c r="X230" s="241"/>
      <c r="Y230" s="241"/>
      <c r="Z230" s="241"/>
      <c r="AA230" s="241"/>
    </row>
    <row r="231">
      <c r="A231" s="243"/>
      <c r="B231" s="243"/>
      <c r="C231" s="241"/>
      <c r="D231" s="241"/>
      <c r="E231" s="241"/>
      <c r="F231" s="241"/>
      <c r="G231" s="241"/>
      <c r="H231" s="241"/>
      <c r="I231" s="241"/>
      <c r="J231" s="241"/>
      <c r="K231" s="241"/>
      <c r="L231" s="241"/>
      <c r="M231" s="241"/>
      <c r="N231" s="241"/>
      <c r="O231" s="241"/>
      <c r="P231" s="241"/>
      <c r="Q231" s="241"/>
      <c r="R231" s="241"/>
      <c r="S231" s="241"/>
      <c r="T231" s="241"/>
      <c r="U231" s="241"/>
      <c r="V231" s="241"/>
      <c r="W231" s="241"/>
      <c r="X231" s="241"/>
      <c r="Y231" s="241"/>
      <c r="Z231" s="241"/>
      <c r="AA231" s="241"/>
    </row>
    <row r="232">
      <c r="A232" s="243"/>
      <c r="B232" s="243"/>
      <c r="C232" s="241"/>
      <c r="D232" s="241"/>
      <c r="E232" s="241"/>
      <c r="F232" s="241"/>
      <c r="G232" s="241"/>
      <c r="H232" s="241"/>
      <c r="I232" s="241"/>
      <c r="J232" s="241"/>
      <c r="K232" s="241"/>
      <c r="L232" s="241"/>
      <c r="M232" s="241"/>
      <c r="N232" s="241"/>
      <c r="O232" s="241"/>
      <c r="P232" s="241"/>
      <c r="Q232" s="241"/>
      <c r="R232" s="241"/>
      <c r="S232" s="241"/>
      <c r="T232" s="241"/>
      <c r="U232" s="241"/>
      <c r="V232" s="241"/>
      <c r="W232" s="241"/>
      <c r="X232" s="241"/>
      <c r="Y232" s="241"/>
      <c r="Z232" s="241"/>
      <c r="AA232" s="241"/>
    </row>
    <row r="233">
      <c r="A233" s="243"/>
      <c r="B233" s="243"/>
      <c r="C233" s="241"/>
      <c r="D233" s="241"/>
      <c r="E233" s="241"/>
      <c r="F233" s="241"/>
      <c r="G233" s="241"/>
      <c r="H233" s="241"/>
      <c r="I233" s="241"/>
      <c r="J233" s="241"/>
      <c r="K233" s="241"/>
      <c r="L233" s="241"/>
      <c r="M233" s="241"/>
      <c r="N233" s="241"/>
      <c r="O233" s="241"/>
      <c r="P233" s="241"/>
      <c r="Q233" s="241"/>
      <c r="R233" s="241"/>
      <c r="S233" s="241"/>
      <c r="T233" s="241"/>
      <c r="U233" s="241"/>
      <c r="V233" s="241"/>
      <c r="W233" s="241"/>
      <c r="X233" s="241"/>
      <c r="Y233" s="241"/>
      <c r="Z233" s="241"/>
      <c r="AA233" s="241"/>
    </row>
    <row r="234">
      <c r="A234" s="243"/>
      <c r="B234" s="243"/>
      <c r="C234" s="241"/>
      <c r="D234" s="241"/>
      <c r="E234" s="241"/>
      <c r="F234" s="241"/>
      <c r="G234" s="241"/>
      <c r="H234" s="241"/>
      <c r="I234" s="241"/>
      <c r="J234" s="241"/>
      <c r="K234" s="241"/>
      <c r="L234" s="241"/>
      <c r="M234" s="241"/>
      <c r="N234" s="241"/>
      <c r="O234" s="241"/>
      <c r="P234" s="241"/>
      <c r="Q234" s="241"/>
      <c r="R234" s="241"/>
      <c r="S234" s="241"/>
      <c r="T234" s="241"/>
      <c r="U234" s="241"/>
      <c r="V234" s="241"/>
      <c r="W234" s="241"/>
      <c r="X234" s="241"/>
      <c r="Y234" s="241"/>
      <c r="Z234" s="241"/>
      <c r="AA234" s="241"/>
    </row>
    <row r="235">
      <c r="A235" s="243"/>
      <c r="B235" s="243"/>
      <c r="C235" s="241"/>
      <c r="D235" s="241"/>
      <c r="E235" s="241"/>
      <c r="F235" s="241"/>
      <c r="G235" s="241"/>
      <c r="H235" s="241"/>
      <c r="I235" s="241"/>
      <c r="J235" s="241"/>
      <c r="K235" s="241"/>
      <c r="L235" s="241"/>
      <c r="M235" s="241"/>
      <c r="N235" s="241"/>
      <c r="O235" s="241"/>
      <c r="P235" s="241"/>
      <c r="Q235" s="241"/>
      <c r="R235" s="241"/>
      <c r="S235" s="241"/>
      <c r="T235" s="241"/>
      <c r="U235" s="241"/>
      <c r="V235" s="241"/>
      <c r="W235" s="241"/>
      <c r="X235" s="241"/>
      <c r="Y235" s="241"/>
      <c r="Z235" s="241"/>
      <c r="AA235" s="241"/>
    </row>
    <row r="236">
      <c r="A236" s="243"/>
      <c r="B236" s="243"/>
      <c r="C236" s="241"/>
      <c r="D236" s="241"/>
      <c r="E236" s="241"/>
      <c r="F236" s="241"/>
      <c r="G236" s="241"/>
      <c r="H236" s="241"/>
      <c r="I236" s="241"/>
      <c r="J236" s="241"/>
      <c r="K236" s="241"/>
      <c r="L236" s="241"/>
      <c r="M236" s="241"/>
      <c r="N236" s="241"/>
      <c r="O236" s="241"/>
      <c r="P236" s="241"/>
      <c r="Q236" s="241"/>
      <c r="R236" s="241"/>
      <c r="S236" s="241"/>
      <c r="T236" s="241"/>
      <c r="U236" s="241"/>
      <c r="V236" s="241"/>
      <c r="W236" s="241"/>
      <c r="X236" s="241"/>
      <c r="Y236" s="241"/>
      <c r="Z236" s="241"/>
      <c r="AA236" s="241"/>
    </row>
    <row r="237">
      <c r="A237" s="243"/>
      <c r="B237" s="243"/>
      <c r="C237" s="241"/>
      <c r="D237" s="241"/>
      <c r="E237" s="241"/>
      <c r="F237" s="241"/>
      <c r="G237" s="241"/>
      <c r="H237" s="241"/>
      <c r="I237" s="241"/>
      <c r="J237" s="241"/>
      <c r="K237" s="241"/>
      <c r="L237" s="241"/>
      <c r="M237" s="241"/>
      <c r="N237" s="241"/>
      <c r="O237" s="241"/>
      <c r="P237" s="241"/>
      <c r="Q237" s="241"/>
      <c r="R237" s="241"/>
      <c r="S237" s="241"/>
      <c r="T237" s="241"/>
      <c r="U237" s="241"/>
      <c r="V237" s="241"/>
      <c r="W237" s="241"/>
      <c r="X237" s="241"/>
      <c r="Y237" s="241"/>
      <c r="Z237" s="241"/>
      <c r="AA237" s="241"/>
    </row>
    <row r="238">
      <c r="A238" s="243"/>
      <c r="B238" s="243"/>
      <c r="C238" s="241"/>
      <c r="D238" s="241"/>
      <c r="E238" s="241"/>
      <c r="F238" s="241"/>
      <c r="G238" s="241"/>
      <c r="H238" s="241"/>
      <c r="I238" s="241"/>
      <c r="J238" s="241"/>
      <c r="K238" s="241"/>
      <c r="L238" s="241"/>
      <c r="M238" s="241"/>
      <c r="N238" s="241"/>
      <c r="O238" s="241"/>
      <c r="P238" s="241"/>
      <c r="Q238" s="241"/>
      <c r="R238" s="241"/>
      <c r="S238" s="241"/>
      <c r="T238" s="241"/>
      <c r="U238" s="241"/>
      <c r="V238" s="241"/>
      <c r="W238" s="241"/>
      <c r="X238" s="241"/>
      <c r="Y238" s="241"/>
      <c r="Z238" s="241"/>
      <c r="AA238" s="241"/>
    </row>
    <row r="239">
      <c r="A239" s="243"/>
      <c r="B239" s="243"/>
      <c r="C239" s="241"/>
      <c r="D239" s="241"/>
      <c r="E239" s="241"/>
      <c r="F239" s="241"/>
      <c r="G239" s="241"/>
      <c r="H239" s="241"/>
      <c r="I239" s="241"/>
      <c r="J239" s="241"/>
      <c r="K239" s="241"/>
      <c r="L239" s="241"/>
      <c r="M239" s="241"/>
      <c r="N239" s="241"/>
      <c r="O239" s="241"/>
      <c r="P239" s="241"/>
      <c r="Q239" s="241"/>
      <c r="R239" s="241"/>
      <c r="S239" s="241"/>
      <c r="T239" s="241"/>
      <c r="U239" s="241"/>
      <c r="V239" s="241"/>
      <c r="W239" s="241"/>
      <c r="X239" s="241"/>
      <c r="Y239" s="241"/>
      <c r="Z239" s="241"/>
      <c r="AA239" s="241"/>
    </row>
    <row r="240">
      <c r="A240" s="243"/>
      <c r="B240" s="243"/>
      <c r="C240" s="241"/>
      <c r="D240" s="241"/>
      <c r="E240" s="241"/>
      <c r="F240" s="241"/>
      <c r="G240" s="241"/>
      <c r="H240" s="241"/>
      <c r="I240" s="241"/>
      <c r="J240" s="241"/>
      <c r="K240" s="241"/>
      <c r="L240" s="241"/>
      <c r="M240" s="241"/>
      <c r="N240" s="241"/>
      <c r="O240" s="241"/>
      <c r="P240" s="241"/>
      <c r="Q240" s="241"/>
      <c r="R240" s="241"/>
      <c r="S240" s="241"/>
      <c r="T240" s="241"/>
      <c r="U240" s="241"/>
      <c r="V240" s="241"/>
      <c r="W240" s="241"/>
      <c r="X240" s="241"/>
      <c r="Y240" s="241"/>
      <c r="Z240" s="241"/>
      <c r="AA240" s="241"/>
    </row>
    <row r="241">
      <c r="A241" s="243"/>
      <c r="B241" s="243"/>
      <c r="C241" s="241"/>
      <c r="D241" s="241"/>
      <c r="E241" s="241"/>
      <c r="F241" s="241"/>
      <c r="G241" s="241"/>
      <c r="H241" s="241"/>
      <c r="I241" s="241"/>
      <c r="J241" s="241"/>
      <c r="K241" s="241"/>
      <c r="L241" s="241"/>
      <c r="M241" s="241"/>
      <c r="N241" s="241"/>
      <c r="O241" s="241"/>
      <c r="P241" s="241"/>
      <c r="Q241" s="241"/>
      <c r="R241" s="241"/>
      <c r="S241" s="241"/>
      <c r="T241" s="241"/>
      <c r="U241" s="241"/>
      <c r="V241" s="241"/>
      <c r="W241" s="241"/>
      <c r="X241" s="241"/>
      <c r="Y241" s="241"/>
      <c r="Z241" s="241"/>
      <c r="AA241" s="241"/>
    </row>
    <row r="242">
      <c r="A242" s="243"/>
      <c r="B242" s="243"/>
      <c r="C242" s="241"/>
      <c r="D242" s="241"/>
      <c r="E242" s="241"/>
      <c r="F242" s="241"/>
      <c r="G242" s="241"/>
      <c r="H242" s="241"/>
      <c r="I242" s="241"/>
      <c r="J242" s="241"/>
      <c r="K242" s="241"/>
      <c r="L242" s="241"/>
      <c r="M242" s="241"/>
      <c r="N242" s="241"/>
      <c r="O242" s="241"/>
      <c r="P242" s="241"/>
      <c r="Q242" s="241"/>
      <c r="R242" s="241"/>
      <c r="S242" s="241"/>
      <c r="T242" s="241"/>
      <c r="U242" s="241"/>
      <c r="V242" s="241"/>
      <c r="W242" s="241"/>
      <c r="X242" s="241"/>
      <c r="Y242" s="241"/>
      <c r="Z242" s="241"/>
      <c r="AA242" s="241"/>
    </row>
    <row r="243">
      <c r="A243" s="243"/>
      <c r="B243" s="243"/>
      <c r="C243" s="241"/>
      <c r="D243" s="241"/>
      <c r="E243" s="241"/>
      <c r="F243" s="241"/>
      <c r="G243" s="241"/>
      <c r="H243" s="241"/>
      <c r="I243" s="241"/>
      <c r="J243" s="241"/>
      <c r="K243" s="241"/>
      <c r="L243" s="241"/>
      <c r="M243" s="241"/>
      <c r="N243" s="241"/>
      <c r="O243" s="241"/>
      <c r="P243" s="241"/>
      <c r="Q243" s="241"/>
      <c r="R243" s="241"/>
      <c r="S243" s="241"/>
      <c r="T243" s="241"/>
      <c r="U243" s="241"/>
      <c r="V243" s="241"/>
      <c r="W243" s="241"/>
      <c r="X243" s="241"/>
      <c r="Y243" s="241"/>
      <c r="Z243" s="241"/>
      <c r="AA243" s="241"/>
    </row>
    <row r="244">
      <c r="A244" s="243"/>
      <c r="B244" s="243"/>
      <c r="C244" s="241"/>
      <c r="D244" s="241"/>
      <c r="E244" s="241"/>
      <c r="F244" s="241"/>
      <c r="G244" s="241"/>
      <c r="H244" s="241"/>
      <c r="I244" s="241"/>
      <c r="J244" s="241"/>
      <c r="K244" s="241"/>
      <c r="L244" s="241"/>
      <c r="M244" s="241"/>
      <c r="N244" s="241"/>
      <c r="O244" s="241"/>
      <c r="P244" s="241"/>
      <c r="Q244" s="241"/>
      <c r="R244" s="241"/>
      <c r="S244" s="241"/>
      <c r="T244" s="241"/>
      <c r="U244" s="241"/>
      <c r="V244" s="241"/>
      <c r="W244" s="241"/>
      <c r="X244" s="241"/>
      <c r="Y244" s="241"/>
      <c r="Z244" s="241"/>
      <c r="AA244" s="241"/>
    </row>
    <row r="245">
      <c r="A245" s="243"/>
      <c r="B245" s="243"/>
      <c r="C245" s="241"/>
      <c r="D245" s="241"/>
      <c r="E245" s="241"/>
      <c r="F245" s="241"/>
      <c r="G245" s="241"/>
      <c r="H245" s="241"/>
      <c r="I245" s="241"/>
      <c r="J245" s="241"/>
      <c r="K245" s="241"/>
      <c r="L245" s="241"/>
      <c r="M245" s="241"/>
      <c r="N245" s="241"/>
      <c r="O245" s="241"/>
      <c r="P245" s="241"/>
      <c r="Q245" s="241"/>
      <c r="R245" s="241"/>
      <c r="S245" s="241"/>
      <c r="T245" s="241"/>
      <c r="U245" s="241"/>
      <c r="V245" s="241"/>
      <c r="W245" s="241"/>
      <c r="X245" s="241"/>
      <c r="Y245" s="241"/>
      <c r="Z245" s="241"/>
      <c r="AA245" s="241"/>
    </row>
    <row r="246">
      <c r="A246" s="243"/>
      <c r="B246" s="243"/>
      <c r="C246" s="241"/>
      <c r="D246" s="241"/>
      <c r="E246" s="241"/>
      <c r="F246" s="241"/>
      <c r="G246" s="241"/>
      <c r="H246" s="241"/>
      <c r="I246" s="241"/>
      <c r="J246" s="241"/>
      <c r="K246" s="241"/>
      <c r="L246" s="241"/>
      <c r="M246" s="241"/>
      <c r="N246" s="241"/>
      <c r="O246" s="241"/>
      <c r="P246" s="241"/>
      <c r="Q246" s="241"/>
      <c r="R246" s="241"/>
      <c r="S246" s="241"/>
      <c r="T246" s="241"/>
      <c r="U246" s="241"/>
      <c r="V246" s="241"/>
      <c r="W246" s="241"/>
      <c r="X246" s="241"/>
      <c r="Y246" s="241"/>
      <c r="Z246" s="241"/>
      <c r="AA246" s="241"/>
    </row>
    <row r="247">
      <c r="A247" s="243"/>
      <c r="B247" s="243"/>
      <c r="C247" s="241"/>
      <c r="D247" s="241"/>
      <c r="E247" s="241"/>
      <c r="F247" s="241"/>
      <c r="G247" s="241"/>
      <c r="H247" s="241"/>
      <c r="I247" s="241"/>
      <c r="J247" s="241"/>
      <c r="K247" s="241"/>
      <c r="L247" s="241"/>
      <c r="M247" s="241"/>
      <c r="N247" s="241"/>
      <c r="O247" s="241"/>
      <c r="P247" s="241"/>
      <c r="Q247" s="241"/>
      <c r="R247" s="241"/>
      <c r="S247" s="241"/>
      <c r="T247" s="241"/>
      <c r="U247" s="241"/>
      <c r="V247" s="241"/>
      <c r="W247" s="241"/>
      <c r="X247" s="241"/>
      <c r="Y247" s="241"/>
      <c r="Z247" s="241"/>
      <c r="AA247" s="241"/>
    </row>
    <row r="248">
      <c r="A248" s="243"/>
      <c r="B248" s="243"/>
      <c r="C248" s="241"/>
      <c r="D248" s="241"/>
      <c r="E248" s="241"/>
      <c r="F248" s="241"/>
      <c r="G248" s="241"/>
      <c r="H248" s="241"/>
      <c r="I248" s="241"/>
      <c r="J248" s="241"/>
      <c r="K248" s="241"/>
      <c r="L248" s="241"/>
      <c r="M248" s="241"/>
      <c r="N248" s="241"/>
      <c r="O248" s="241"/>
      <c r="P248" s="241"/>
      <c r="Q248" s="241"/>
      <c r="R248" s="241"/>
      <c r="S248" s="241"/>
      <c r="T248" s="241"/>
      <c r="U248" s="241"/>
      <c r="V248" s="241"/>
      <c r="W248" s="241"/>
      <c r="X248" s="241"/>
      <c r="Y248" s="241"/>
      <c r="Z248" s="241"/>
      <c r="AA248" s="241"/>
    </row>
    <row r="249">
      <c r="A249" s="243"/>
      <c r="B249" s="243"/>
      <c r="C249" s="241"/>
      <c r="D249" s="241"/>
      <c r="E249" s="241"/>
      <c r="F249" s="241"/>
      <c r="G249" s="241"/>
      <c r="H249" s="241"/>
      <c r="I249" s="241"/>
      <c r="J249" s="241"/>
      <c r="K249" s="241"/>
      <c r="L249" s="241"/>
      <c r="M249" s="241"/>
      <c r="N249" s="241"/>
      <c r="O249" s="241"/>
      <c r="P249" s="241"/>
      <c r="Q249" s="241"/>
      <c r="R249" s="241"/>
      <c r="S249" s="241"/>
      <c r="T249" s="241"/>
      <c r="U249" s="241"/>
      <c r="V249" s="241"/>
      <c r="W249" s="241"/>
      <c r="X249" s="241"/>
      <c r="Y249" s="241"/>
      <c r="Z249" s="241"/>
      <c r="AA249" s="241"/>
    </row>
    <row r="250">
      <c r="A250" s="243"/>
      <c r="B250" s="243"/>
      <c r="C250" s="241"/>
      <c r="D250" s="241"/>
      <c r="E250" s="241"/>
      <c r="F250" s="241"/>
      <c r="G250" s="241"/>
      <c r="H250" s="241"/>
      <c r="I250" s="241"/>
      <c r="J250" s="241"/>
      <c r="K250" s="241"/>
      <c r="L250" s="241"/>
      <c r="M250" s="241"/>
      <c r="N250" s="241"/>
      <c r="O250" s="241"/>
      <c r="P250" s="241"/>
      <c r="Q250" s="241"/>
      <c r="R250" s="241"/>
      <c r="S250" s="241"/>
      <c r="T250" s="241"/>
      <c r="U250" s="241"/>
      <c r="V250" s="241"/>
      <c r="W250" s="241"/>
      <c r="X250" s="241"/>
      <c r="Y250" s="241"/>
      <c r="Z250" s="241"/>
      <c r="AA250" s="241"/>
    </row>
    <row r="251">
      <c r="A251" s="243"/>
      <c r="B251" s="243"/>
      <c r="C251" s="241"/>
      <c r="D251" s="241"/>
      <c r="E251" s="241"/>
      <c r="F251" s="241"/>
      <c r="G251" s="241"/>
      <c r="H251" s="241"/>
      <c r="I251" s="241"/>
      <c r="J251" s="241"/>
      <c r="K251" s="241"/>
      <c r="L251" s="241"/>
      <c r="M251" s="241"/>
      <c r="N251" s="241"/>
      <c r="O251" s="241"/>
      <c r="P251" s="241"/>
      <c r="Q251" s="241"/>
      <c r="R251" s="241"/>
      <c r="S251" s="241"/>
      <c r="T251" s="241"/>
      <c r="U251" s="241"/>
      <c r="V251" s="241"/>
      <c r="W251" s="241"/>
      <c r="X251" s="241"/>
      <c r="Y251" s="241"/>
      <c r="Z251" s="241"/>
      <c r="AA251" s="241"/>
    </row>
    <row r="252">
      <c r="A252" s="243"/>
      <c r="B252" s="243"/>
      <c r="C252" s="241"/>
      <c r="D252" s="241"/>
      <c r="E252" s="241"/>
      <c r="F252" s="241"/>
      <c r="G252" s="241"/>
      <c r="H252" s="241"/>
      <c r="I252" s="241"/>
      <c r="J252" s="241"/>
      <c r="K252" s="241"/>
      <c r="L252" s="241"/>
      <c r="M252" s="241"/>
      <c r="N252" s="241"/>
      <c r="O252" s="241"/>
      <c r="P252" s="241"/>
      <c r="Q252" s="241"/>
      <c r="R252" s="241"/>
      <c r="S252" s="241"/>
      <c r="T252" s="241"/>
      <c r="U252" s="241"/>
      <c r="V252" s="241"/>
      <c r="W252" s="241"/>
      <c r="X252" s="241"/>
      <c r="Y252" s="241"/>
      <c r="Z252" s="241"/>
      <c r="AA252" s="241"/>
    </row>
    <row r="253">
      <c r="A253" s="243"/>
      <c r="B253" s="243"/>
      <c r="C253" s="241"/>
      <c r="D253" s="241"/>
      <c r="E253" s="241"/>
      <c r="F253" s="241"/>
      <c r="G253" s="241"/>
      <c r="H253" s="241"/>
      <c r="I253" s="241"/>
      <c r="J253" s="241"/>
      <c r="K253" s="241"/>
      <c r="L253" s="241"/>
      <c r="M253" s="241"/>
      <c r="N253" s="241"/>
      <c r="O253" s="241"/>
      <c r="P253" s="241"/>
      <c r="Q253" s="241"/>
      <c r="R253" s="241"/>
      <c r="S253" s="241"/>
      <c r="T253" s="241"/>
      <c r="U253" s="241"/>
      <c r="V253" s="241"/>
      <c r="W253" s="241"/>
      <c r="X253" s="241"/>
      <c r="Y253" s="241"/>
      <c r="Z253" s="241"/>
      <c r="AA253" s="241"/>
    </row>
    <row r="254">
      <c r="A254" s="243"/>
      <c r="B254" s="243"/>
      <c r="C254" s="241"/>
      <c r="D254" s="241"/>
      <c r="E254" s="241"/>
      <c r="F254" s="241"/>
      <c r="G254" s="241"/>
      <c r="H254" s="241"/>
      <c r="I254" s="241"/>
      <c r="J254" s="241"/>
      <c r="K254" s="241"/>
      <c r="L254" s="241"/>
      <c r="M254" s="241"/>
      <c r="N254" s="241"/>
      <c r="O254" s="241"/>
      <c r="P254" s="241"/>
      <c r="Q254" s="241"/>
      <c r="R254" s="241"/>
      <c r="S254" s="241"/>
      <c r="T254" s="241"/>
      <c r="U254" s="241"/>
      <c r="V254" s="241"/>
      <c r="W254" s="241"/>
      <c r="X254" s="241"/>
      <c r="Y254" s="241"/>
      <c r="Z254" s="241"/>
      <c r="AA254" s="241"/>
    </row>
    <row r="255">
      <c r="A255" s="243"/>
      <c r="B255" s="243"/>
      <c r="C255" s="241"/>
      <c r="D255" s="241"/>
      <c r="E255" s="241"/>
      <c r="F255" s="241"/>
      <c r="G255" s="241"/>
      <c r="H255" s="241"/>
      <c r="I255" s="241"/>
      <c r="J255" s="241"/>
      <c r="K255" s="241"/>
      <c r="L255" s="241"/>
      <c r="M255" s="241"/>
      <c r="N255" s="241"/>
      <c r="O255" s="241"/>
      <c r="P255" s="241"/>
      <c r="Q255" s="241"/>
      <c r="R255" s="241"/>
      <c r="S255" s="241"/>
      <c r="T255" s="241"/>
      <c r="U255" s="241"/>
      <c r="V255" s="241"/>
      <c r="W255" s="241"/>
      <c r="X255" s="241"/>
      <c r="Y255" s="241"/>
      <c r="Z255" s="241"/>
      <c r="AA255" s="241"/>
    </row>
    <row r="256">
      <c r="A256" s="243"/>
      <c r="B256" s="243"/>
      <c r="C256" s="241"/>
      <c r="D256" s="241"/>
      <c r="E256" s="241"/>
      <c r="F256" s="241"/>
      <c r="G256" s="241"/>
      <c r="H256" s="241"/>
      <c r="I256" s="241"/>
      <c r="J256" s="241"/>
      <c r="K256" s="241"/>
      <c r="L256" s="241"/>
      <c r="M256" s="241"/>
      <c r="N256" s="241"/>
      <c r="O256" s="241"/>
      <c r="P256" s="241"/>
      <c r="Q256" s="241"/>
      <c r="R256" s="241"/>
      <c r="S256" s="241"/>
      <c r="T256" s="241"/>
      <c r="U256" s="241"/>
      <c r="V256" s="241"/>
      <c r="W256" s="241"/>
      <c r="X256" s="241"/>
      <c r="Y256" s="241"/>
      <c r="Z256" s="241"/>
      <c r="AA256" s="241"/>
    </row>
    <row r="257">
      <c r="A257" s="243"/>
      <c r="B257" s="243"/>
      <c r="C257" s="241"/>
      <c r="D257" s="241"/>
      <c r="E257" s="241"/>
      <c r="F257" s="241"/>
      <c r="G257" s="241"/>
      <c r="H257" s="241"/>
      <c r="I257" s="241"/>
      <c r="J257" s="241"/>
      <c r="K257" s="241"/>
      <c r="L257" s="241"/>
      <c r="M257" s="241"/>
      <c r="N257" s="241"/>
      <c r="O257" s="241"/>
      <c r="P257" s="241"/>
      <c r="Q257" s="241"/>
      <c r="R257" s="241"/>
      <c r="S257" s="241"/>
      <c r="T257" s="241"/>
      <c r="U257" s="241"/>
      <c r="V257" s="241"/>
      <c r="W257" s="241"/>
      <c r="X257" s="241"/>
      <c r="Y257" s="241"/>
      <c r="Z257" s="241"/>
      <c r="AA257" s="241"/>
    </row>
    <row r="258">
      <c r="A258" s="243"/>
      <c r="B258" s="243"/>
      <c r="C258" s="241"/>
      <c r="D258" s="241"/>
      <c r="E258" s="241"/>
      <c r="F258" s="241"/>
      <c r="G258" s="241"/>
      <c r="H258" s="241"/>
      <c r="I258" s="241"/>
      <c r="J258" s="241"/>
      <c r="K258" s="241"/>
      <c r="L258" s="241"/>
      <c r="M258" s="241"/>
      <c r="N258" s="241"/>
      <c r="O258" s="241"/>
      <c r="P258" s="241"/>
      <c r="Q258" s="241"/>
      <c r="R258" s="241"/>
      <c r="S258" s="241"/>
      <c r="T258" s="241"/>
      <c r="U258" s="241"/>
      <c r="V258" s="241"/>
      <c r="W258" s="241"/>
      <c r="X258" s="241"/>
      <c r="Y258" s="241"/>
      <c r="Z258" s="241"/>
      <c r="AA258" s="241"/>
    </row>
    <row r="259">
      <c r="A259" s="243"/>
      <c r="B259" s="243"/>
      <c r="C259" s="241"/>
      <c r="D259" s="241"/>
      <c r="E259" s="241"/>
      <c r="F259" s="241"/>
      <c r="G259" s="241"/>
      <c r="H259" s="241"/>
      <c r="I259" s="241"/>
      <c r="J259" s="241"/>
      <c r="K259" s="241"/>
      <c r="L259" s="241"/>
      <c r="M259" s="241"/>
      <c r="N259" s="241"/>
      <c r="O259" s="241"/>
      <c r="P259" s="241"/>
      <c r="Q259" s="241"/>
      <c r="R259" s="241"/>
      <c r="S259" s="241"/>
      <c r="T259" s="241"/>
      <c r="U259" s="241"/>
      <c r="V259" s="241"/>
      <c r="W259" s="241"/>
      <c r="X259" s="241"/>
      <c r="Y259" s="241"/>
      <c r="Z259" s="241"/>
      <c r="AA259" s="241"/>
    </row>
    <row r="260">
      <c r="A260" s="243"/>
      <c r="B260" s="243"/>
      <c r="C260" s="241"/>
      <c r="D260" s="241"/>
      <c r="E260" s="241"/>
      <c r="F260" s="241"/>
      <c r="G260" s="241"/>
      <c r="H260" s="241"/>
      <c r="I260" s="241"/>
      <c r="J260" s="241"/>
      <c r="K260" s="241"/>
      <c r="L260" s="241"/>
      <c r="M260" s="241"/>
      <c r="N260" s="241"/>
      <c r="O260" s="241"/>
      <c r="P260" s="241"/>
      <c r="Q260" s="241"/>
      <c r="R260" s="241"/>
      <c r="S260" s="241"/>
      <c r="T260" s="241"/>
      <c r="U260" s="241"/>
      <c r="V260" s="241"/>
      <c r="W260" s="241"/>
      <c r="X260" s="241"/>
      <c r="Y260" s="241"/>
      <c r="Z260" s="241"/>
      <c r="AA260" s="241"/>
    </row>
    <row r="261">
      <c r="A261" s="243"/>
      <c r="B261" s="243"/>
      <c r="C261" s="241"/>
      <c r="D261" s="241"/>
      <c r="E261" s="241"/>
      <c r="F261" s="241"/>
      <c r="G261" s="241"/>
      <c r="H261" s="241"/>
      <c r="I261" s="241"/>
      <c r="J261" s="241"/>
      <c r="K261" s="241"/>
      <c r="L261" s="241"/>
      <c r="M261" s="241"/>
      <c r="N261" s="241"/>
      <c r="O261" s="241"/>
      <c r="P261" s="241"/>
      <c r="Q261" s="241"/>
      <c r="R261" s="241"/>
      <c r="S261" s="241"/>
      <c r="T261" s="241"/>
      <c r="U261" s="241"/>
      <c r="V261" s="241"/>
      <c r="W261" s="241"/>
      <c r="X261" s="241"/>
      <c r="Y261" s="241"/>
      <c r="Z261" s="241"/>
      <c r="AA261" s="241"/>
    </row>
    <row r="262">
      <c r="A262" s="243"/>
      <c r="B262" s="243"/>
      <c r="C262" s="241"/>
      <c r="D262" s="241"/>
      <c r="E262" s="241"/>
      <c r="F262" s="241"/>
      <c r="G262" s="241"/>
      <c r="H262" s="241"/>
      <c r="I262" s="241"/>
      <c r="J262" s="241"/>
      <c r="K262" s="241"/>
      <c r="L262" s="241"/>
      <c r="M262" s="241"/>
      <c r="N262" s="241"/>
      <c r="O262" s="241"/>
      <c r="P262" s="241"/>
      <c r="Q262" s="241"/>
      <c r="R262" s="241"/>
      <c r="S262" s="241"/>
      <c r="T262" s="241"/>
      <c r="U262" s="241"/>
      <c r="V262" s="241"/>
      <c r="W262" s="241"/>
      <c r="X262" s="241"/>
      <c r="Y262" s="241"/>
      <c r="Z262" s="241"/>
      <c r="AA262" s="241"/>
    </row>
    <row r="263">
      <c r="A263" s="243"/>
      <c r="B263" s="243"/>
      <c r="C263" s="241"/>
      <c r="D263" s="241"/>
      <c r="E263" s="241"/>
      <c r="F263" s="241"/>
      <c r="G263" s="241"/>
      <c r="H263" s="241"/>
      <c r="I263" s="241"/>
      <c r="J263" s="241"/>
      <c r="K263" s="241"/>
      <c r="L263" s="241"/>
      <c r="M263" s="241"/>
      <c r="N263" s="241"/>
      <c r="O263" s="241"/>
      <c r="P263" s="241"/>
      <c r="Q263" s="241"/>
      <c r="R263" s="241"/>
      <c r="S263" s="241"/>
      <c r="T263" s="241"/>
      <c r="U263" s="241"/>
      <c r="V263" s="241"/>
      <c r="W263" s="241"/>
      <c r="X263" s="241"/>
      <c r="Y263" s="241"/>
      <c r="Z263" s="241"/>
      <c r="AA263" s="241"/>
    </row>
    <row r="264">
      <c r="A264" s="243"/>
      <c r="B264" s="243"/>
      <c r="C264" s="241"/>
      <c r="D264" s="241"/>
      <c r="E264" s="241"/>
      <c r="F264" s="241"/>
      <c r="G264" s="241"/>
      <c r="H264" s="241"/>
      <c r="I264" s="241"/>
      <c r="J264" s="241"/>
      <c r="K264" s="241"/>
      <c r="L264" s="241"/>
      <c r="M264" s="241"/>
      <c r="N264" s="241"/>
      <c r="O264" s="241"/>
      <c r="P264" s="241"/>
      <c r="Q264" s="241"/>
      <c r="R264" s="241"/>
      <c r="S264" s="241"/>
      <c r="T264" s="241"/>
      <c r="U264" s="241"/>
      <c r="V264" s="241"/>
      <c r="W264" s="241"/>
      <c r="X264" s="241"/>
      <c r="Y264" s="241"/>
      <c r="Z264" s="241"/>
      <c r="AA264" s="241"/>
    </row>
    <row r="265">
      <c r="A265" s="243"/>
      <c r="B265" s="243"/>
      <c r="C265" s="241"/>
      <c r="D265" s="241"/>
      <c r="E265" s="241"/>
      <c r="F265" s="241"/>
      <c r="G265" s="241"/>
      <c r="H265" s="241"/>
      <c r="I265" s="241"/>
      <c r="J265" s="241"/>
      <c r="K265" s="241"/>
      <c r="L265" s="241"/>
      <c r="M265" s="241"/>
      <c r="N265" s="241"/>
      <c r="O265" s="241"/>
      <c r="P265" s="241"/>
      <c r="Q265" s="241"/>
      <c r="R265" s="241"/>
      <c r="S265" s="241"/>
      <c r="T265" s="241"/>
      <c r="U265" s="241"/>
      <c r="V265" s="241"/>
      <c r="W265" s="241"/>
      <c r="X265" s="241"/>
      <c r="Y265" s="241"/>
      <c r="Z265" s="241"/>
      <c r="AA265" s="241"/>
    </row>
    <row r="266">
      <c r="A266" s="243"/>
      <c r="B266" s="243"/>
      <c r="C266" s="241"/>
      <c r="D266" s="241"/>
      <c r="E266" s="241"/>
      <c r="F266" s="241"/>
      <c r="G266" s="241"/>
      <c r="H266" s="241"/>
      <c r="I266" s="241"/>
      <c r="J266" s="241"/>
      <c r="K266" s="241"/>
      <c r="L266" s="241"/>
      <c r="M266" s="241"/>
      <c r="N266" s="241"/>
      <c r="O266" s="241"/>
      <c r="P266" s="241"/>
      <c r="Q266" s="241"/>
      <c r="R266" s="241"/>
      <c r="S266" s="241"/>
      <c r="T266" s="241"/>
      <c r="U266" s="241"/>
      <c r="V266" s="241"/>
      <c r="W266" s="241"/>
      <c r="X266" s="241"/>
      <c r="Y266" s="241"/>
      <c r="Z266" s="241"/>
      <c r="AA266" s="241"/>
    </row>
    <row r="267">
      <c r="A267" s="243"/>
      <c r="B267" s="243"/>
      <c r="C267" s="241"/>
      <c r="D267" s="241"/>
      <c r="E267" s="241"/>
      <c r="F267" s="241"/>
      <c r="G267" s="241"/>
      <c r="H267" s="241"/>
      <c r="I267" s="241"/>
      <c r="J267" s="241"/>
      <c r="K267" s="241"/>
      <c r="L267" s="241"/>
      <c r="M267" s="241"/>
      <c r="N267" s="241"/>
      <c r="O267" s="241"/>
      <c r="P267" s="241"/>
      <c r="Q267" s="241"/>
      <c r="R267" s="241"/>
      <c r="S267" s="241"/>
      <c r="T267" s="241"/>
      <c r="U267" s="241"/>
      <c r="V267" s="241"/>
      <c r="W267" s="241"/>
      <c r="X267" s="241"/>
      <c r="Y267" s="241"/>
      <c r="Z267" s="241"/>
      <c r="AA267" s="241"/>
    </row>
    <row r="268">
      <c r="A268" s="243"/>
      <c r="B268" s="243"/>
      <c r="C268" s="241"/>
      <c r="D268" s="241"/>
      <c r="E268" s="241"/>
      <c r="F268" s="241"/>
      <c r="G268" s="241"/>
      <c r="H268" s="241"/>
      <c r="I268" s="241"/>
      <c r="J268" s="241"/>
      <c r="K268" s="241"/>
      <c r="L268" s="241"/>
      <c r="M268" s="241"/>
      <c r="N268" s="241"/>
      <c r="O268" s="241"/>
      <c r="P268" s="241"/>
      <c r="Q268" s="241"/>
      <c r="R268" s="241"/>
      <c r="S268" s="241"/>
      <c r="T268" s="241"/>
      <c r="U268" s="241"/>
      <c r="V268" s="241"/>
      <c r="W268" s="241"/>
      <c r="X268" s="241"/>
      <c r="Y268" s="241"/>
      <c r="Z268" s="241"/>
      <c r="AA268" s="241"/>
    </row>
    <row r="269">
      <c r="A269" s="243"/>
      <c r="B269" s="243"/>
      <c r="C269" s="241"/>
      <c r="D269" s="241"/>
      <c r="E269" s="241"/>
      <c r="F269" s="241"/>
      <c r="G269" s="241"/>
      <c r="H269" s="241"/>
      <c r="I269" s="241"/>
      <c r="J269" s="241"/>
      <c r="K269" s="241"/>
      <c r="L269" s="241"/>
      <c r="M269" s="241"/>
      <c r="N269" s="241"/>
      <c r="O269" s="241"/>
      <c r="P269" s="241"/>
      <c r="Q269" s="241"/>
      <c r="R269" s="241"/>
      <c r="S269" s="241"/>
      <c r="T269" s="241"/>
      <c r="U269" s="241"/>
      <c r="V269" s="241"/>
      <c r="W269" s="241"/>
      <c r="X269" s="241"/>
      <c r="Y269" s="241"/>
      <c r="Z269" s="241"/>
      <c r="AA269" s="241"/>
    </row>
    <row r="270">
      <c r="A270" s="243"/>
      <c r="B270" s="243"/>
      <c r="C270" s="241"/>
      <c r="D270" s="241"/>
      <c r="E270" s="241"/>
      <c r="F270" s="241"/>
      <c r="G270" s="241"/>
      <c r="H270" s="241"/>
      <c r="I270" s="241"/>
      <c r="J270" s="241"/>
      <c r="K270" s="241"/>
      <c r="L270" s="241"/>
      <c r="M270" s="241"/>
      <c r="N270" s="241"/>
      <c r="O270" s="241"/>
      <c r="P270" s="241"/>
      <c r="Q270" s="241"/>
      <c r="R270" s="241"/>
      <c r="S270" s="241"/>
      <c r="T270" s="241"/>
      <c r="U270" s="241"/>
      <c r="V270" s="241"/>
      <c r="W270" s="241"/>
      <c r="X270" s="241"/>
      <c r="Y270" s="241"/>
      <c r="Z270" s="241"/>
      <c r="AA270" s="241"/>
    </row>
    <row r="271">
      <c r="A271" s="243"/>
      <c r="B271" s="243"/>
      <c r="C271" s="241"/>
      <c r="D271" s="241"/>
      <c r="E271" s="241"/>
      <c r="F271" s="241"/>
      <c r="G271" s="241"/>
      <c r="H271" s="241"/>
      <c r="I271" s="241"/>
      <c r="J271" s="241"/>
      <c r="K271" s="241"/>
      <c r="L271" s="241"/>
      <c r="M271" s="241"/>
      <c r="N271" s="241"/>
      <c r="O271" s="241"/>
      <c r="P271" s="241"/>
      <c r="Q271" s="241"/>
      <c r="R271" s="241"/>
      <c r="S271" s="241"/>
      <c r="T271" s="241"/>
      <c r="U271" s="241"/>
      <c r="V271" s="241"/>
      <c r="W271" s="241"/>
      <c r="X271" s="241"/>
      <c r="Y271" s="241"/>
      <c r="Z271" s="241"/>
      <c r="AA271" s="241"/>
    </row>
    <row r="272">
      <c r="A272" s="243"/>
      <c r="B272" s="243"/>
      <c r="C272" s="241"/>
      <c r="D272" s="241"/>
      <c r="E272" s="241"/>
      <c r="F272" s="241"/>
      <c r="G272" s="241"/>
      <c r="H272" s="241"/>
      <c r="I272" s="241"/>
      <c r="J272" s="241"/>
      <c r="K272" s="241"/>
      <c r="L272" s="241"/>
      <c r="M272" s="241"/>
      <c r="N272" s="241"/>
      <c r="O272" s="241"/>
      <c r="P272" s="241"/>
      <c r="Q272" s="241"/>
      <c r="R272" s="241"/>
      <c r="S272" s="241"/>
      <c r="T272" s="241"/>
      <c r="U272" s="241"/>
      <c r="V272" s="241"/>
      <c r="W272" s="241"/>
      <c r="X272" s="241"/>
      <c r="Y272" s="241"/>
      <c r="Z272" s="241"/>
      <c r="AA272" s="241"/>
    </row>
    <row r="273">
      <c r="A273" s="243"/>
      <c r="B273" s="243"/>
      <c r="C273" s="241"/>
      <c r="D273" s="241"/>
      <c r="E273" s="241"/>
      <c r="F273" s="241"/>
      <c r="G273" s="241"/>
      <c r="H273" s="241"/>
      <c r="I273" s="241"/>
      <c r="J273" s="241"/>
      <c r="K273" s="241"/>
      <c r="L273" s="241"/>
      <c r="M273" s="241"/>
      <c r="N273" s="241"/>
      <c r="O273" s="241"/>
      <c r="P273" s="241"/>
      <c r="Q273" s="241"/>
      <c r="R273" s="241"/>
      <c r="S273" s="241"/>
      <c r="T273" s="241"/>
      <c r="U273" s="241"/>
      <c r="V273" s="241"/>
      <c r="W273" s="241"/>
      <c r="X273" s="241"/>
      <c r="Y273" s="241"/>
      <c r="Z273" s="241"/>
      <c r="AA273" s="241"/>
    </row>
    <row r="274">
      <c r="A274" s="243"/>
      <c r="B274" s="243"/>
      <c r="C274" s="241"/>
      <c r="D274" s="241"/>
      <c r="E274" s="241"/>
      <c r="F274" s="241"/>
      <c r="G274" s="241"/>
      <c r="H274" s="241"/>
      <c r="I274" s="241"/>
      <c r="J274" s="241"/>
      <c r="K274" s="241"/>
      <c r="L274" s="241"/>
      <c r="M274" s="241"/>
      <c r="N274" s="241"/>
      <c r="O274" s="241"/>
      <c r="P274" s="241"/>
      <c r="Q274" s="241"/>
      <c r="R274" s="241"/>
      <c r="S274" s="241"/>
      <c r="T274" s="241"/>
      <c r="U274" s="241"/>
      <c r="V274" s="241"/>
      <c r="W274" s="241"/>
      <c r="X274" s="241"/>
      <c r="Y274" s="241"/>
      <c r="Z274" s="241"/>
      <c r="AA274" s="241"/>
    </row>
    <row r="275">
      <c r="A275" s="243"/>
      <c r="B275" s="243"/>
      <c r="C275" s="241"/>
      <c r="D275" s="241"/>
      <c r="E275" s="241"/>
      <c r="F275" s="241"/>
      <c r="G275" s="241"/>
      <c r="H275" s="241"/>
      <c r="I275" s="241"/>
      <c r="J275" s="241"/>
      <c r="K275" s="241"/>
      <c r="L275" s="241"/>
      <c r="M275" s="241"/>
      <c r="N275" s="241"/>
      <c r="O275" s="241"/>
      <c r="P275" s="241"/>
      <c r="Q275" s="241"/>
      <c r="R275" s="241"/>
      <c r="S275" s="241"/>
      <c r="T275" s="241"/>
      <c r="U275" s="241"/>
      <c r="V275" s="241"/>
      <c r="W275" s="241"/>
      <c r="X275" s="241"/>
      <c r="Y275" s="241"/>
      <c r="Z275" s="241"/>
      <c r="AA275" s="241"/>
    </row>
    <row r="276">
      <c r="A276" s="243"/>
      <c r="B276" s="243"/>
      <c r="C276" s="241"/>
      <c r="D276" s="241"/>
      <c r="E276" s="241"/>
      <c r="F276" s="241"/>
      <c r="G276" s="241"/>
      <c r="H276" s="241"/>
      <c r="I276" s="241"/>
      <c r="J276" s="241"/>
      <c r="K276" s="241"/>
      <c r="L276" s="241"/>
      <c r="M276" s="241"/>
      <c r="N276" s="241"/>
      <c r="O276" s="241"/>
      <c r="P276" s="241"/>
      <c r="Q276" s="241"/>
      <c r="R276" s="241"/>
      <c r="S276" s="241"/>
      <c r="T276" s="241"/>
      <c r="U276" s="241"/>
      <c r="V276" s="241"/>
      <c r="W276" s="241"/>
      <c r="X276" s="241"/>
      <c r="Y276" s="241"/>
      <c r="Z276" s="241"/>
      <c r="AA276" s="241"/>
    </row>
    <row r="277">
      <c r="A277" s="243"/>
      <c r="B277" s="243"/>
      <c r="C277" s="241"/>
      <c r="D277" s="241"/>
      <c r="E277" s="241"/>
      <c r="F277" s="241"/>
      <c r="G277" s="241"/>
      <c r="H277" s="241"/>
      <c r="I277" s="241"/>
      <c r="J277" s="241"/>
      <c r="K277" s="241"/>
      <c r="L277" s="241"/>
      <c r="M277" s="241"/>
      <c r="N277" s="241"/>
      <c r="O277" s="241"/>
      <c r="P277" s="241"/>
      <c r="Q277" s="241"/>
      <c r="R277" s="241"/>
      <c r="S277" s="241"/>
      <c r="T277" s="241"/>
      <c r="U277" s="241"/>
      <c r="V277" s="241"/>
      <c r="W277" s="241"/>
      <c r="X277" s="241"/>
      <c r="Y277" s="241"/>
      <c r="Z277" s="241"/>
      <c r="AA277" s="241"/>
    </row>
    <row r="278">
      <c r="A278" s="243"/>
      <c r="B278" s="243"/>
      <c r="C278" s="241"/>
      <c r="D278" s="241"/>
      <c r="E278" s="241"/>
      <c r="F278" s="241"/>
      <c r="G278" s="241"/>
      <c r="H278" s="241"/>
      <c r="I278" s="241"/>
      <c r="J278" s="241"/>
      <c r="K278" s="241"/>
      <c r="L278" s="241"/>
      <c r="M278" s="241"/>
      <c r="N278" s="241"/>
      <c r="O278" s="241"/>
      <c r="P278" s="241"/>
      <c r="Q278" s="241"/>
      <c r="R278" s="241"/>
      <c r="S278" s="241"/>
      <c r="T278" s="241"/>
      <c r="U278" s="241"/>
      <c r="V278" s="241"/>
      <c r="W278" s="241"/>
      <c r="X278" s="241"/>
      <c r="Y278" s="241"/>
      <c r="Z278" s="241"/>
      <c r="AA278" s="241"/>
    </row>
    <row r="279">
      <c r="A279" s="243"/>
      <c r="B279" s="243"/>
      <c r="C279" s="241"/>
      <c r="D279" s="241"/>
      <c r="E279" s="241"/>
      <c r="F279" s="241"/>
      <c r="G279" s="241"/>
      <c r="H279" s="241"/>
      <c r="I279" s="241"/>
      <c r="J279" s="241"/>
      <c r="K279" s="241"/>
      <c r="L279" s="241"/>
      <c r="M279" s="241"/>
      <c r="N279" s="241"/>
      <c r="O279" s="241"/>
      <c r="P279" s="241"/>
      <c r="Q279" s="241"/>
      <c r="R279" s="241"/>
      <c r="S279" s="241"/>
      <c r="T279" s="241"/>
      <c r="U279" s="241"/>
      <c r="V279" s="241"/>
      <c r="W279" s="241"/>
      <c r="X279" s="241"/>
      <c r="Y279" s="241"/>
      <c r="Z279" s="241"/>
      <c r="AA279" s="241"/>
    </row>
    <row r="280">
      <c r="A280" s="243"/>
      <c r="B280" s="243"/>
      <c r="C280" s="241"/>
      <c r="D280" s="241"/>
      <c r="E280" s="241"/>
      <c r="F280" s="241"/>
      <c r="G280" s="241"/>
      <c r="H280" s="241"/>
      <c r="I280" s="241"/>
      <c r="J280" s="241"/>
      <c r="K280" s="241"/>
      <c r="L280" s="241"/>
      <c r="M280" s="241"/>
      <c r="N280" s="241"/>
      <c r="O280" s="241"/>
      <c r="P280" s="241"/>
      <c r="Q280" s="241"/>
      <c r="R280" s="241"/>
      <c r="S280" s="241"/>
      <c r="T280" s="241"/>
      <c r="U280" s="241"/>
      <c r="V280" s="241"/>
      <c r="W280" s="241"/>
      <c r="X280" s="241"/>
      <c r="Y280" s="241"/>
      <c r="Z280" s="241"/>
      <c r="AA280" s="241"/>
    </row>
    <row r="281">
      <c r="A281" s="243"/>
      <c r="B281" s="243"/>
      <c r="C281" s="241"/>
      <c r="D281" s="241"/>
      <c r="E281" s="241"/>
      <c r="F281" s="241"/>
      <c r="G281" s="241"/>
      <c r="H281" s="241"/>
      <c r="I281" s="241"/>
      <c r="J281" s="241"/>
      <c r="K281" s="241"/>
      <c r="L281" s="241"/>
      <c r="M281" s="241"/>
      <c r="N281" s="241"/>
      <c r="O281" s="241"/>
      <c r="P281" s="241"/>
      <c r="Q281" s="241"/>
      <c r="R281" s="241"/>
      <c r="S281" s="241"/>
      <c r="T281" s="241"/>
      <c r="U281" s="241"/>
      <c r="V281" s="241"/>
      <c r="W281" s="241"/>
      <c r="X281" s="241"/>
      <c r="Y281" s="241"/>
      <c r="Z281" s="241"/>
      <c r="AA281" s="241"/>
    </row>
    <row r="282">
      <c r="A282" s="243"/>
      <c r="B282" s="243"/>
      <c r="C282" s="241"/>
      <c r="D282" s="241"/>
      <c r="E282" s="241"/>
      <c r="F282" s="241"/>
      <c r="G282" s="241"/>
      <c r="H282" s="241"/>
      <c r="I282" s="241"/>
      <c r="J282" s="241"/>
      <c r="K282" s="241"/>
      <c r="L282" s="241"/>
      <c r="M282" s="241"/>
      <c r="N282" s="241"/>
      <c r="O282" s="241"/>
      <c r="P282" s="241"/>
      <c r="Q282" s="241"/>
      <c r="R282" s="241"/>
      <c r="S282" s="241"/>
      <c r="T282" s="241"/>
      <c r="U282" s="241"/>
      <c r="V282" s="241"/>
      <c r="W282" s="241"/>
      <c r="X282" s="241"/>
      <c r="Y282" s="241"/>
      <c r="Z282" s="241"/>
      <c r="AA282" s="241"/>
    </row>
    <row r="283">
      <c r="A283" s="243"/>
      <c r="B283" s="243"/>
      <c r="C283" s="241"/>
      <c r="D283" s="241"/>
      <c r="E283" s="241"/>
      <c r="F283" s="241"/>
      <c r="G283" s="241"/>
      <c r="H283" s="241"/>
      <c r="I283" s="241"/>
      <c r="J283" s="241"/>
      <c r="K283" s="241"/>
      <c r="L283" s="241"/>
      <c r="M283" s="241"/>
      <c r="N283" s="241"/>
      <c r="O283" s="241"/>
      <c r="P283" s="241"/>
      <c r="Q283" s="241"/>
      <c r="R283" s="241"/>
      <c r="S283" s="241"/>
      <c r="T283" s="241"/>
      <c r="U283" s="241"/>
      <c r="V283" s="241"/>
      <c r="W283" s="241"/>
      <c r="X283" s="241"/>
      <c r="Y283" s="241"/>
      <c r="Z283" s="241"/>
      <c r="AA283" s="241"/>
    </row>
    <row r="284">
      <c r="A284" s="243"/>
      <c r="B284" s="243"/>
      <c r="C284" s="241"/>
      <c r="D284" s="241"/>
      <c r="E284" s="241"/>
      <c r="F284" s="241"/>
      <c r="G284" s="241"/>
      <c r="H284" s="241"/>
      <c r="I284" s="241"/>
      <c r="J284" s="241"/>
      <c r="K284" s="241"/>
      <c r="L284" s="241"/>
      <c r="M284" s="241"/>
      <c r="N284" s="241"/>
      <c r="O284" s="241"/>
      <c r="P284" s="241"/>
      <c r="Q284" s="241"/>
      <c r="R284" s="241"/>
      <c r="S284" s="241"/>
      <c r="T284" s="241"/>
      <c r="U284" s="241"/>
      <c r="V284" s="241"/>
      <c r="W284" s="241"/>
      <c r="X284" s="241"/>
      <c r="Y284" s="241"/>
      <c r="Z284" s="241"/>
      <c r="AA284" s="241"/>
    </row>
    <row r="285">
      <c r="A285" s="243"/>
      <c r="B285" s="243"/>
      <c r="C285" s="241"/>
      <c r="D285" s="241"/>
      <c r="E285" s="241"/>
      <c r="F285" s="241"/>
      <c r="G285" s="241"/>
      <c r="H285" s="241"/>
      <c r="I285" s="241"/>
      <c r="J285" s="241"/>
      <c r="K285" s="241"/>
      <c r="L285" s="241"/>
      <c r="M285" s="241"/>
      <c r="N285" s="241"/>
      <c r="O285" s="241"/>
      <c r="P285" s="241"/>
      <c r="Q285" s="241"/>
      <c r="R285" s="241"/>
      <c r="S285" s="241"/>
      <c r="T285" s="241"/>
      <c r="U285" s="241"/>
      <c r="V285" s="241"/>
      <c r="W285" s="241"/>
      <c r="X285" s="241"/>
      <c r="Y285" s="241"/>
      <c r="Z285" s="241"/>
      <c r="AA285" s="241"/>
    </row>
    <row r="286">
      <c r="A286" s="243"/>
      <c r="B286" s="243"/>
      <c r="C286" s="241"/>
      <c r="D286" s="241"/>
      <c r="E286" s="241"/>
      <c r="F286" s="241"/>
      <c r="G286" s="241"/>
      <c r="H286" s="241"/>
      <c r="I286" s="241"/>
      <c r="J286" s="241"/>
      <c r="K286" s="241"/>
      <c r="L286" s="241"/>
      <c r="M286" s="241"/>
      <c r="N286" s="241"/>
      <c r="O286" s="241"/>
      <c r="P286" s="241"/>
      <c r="Q286" s="241"/>
      <c r="R286" s="241"/>
      <c r="S286" s="241"/>
      <c r="T286" s="241"/>
      <c r="U286" s="241"/>
      <c r="V286" s="241"/>
      <c r="W286" s="241"/>
      <c r="X286" s="241"/>
      <c r="Y286" s="241"/>
      <c r="Z286" s="241"/>
      <c r="AA286" s="241"/>
    </row>
    <row r="287">
      <c r="A287" s="243"/>
      <c r="B287" s="243"/>
      <c r="C287" s="241"/>
      <c r="D287" s="241"/>
      <c r="E287" s="241"/>
      <c r="F287" s="241"/>
      <c r="G287" s="241"/>
      <c r="H287" s="241"/>
      <c r="I287" s="241"/>
      <c r="J287" s="241"/>
      <c r="K287" s="241"/>
      <c r="L287" s="241"/>
      <c r="M287" s="241"/>
      <c r="N287" s="241"/>
      <c r="O287" s="241"/>
      <c r="P287" s="241"/>
      <c r="Q287" s="241"/>
      <c r="R287" s="241"/>
      <c r="S287" s="241"/>
      <c r="T287" s="241"/>
      <c r="U287" s="241"/>
      <c r="V287" s="241"/>
      <c r="W287" s="241"/>
      <c r="X287" s="241"/>
      <c r="Y287" s="241"/>
      <c r="Z287" s="241"/>
      <c r="AA287" s="241"/>
    </row>
    <row r="288">
      <c r="A288" s="243"/>
      <c r="B288" s="243"/>
      <c r="C288" s="241"/>
      <c r="D288" s="241"/>
      <c r="E288" s="241"/>
      <c r="F288" s="241"/>
      <c r="G288" s="241"/>
      <c r="H288" s="241"/>
      <c r="I288" s="241"/>
      <c r="J288" s="241"/>
      <c r="K288" s="241"/>
      <c r="L288" s="241"/>
      <c r="M288" s="241"/>
      <c r="N288" s="241"/>
      <c r="O288" s="241"/>
      <c r="P288" s="241"/>
      <c r="Q288" s="241"/>
      <c r="R288" s="241"/>
      <c r="S288" s="241"/>
      <c r="T288" s="241"/>
      <c r="U288" s="241"/>
      <c r="V288" s="241"/>
      <c r="W288" s="241"/>
      <c r="X288" s="241"/>
      <c r="Y288" s="241"/>
      <c r="Z288" s="241"/>
      <c r="AA288" s="241"/>
    </row>
    <row r="289">
      <c r="A289" s="243"/>
      <c r="B289" s="243"/>
      <c r="C289" s="241"/>
      <c r="D289" s="241"/>
      <c r="E289" s="241"/>
      <c r="F289" s="241"/>
      <c r="G289" s="241"/>
      <c r="H289" s="241"/>
      <c r="I289" s="241"/>
      <c r="J289" s="241"/>
      <c r="K289" s="241"/>
      <c r="L289" s="241"/>
      <c r="M289" s="241"/>
      <c r="N289" s="241"/>
      <c r="O289" s="241"/>
      <c r="P289" s="241"/>
      <c r="Q289" s="241"/>
      <c r="R289" s="241"/>
      <c r="S289" s="241"/>
      <c r="T289" s="241"/>
      <c r="U289" s="241"/>
      <c r="V289" s="241"/>
      <c r="W289" s="241"/>
      <c r="X289" s="241"/>
      <c r="Y289" s="241"/>
      <c r="Z289" s="241"/>
      <c r="AA289" s="241"/>
    </row>
    <row r="290">
      <c r="A290" s="243"/>
      <c r="B290" s="243"/>
      <c r="C290" s="241"/>
      <c r="D290" s="241"/>
      <c r="E290" s="241"/>
      <c r="F290" s="241"/>
      <c r="G290" s="241"/>
      <c r="H290" s="241"/>
      <c r="I290" s="241"/>
      <c r="J290" s="241"/>
      <c r="K290" s="241"/>
      <c r="L290" s="241"/>
      <c r="M290" s="241"/>
      <c r="N290" s="241"/>
      <c r="O290" s="241"/>
      <c r="P290" s="241"/>
      <c r="Q290" s="241"/>
      <c r="R290" s="241"/>
      <c r="S290" s="241"/>
      <c r="T290" s="241"/>
      <c r="U290" s="241"/>
      <c r="V290" s="241"/>
      <c r="W290" s="241"/>
      <c r="X290" s="241"/>
      <c r="Y290" s="241"/>
      <c r="Z290" s="241"/>
      <c r="AA290" s="241"/>
    </row>
    <row r="291">
      <c r="A291" s="243"/>
      <c r="B291" s="243"/>
      <c r="C291" s="241"/>
      <c r="D291" s="241"/>
      <c r="E291" s="241"/>
      <c r="F291" s="241"/>
      <c r="G291" s="241"/>
      <c r="H291" s="241"/>
      <c r="I291" s="241"/>
      <c r="J291" s="241"/>
      <c r="K291" s="241"/>
      <c r="L291" s="241"/>
      <c r="M291" s="241"/>
      <c r="N291" s="241"/>
      <c r="O291" s="241"/>
      <c r="P291" s="241"/>
      <c r="Q291" s="241"/>
      <c r="R291" s="241"/>
      <c r="S291" s="241"/>
      <c r="T291" s="241"/>
      <c r="U291" s="241"/>
      <c r="V291" s="241"/>
      <c r="W291" s="241"/>
      <c r="X291" s="241"/>
      <c r="Y291" s="241"/>
      <c r="Z291" s="241"/>
      <c r="AA291" s="241"/>
    </row>
    <row r="292">
      <c r="A292" s="243"/>
      <c r="B292" s="243"/>
      <c r="C292" s="241"/>
      <c r="D292" s="241"/>
      <c r="E292" s="241"/>
      <c r="F292" s="241"/>
      <c r="G292" s="241"/>
      <c r="H292" s="241"/>
      <c r="I292" s="241"/>
      <c r="J292" s="241"/>
      <c r="K292" s="241"/>
      <c r="L292" s="241"/>
      <c r="M292" s="241"/>
      <c r="N292" s="241"/>
      <c r="O292" s="241"/>
      <c r="P292" s="241"/>
      <c r="Q292" s="241"/>
      <c r="R292" s="241"/>
      <c r="S292" s="241"/>
      <c r="T292" s="241"/>
      <c r="U292" s="241"/>
      <c r="V292" s="241"/>
      <c r="W292" s="241"/>
      <c r="X292" s="241"/>
      <c r="Y292" s="241"/>
      <c r="Z292" s="241"/>
      <c r="AA292" s="241"/>
    </row>
    <row r="293">
      <c r="A293" s="243"/>
      <c r="B293" s="243"/>
      <c r="C293" s="241"/>
      <c r="D293" s="241"/>
      <c r="E293" s="241"/>
      <c r="F293" s="241"/>
      <c r="G293" s="241"/>
      <c r="H293" s="241"/>
      <c r="I293" s="241"/>
      <c r="J293" s="241"/>
      <c r="K293" s="241"/>
      <c r="L293" s="241"/>
      <c r="M293" s="241"/>
      <c r="N293" s="241"/>
      <c r="O293" s="241"/>
      <c r="P293" s="241"/>
      <c r="Q293" s="241"/>
      <c r="R293" s="241"/>
      <c r="S293" s="241"/>
      <c r="T293" s="241"/>
      <c r="U293" s="241"/>
      <c r="V293" s="241"/>
      <c r="W293" s="241"/>
      <c r="X293" s="241"/>
      <c r="Y293" s="241"/>
      <c r="Z293" s="241"/>
      <c r="AA293" s="241"/>
    </row>
    <row r="294">
      <c r="A294" s="243"/>
      <c r="B294" s="243"/>
      <c r="C294" s="241"/>
      <c r="D294" s="241"/>
      <c r="E294" s="241"/>
      <c r="F294" s="241"/>
      <c r="G294" s="241"/>
      <c r="H294" s="241"/>
      <c r="I294" s="241"/>
      <c r="J294" s="241"/>
      <c r="K294" s="241"/>
      <c r="L294" s="241"/>
      <c r="M294" s="241"/>
      <c r="N294" s="241"/>
      <c r="O294" s="241"/>
      <c r="P294" s="241"/>
      <c r="Q294" s="241"/>
      <c r="R294" s="241"/>
      <c r="S294" s="241"/>
      <c r="T294" s="241"/>
      <c r="U294" s="241"/>
      <c r="V294" s="241"/>
      <c r="W294" s="241"/>
      <c r="X294" s="241"/>
      <c r="Y294" s="241"/>
      <c r="Z294" s="241"/>
      <c r="AA294" s="241"/>
    </row>
    <row r="295">
      <c r="A295" s="243"/>
      <c r="B295" s="243"/>
      <c r="C295" s="241"/>
      <c r="D295" s="241"/>
      <c r="E295" s="241"/>
      <c r="F295" s="241"/>
      <c r="G295" s="241"/>
      <c r="H295" s="241"/>
      <c r="I295" s="241"/>
      <c r="J295" s="241"/>
      <c r="K295" s="241"/>
      <c r="L295" s="241"/>
      <c r="M295" s="241"/>
      <c r="N295" s="241"/>
      <c r="O295" s="241"/>
      <c r="P295" s="241"/>
      <c r="Q295" s="241"/>
      <c r="R295" s="241"/>
      <c r="S295" s="241"/>
      <c r="T295" s="241"/>
      <c r="U295" s="241"/>
      <c r="V295" s="241"/>
      <c r="W295" s="241"/>
      <c r="X295" s="241"/>
      <c r="Y295" s="241"/>
      <c r="Z295" s="241"/>
      <c r="AA295" s="241"/>
    </row>
    <row r="296">
      <c r="A296" s="243"/>
      <c r="B296" s="243"/>
      <c r="C296" s="241"/>
      <c r="D296" s="241"/>
      <c r="E296" s="241"/>
      <c r="F296" s="241"/>
      <c r="G296" s="241"/>
      <c r="H296" s="241"/>
      <c r="I296" s="241"/>
      <c r="J296" s="241"/>
      <c r="K296" s="241"/>
      <c r="L296" s="241"/>
      <c r="M296" s="241"/>
      <c r="N296" s="241"/>
      <c r="O296" s="241"/>
      <c r="P296" s="241"/>
      <c r="Q296" s="241"/>
      <c r="R296" s="241"/>
      <c r="S296" s="241"/>
      <c r="T296" s="241"/>
      <c r="U296" s="241"/>
      <c r="V296" s="241"/>
      <c r="W296" s="241"/>
      <c r="X296" s="241"/>
      <c r="Y296" s="241"/>
      <c r="Z296" s="241"/>
      <c r="AA296" s="241"/>
    </row>
    <row r="297">
      <c r="A297" s="243"/>
      <c r="B297" s="243"/>
      <c r="C297" s="241"/>
      <c r="D297" s="241"/>
      <c r="E297" s="241"/>
      <c r="F297" s="241"/>
      <c r="G297" s="241"/>
      <c r="H297" s="241"/>
      <c r="I297" s="241"/>
      <c r="J297" s="241"/>
      <c r="K297" s="241"/>
      <c r="L297" s="241"/>
      <c r="M297" s="241"/>
      <c r="N297" s="241"/>
      <c r="O297" s="241"/>
      <c r="P297" s="241"/>
      <c r="Q297" s="241"/>
      <c r="R297" s="241"/>
      <c r="S297" s="241"/>
      <c r="T297" s="241"/>
      <c r="U297" s="241"/>
      <c r="V297" s="241"/>
      <c r="W297" s="241"/>
      <c r="X297" s="241"/>
      <c r="Y297" s="241"/>
      <c r="Z297" s="241"/>
      <c r="AA297" s="241"/>
    </row>
    <row r="298">
      <c r="A298" s="243"/>
      <c r="B298" s="243"/>
      <c r="C298" s="241"/>
      <c r="D298" s="241"/>
      <c r="E298" s="241"/>
      <c r="F298" s="241"/>
      <c r="G298" s="241"/>
      <c r="H298" s="241"/>
      <c r="I298" s="241"/>
      <c r="J298" s="241"/>
      <c r="K298" s="241"/>
      <c r="L298" s="241"/>
      <c r="M298" s="241"/>
      <c r="N298" s="241"/>
      <c r="O298" s="241"/>
      <c r="P298" s="241"/>
      <c r="Q298" s="241"/>
      <c r="R298" s="241"/>
      <c r="S298" s="241"/>
      <c r="T298" s="241"/>
      <c r="U298" s="241"/>
      <c r="V298" s="241"/>
      <c r="W298" s="241"/>
      <c r="X298" s="241"/>
      <c r="Y298" s="241"/>
      <c r="Z298" s="241"/>
      <c r="AA298" s="241"/>
    </row>
    <row r="299">
      <c r="A299" s="243"/>
      <c r="B299" s="243"/>
      <c r="C299" s="241"/>
      <c r="D299" s="241"/>
      <c r="E299" s="241"/>
      <c r="F299" s="241"/>
      <c r="G299" s="241"/>
      <c r="H299" s="241"/>
      <c r="I299" s="241"/>
      <c r="J299" s="241"/>
      <c r="K299" s="241"/>
      <c r="L299" s="241"/>
      <c r="M299" s="241"/>
      <c r="N299" s="241"/>
      <c r="O299" s="241"/>
      <c r="P299" s="241"/>
      <c r="Q299" s="241"/>
      <c r="R299" s="241"/>
      <c r="S299" s="241"/>
      <c r="T299" s="241"/>
      <c r="U299" s="241"/>
      <c r="V299" s="241"/>
      <c r="W299" s="241"/>
      <c r="X299" s="241"/>
      <c r="Y299" s="241"/>
      <c r="Z299" s="241"/>
      <c r="AA299" s="241"/>
    </row>
    <row r="300">
      <c r="A300" s="243"/>
      <c r="B300" s="243"/>
      <c r="C300" s="241"/>
      <c r="D300" s="241"/>
      <c r="E300" s="241"/>
      <c r="F300" s="241"/>
      <c r="G300" s="241"/>
      <c r="H300" s="241"/>
      <c r="I300" s="241"/>
      <c r="J300" s="241"/>
      <c r="K300" s="241"/>
      <c r="L300" s="241"/>
      <c r="M300" s="241"/>
      <c r="N300" s="241"/>
      <c r="O300" s="241"/>
      <c r="P300" s="241"/>
      <c r="Q300" s="241"/>
      <c r="R300" s="241"/>
      <c r="S300" s="241"/>
      <c r="T300" s="241"/>
      <c r="U300" s="241"/>
      <c r="V300" s="241"/>
      <c r="W300" s="241"/>
      <c r="X300" s="241"/>
      <c r="Y300" s="241"/>
      <c r="Z300" s="241"/>
      <c r="AA300" s="241"/>
    </row>
    <row r="301">
      <c r="A301" s="243"/>
      <c r="B301" s="243"/>
      <c r="C301" s="241"/>
      <c r="D301" s="241"/>
      <c r="E301" s="241"/>
      <c r="F301" s="241"/>
      <c r="G301" s="241"/>
      <c r="H301" s="241"/>
      <c r="I301" s="241"/>
      <c r="J301" s="241"/>
      <c r="K301" s="241"/>
      <c r="L301" s="241"/>
      <c r="M301" s="241"/>
      <c r="N301" s="241"/>
      <c r="O301" s="241"/>
      <c r="P301" s="241"/>
      <c r="Q301" s="241"/>
      <c r="R301" s="241"/>
      <c r="S301" s="241"/>
      <c r="T301" s="241"/>
      <c r="U301" s="241"/>
      <c r="V301" s="241"/>
      <c r="W301" s="241"/>
      <c r="X301" s="241"/>
      <c r="Y301" s="241"/>
      <c r="Z301" s="241"/>
      <c r="AA301" s="241"/>
    </row>
    <row r="302">
      <c r="A302" s="243"/>
      <c r="B302" s="243"/>
      <c r="C302" s="241"/>
      <c r="D302" s="241"/>
      <c r="E302" s="241"/>
      <c r="F302" s="241"/>
      <c r="G302" s="241"/>
      <c r="H302" s="241"/>
      <c r="I302" s="241"/>
      <c r="J302" s="241"/>
      <c r="K302" s="241"/>
      <c r="L302" s="241"/>
      <c r="M302" s="241"/>
      <c r="N302" s="241"/>
      <c r="O302" s="241"/>
      <c r="P302" s="241"/>
      <c r="Q302" s="241"/>
      <c r="R302" s="241"/>
      <c r="S302" s="241"/>
      <c r="T302" s="241"/>
      <c r="U302" s="241"/>
      <c r="V302" s="241"/>
      <c r="W302" s="241"/>
      <c r="X302" s="241"/>
      <c r="Y302" s="241"/>
      <c r="Z302" s="241"/>
      <c r="AA302" s="241"/>
    </row>
    <row r="303">
      <c r="A303" s="243"/>
      <c r="B303" s="243"/>
      <c r="C303" s="241"/>
      <c r="D303" s="241"/>
      <c r="E303" s="241"/>
      <c r="F303" s="241"/>
      <c r="G303" s="241"/>
      <c r="H303" s="241"/>
      <c r="I303" s="241"/>
      <c r="J303" s="241"/>
      <c r="K303" s="241"/>
      <c r="L303" s="241"/>
      <c r="M303" s="241"/>
      <c r="N303" s="241"/>
      <c r="O303" s="241"/>
      <c r="P303" s="241"/>
      <c r="Q303" s="241"/>
      <c r="R303" s="241"/>
      <c r="S303" s="241"/>
      <c r="T303" s="241"/>
      <c r="U303" s="241"/>
      <c r="V303" s="241"/>
      <c r="W303" s="241"/>
      <c r="X303" s="241"/>
      <c r="Y303" s="241"/>
      <c r="Z303" s="241"/>
      <c r="AA303" s="241"/>
    </row>
    <row r="304">
      <c r="A304" s="243"/>
      <c r="B304" s="243"/>
      <c r="C304" s="241"/>
      <c r="D304" s="241"/>
      <c r="E304" s="241"/>
      <c r="F304" s="241"/>
      <c r="G304" s="241"/>
      <c r="H304" s="241"/>
      <c r="I304" s="241"/>
      <c r="J304" s="241"/>
      <c r="K304" s="241"/>
      <c r="L304" s="241"/>
      <c r="M304" s="241"/>
      <c r="N304" s="241"/>
      <c r="O304" s="241"/>
      <c r="P304" s="241"/>
      <c r="Q304" s="241"/>
      <c r="R304" s="241"/>
      <c r="S304" s="241"/>
      <c r="T304" s="241"/>
      <c r="U304" s="241"/>
      <c r="V304" s="241"/>
      <c r="W304" s="241"/>
      <c r="X304" s="241"/>
      <c r="Y304" s="241"/>
      <c r="Z304" s="241"/>
      <c r="AA304" s="241"/>
    </row>
    <row r="305">
      <c r="A305" s="243"/>
      <c r="B305" s="243"/>
      <c r="C305" s="241"/>
      <c r="D305" s="241"/>
      <c r="E305" s="241"/>
      <c r="F305" s="241"/>
      <c r="G305" s="241"/>
      <c r="H305" s="241"/>
      <c r="I305" s="241"/>
      <c r="J305" s="241"/>
      <c r="K305" s="241"/>
      <c r="L305" s="241"/>
      <c r="M305" s="241"/>
      <c r="N305" s="241"/>
      <c r="O305" s="241"/>
      <c r="P305" s="241"/>
      <c r="Q305" s="241"/>
      <c r="R305" s="241"/>
      <c r="S305" s="241"/>
      <c r="T305" s="241"/>
      <c r="U305" s="241"/>
      <c r="V305" s="241"/>
      <c r="W305" s="241"/>
      <c r="X305" s="241"/>
      <c r="Y305" s="241"/>
      <c r="Z305" s="241"/>
      <c r="AA305" s="241"/>
    </row>
    <row r="306">
      <c r="A306" s="243"/>
      <c r="B306" s="243"/>
      <c r="C306" s="241"/>
      <c r="D306" s="241"/>
      <c r="E306" s="241"/>
      <c r="F306" s="241"/>
      <c r="G306" s="241"/>
      <c r="H306" s="241"/>
      <c r="I306" s="241"/>
      <c r="J306" s="241"/>
      <c r="K306" s="241"/>
      <c r="L306" s="241"/>
      <c r="M306" s="241"/>
      <c r="N306" s="241"/>
      <c r="O306" s="241"/>
      <c r="P306" s="241"/>
      <c r="Q306" s="241"/>
      <c r="R306" s="241"/>
      <c r="S306" s="241"/>
      <c r="T306" s="241"/>
      <c r="U306" s="241"/>
      <c r="V306" s="241"/>
      <c r="W306" s="241"/>
      <c r="X306" s="241"/>
      <c r="Y306" s="241"/>
      <c r="Z306" s="241"/>
      <c r="AA306" s="241"/>
    </row>
    <row r="307">
      <c r="A307" s="243"/>
      <c r="B307" s="243"/>
      <c r="C307" s="241"/>
      <c r="D307" s="241"/>
      <c r="E307" s="241"/>
      <c r="F307" s="241"/>
      <c r="G307" s="241"/>
      <c r="H307" s="241"/>
      <c r="I307" s="241"/>
      <c r="J307" s="241"/>
      <c r="K307" s="241"/>
      <c r="L307" s="241"/>
      <c r="M307" s="241"/>
      <c r="N307" s="241"/>
      <c r="O307" s="241"/>
      <c r="P307" s="241"/>
      <c r="Q307" s="241"/>
      <c r="R307" s="241"/>
      <c r="S307" s="241"/>
      <c r="T307" s="241"/>
      <c r="U307" s="241"/>
      <c r="V307" s="241"/>
      <c r="W307" s="241"/>
      <c r="X307" s="241"/>
      <c r="Y307" s="241"/>
      <c r="Z307" s="241"/>
      <c r="AA307" s="241"/>
    </row>
    <row r="308">
      <c r="A308" s="243"/>
      <c r="B308" s="243"/>
      <c r="C308" s="241"/>
      <c r="D308" s="241"/>
      <c r="E308" s="241"/>
      <c r="F308" s="241"/>
      <c r="G308" s="241"/>
      <c r="H308" s="241"/>
      <c r="I308" s="241"/>
      <c r="J308" s="241"/>
      <c r="K308" s="241"/>
      <c r="L308" s="241"/>
      <c r="M308" s="241"/>
      <c r="N308" s="241"/>
      <c r="O308" s="241"/>
      <c r="P308" s="241"/>
      <c r="Q308" s="241"/>
      <c r="R308" s="241"/>
      <c r="S308" s="241"/>
      <c r="T308" s="241"/>
      <c r="U308" s="241"/>
      <c r="V308" s="241"/>
      <c r="W308" s="241"/>
      <c r="X308" s="241"/>
      <c r="Y308" s="241"/>
      <c r="Z308" s="241"/>
      <c r="AA308" s="241"/>
    </row>
    <row r="309">
      <c r="A309" s="243"/>
      <c r="B309" s="243"/>
      <c r="C309" s="241"/>
      <c r="D309" s="241"/>
      <c r="E309" s="241"/>
      <c r="F309" s="241"/>
      <c r="G309" s="241"/>
      <c r="H309" s="241"/>
      <c r="I309" s="241"/>
      <c r="J309" s="241"/>
      <c r="K309" s="241"/>
      <c r="L309" s="241"/>
      <c r="M309" s="241"/>
      <c r="N309" s="241"/>
      <c r="O309" s="241"/>
      <c r="P309" s="241"/>
      <c r="Q309" s="241"/>
      <c r="R309" s="241"/>
      <c r="S309" s="241"/>
      <c r="T309" s="241"/>
      <c r="U309" s="241"/>
      <c r="V309" s="241"/>
      <c r="W309" s="241"/>
      <c r="X309" s="241"/>
      <c r="Y309" s="241"/>
      <c r="Z309" s="241"/>
      <c r="AA309" s="241"/>
    </row>
    <row r="310">
      <c r="A310" s="243"/>
      <c r="B310" s="243"/>
      <c r="C310" s="241"/>
      <c r="D310" s="241"/>
      <c r="E310" s="241"/>
      <c r="F310" s="241"/>
      <c r="G310" s="241"/>
      <c r="H310" s="241"/>
      <c r="I310" s="241"/>
      <c r="J310" s="241"/>
      <c r="K310" s="241"/>
      <c r="L310" s="241"/>
      <c r="M310" s="241"/>
      <c r="N310" s="241"/>
      <c r="O310" s="241"/>
      <c r="P310" s="241"/>
      <c r="Q310" s="241"/>
      <c r="R310" s="241"/>
      <c r="S310" s="241"/>
      <c r="T310" s="241"/>
      <c r="U310" s="241"/>
      <c r="V310" s="241"/>
      <c r="W310" s="241"/>
      <c r="X310" s="241"/>
      <c r="Y310" s="241"/>
      <c r="Z310" s="241"/>
      <c r="AA310" s="241"/>
    </row>
    <row r="311">
      <c r="A311" s="243"/>
      <c r="B311" s="243"/>
      <c r="C311" s="241"/>
      <c r="D311" s="241"/>
      <c r="E311" s="241"/>
      <c r="F311" s="241"/>
      <c r="G311" s="241"/>
      <c r="H311" s="241"/>
      <c r="I311" s="241"/>
      <c r="J311" s="241"/>
      <c r="K311" s="241"/>
      <c r="L311" s="241"/>
      <c r="M311" s="241"/>
      <c r="N311" s="241"/>
      <c r="O311" s="241"/>
      <c r="P311" s="241"/>
      <c r="Q311" s="241"/>
      <c r="R311" s="241"/>
      <c r="S311" s="241"/>
      <c r="T311" s="241"/>
      <c r="U311" s="241"/>
      <c r="V311" s="241"/>
      <c r="W311" s="241"/>
      <c r="X311" s="241"/>
      <c r="Y311" s="241"/>
      <c r="Z311" s="241"/>
      <c r="AA311" s="241"/>
    </row>
    <row r="312">
      <c r="A312" s="243"/>
      <c r="B312" s="243"/>
      <c r="C312" s="241"/>
      <c r="D312" s="241"/>
      <c r="E312" s="241"/>
      <c r="F312" s="241"/>
      <c r="G312" s="241"/>
      <c r="H312" s="241"/>
      <c r="I312" s="241"/>
      <c r="J312" s="241"/>
      <c r="K312" s="241"/>
      <c r="L312" s="241"/>
      <c r="M312" s="241"/>
      <c r="N312" s="241"/>
      <c r="O312" s="241"/>
      <c r="P312" s="241"/>
      <c r="Q312" s="241"/>
      <c r="R312" s="241"/>
      <c r="S312" s="241"/>
      <c r="T312" s="241"/>
      <c r="U312" s="241"/>
      <c r="V312" s="241"/>
      <c r="W312" s="241"/>
      <c r="X312" s="241"/>
      <c r="Y312" s="241"/>
      <c r="Z312" s="241"/>
      <c r="AA312" s="241"/>
    </row>
    <row r="313">
      <c r="A313" s="243"/>
      <c r="B313" s="243"/>
      <c r="C313" s="241"/>
      <c r="D313" s="241"/>
      <c r="E313" s="241"/>
      <c r="F313" s="241"/>
      <c r="G313" s="241"/>
      <c r="H313" s="241"/>
      <c r="I313" s="241"/>
      <c r="J313" s="241"/>
      <c r="K313" s="241"/>
      <c r="L313" s="241"/>
      <c r="M313" s="241"/>
      <c r="N313" s="241"/>
      <c r="O313" s="241"/>
      <c r="P313" s="241"/>
      <c r="Q313" s="241"/>
      <c r="R313" s="241"/>
      <c r="S313" s="241"/>
      <c r="T313" s="241"/>
      <c r="U313" s="241"/>
      <c r="V313" s="241"/>
      <c r="W313" s="241"/>
      <c r="X313" s="241"/>
      <c r="Y313" s="241"/>
      <c r="Z313" s="241"/>
      <c r="AA313" s="241"/>
    </row>
    <row r="314">
      <c r="A314" s="243"/>
      <c r="B314" s="243"/>
      <c r="C314" s="241"/>
      <c r="D314" s="241"/>
      <c r="E314" s="241"/>
      <c r="F314" s="241"/>
      <c r="G314" s="241"/>
      <c r="H314" s="241"/>
      <c r="I314" s="241"/>
      <c r="J314" s="241"/>
      <c r="K314" s="241"/>
      <c r="L314" s="241"/>
      <c r="M314" s="241"/>
      <c r="N314" s="241"/>
      <c r="O314" s="241"/>
      <c r="P314" s="241"/>
      <c r="Q314" s="241"/>
      <c r="R314" s="241"/>
      <c r="S314" s="241"/>
      <c r="T314" s="241"/>
      <c r="U314" s="241"/>
      <c r="V314" s="241"/>
      <c r="W314" s="241"/>
      <c r="X314" s="241"/>
      <c r="Y314" s="241"/>
      <c r="Z314" s="241"/>
      <c r="AA314" s="241"/>
    </row>
    <row r="315">
      <c r="A315" s="243"/>
      <c r="B315" s="243"/>
      <c r="C315" s="241"/>
      <c r="D315" s="241"/>
      <c r="E315" s="241"/>
      <c r="F315" s="241"/>
      <c r="G315" s="241"/>
      <c r="H315" s="241"/>
      <c r="I315" s="241"/>
      <c r="J315" s="241"/>
      <c r="K315" s="241"/>
      <c r="L315" s="241"/>
      <c r="M315" s="241"/>
      <c r="N315" s="241"/>
      <c r="O315" s="241"/>
      <c r="P315" s="241"/>
      <c r="Q315" s="241"/>
      <c r="R315" s="241"/>
      <c r="S315" s="241"/>
      <c r="T315" s="241"/>
      <c r="U315" s="241"/>
      <c r="V315" s="241"/>
      <c r="W315" s="241"/>
      <c r="X315" s="241"/>
      <c r="Y315" s="241"/>
      <c r="Z315" s="241"/>
      <c r="AA315" s="241"/>
    </row>
    <row r="316">
      <c r="A316" s="243"/>
      <c r="B316" s="243"/>
      <c r="C316" s="241"/>
      <c r="D316" s="241"/>
      <c r="E316" s="241"/>
      <c r="F316" s="241"/>
      <c r="G316" s="241"/>
      <c r="H316" s="241"/>
      <c r="I316" s="241"/>
      <c r="J316" s="241"/>
      <c r="K316" s="241"/>
      <c r="L316" s="241"/>
      <c r="M316" s="241"/>
      <c r="N316" s="241"/>
      <c r="O316" s="241"/>
      <c r="P316" s="241"/>
      <c r="Q316" s="241"/>
      <c r="R316" s="241"/>
      <c r="S316" s="241"/>
      <c r="T316" s="241"/>
      <c r="U316" s="241"/>
      <c r="V316" s="241"/>
      <c r="W316" s="241"/>
      <c r="X316" s="241"/>
      <c r="Y316" s="241"/>
      <c r="Z316" s="241"/>
      <c r="AA316" s="241"/>
    </row>
    <row r="317">
      <c r="A317" s="243"/>
      <c r="B317" s="243"/>
      <c r="C317" s="241"/>
      <c r="D317" s="241"/>
      <c r="E317" s="241"/>
      <c r="F317" s="241"/>
      <c r="G317" s="241"/>
      <c r="H317" s="241"/>
      <c r="I317" s="241"/>
      <c r="J317" s="241"/>
      <c r="K317" s="241"/>
      <c r="L317" s="241"/>
      <c r="M317" s="241"/>
      <c r="N317" s="241"/>
      <c r="O317" s="241"/>
      <c r="P317" s="241"/>
      <c r="Q317" s="241"/>
      <c r="R317" s="241"/>
      <c r="S317" s="241"/>
      <c r="T317" s="241"/>
      <c r="U317" s="241"/>
      <c r="V317" s="241"/>
      <c r="W317" s="241"/>
      <c r="X317" s="241"/>
      <c r="Y317" s="241"/>
      <c r="Z317" s="241"/>
      <c r="AA317" s="241"/>
    </row>
    <row r="318">
      <c r="A318" s="243"/>
      <c r="B318" s="243"/>
      <c r="C318" s="241"/>
      <c r="D318" s="241"/>
      <c r="E318" s="241"/>
      <c r="F318" s="241"/>
      <c r="G318" s="241"/>
      <c r="H318" s="241"/>
      <c r="I318" s="241"/>
      <c r="J318" s="241"/>
      <c r="K318" s="241"/>
      <c r="L318" s="241"/>
      <c r="M318" s="241"/>
      <c r="N318" s="241"/>
      <c r="O318" s="241"/>
      <c r="P318" s="241"/>
      <c r="Q318" s="241"/>
      <c r="R318" s="241"/>
      <c r="S318" s="241"/>
      <c r="T318" s="241"/>
      <c r="U318" s="241"/>
      <c r="V318" s="241"/>
      <c r="W318" s="241"/>
      <c r="X318" s="241"/>
      <c r="Y318" s="241"/>
      <c r="Z318" s="241"/>
      <c r="AA318" s="241"/>
    </row>
    <row r="319">
      <c r="A319" s="243"/>
      <c r="B319" s="243"/>
      <c r="C319" s="241"/>
      <c r="D319" s="241"/>
      <c r="E319" s="241"/>
      <c r="F319" s="241"/>
      <c r="G319" s="241"/>
      <c r="H319" s="241"/>
      <c r="I319" s="241"/>
      <c r="J319" s="241"/>
      <c r="K319" s="241"/>
      <c r="L319" s="241"/>
      <c r="M319" s="241"/>
      <c r="N319" s="241"/>
      <c r="O319" s="241"/>
      <c r="P319" s="241"/>
      <c r="Q319" s="241"/>
      <c r="R319" s="241"/>
      <c r="S319" s="241"/>
      <c r="T319" s="241"/>
      <c r="U319" s="241"/>
      <c r="V319" s="241"/>
      <c r="W319" s="241"/>
      <c r="X319" s="241"/>
      <c r="Y319" s="241"/>
      <c r="Z319" s="241"/>
      <c r="AA319" s="241"/>
    </row>
    <row r="320">
      <c r="A320" s="243"/>
      <c r="B320" s="243"/>
      <c r="C320" s="241"/>
      <c r="D320" s="241"/>
      <c r="E320" s="241"/>
      <c r="F320" s="241"/>
      <c r="G320" s="241"/>
      <c r="H320" s="241"/>
      <c r="I320" s="241"/>
      <c r="J320" s="241"/>
      <c r="K320" s="241"/>
      <c r="L320" s="241"/>
      <c r="M320" s="241"/>
      <c r="N320" s="241"/>
      <c r="O320" s="241"/>
      <c r="P320" s="241"/>
      <c r="Q320" s="241"/>
      <c r="R320" s="241"/>
      <c r="S320" s="241"/>
      <c r="T320" s="241"/>
      <c r="U320" s="241"/>
      <c r="V320" s="241"/>
      <c r="W320" s="241"/>
      <c r="X320" s="241"/>
      <c r="Y320" s="241"/>
      <c r="Z320" s="241"/>
      <c r="AA320" s="241"/>
    </row>
    <row r="321">
      <c r="A321" s="243"/>
      <c r="B321" s="243"/>
      <c r="C321" s="241"/>
      <c r="D321" s="241"/>
      <c r="E321" s="241"/>
      <c r="F321" s="241"/>
      <c r="G321" s="241"/>
      <c r="H321" s="241"/>
      <c r="I321" s="241"/>
      <c r="J321" s="241"/>
      <c r="K321" s="241"/>
      <c r="L321" s="241"/>
      <c r="M321" s="241"/>
      <c r="N321" s="241"/>
      <c r="O321" s="241"/>
      <c r="P321" s="241"/>
      <c r="Q321" s="241"/>
      <c r="R321" s="241"/>
      <c r="S321" s="241"/>
      <c r="T321" s="241"/>
      <c r="U321" s="241"/>
      <c r="V321" s="241"/>
      <c r="W321" s="241"/>
      <c r="X321" s="241"/>
      <c r="Y321" s="241"/>
      <c r="Z321" s="241"/>
      <c r="AA321" s="241"/>
    </row>
    <row r="322">
      <c r="A322" s="243"/>
      <c r="B322" s="243"/>
      <c r="C322" s="241"/>
      <c r="D322" s="241"/>
      <c r="E322" s="241"/>
      <c r="F322" s="241"/>
      <c r="G322" s="241"/>
      <c r="H322" s="241"/>
      <c r="I322" s="241"/>
      <c r="J322" s="241"/>
      <c r="K322" s="241"/>
      <c r="L322" s="241"/>
      <c r="M322" s="241"/>
      <c r="N322" s="241"/>
      <c r="O322" s="241"/>
      <c r="P322" s="241"/>
      <c r="Q322" s="241"/>
      <c r="R322" s="241"/>
      <c r="S322" s="241"/>
      <c r="T322" s="241"/>
      <c r="U322" s="241"/>
      <c r="V322" s="241"/>
      <c r="W322" s="241"/>
      <c r="X322" s="241"/>
      <c r="Y322" s="241"/>
      <c r="Z322" s="241"/>
      <c r="AA322" s="241"/>
    </row>
    <row r="323">
      <c r="A323" s="243"/>
      <c r="B323" s="243"/>
      <c r="C323" s="241"/>
      <c r="D323" s="241"/>
      <c r="E323" s="241"/>
      <c r="F323" s="241"/>
      <c r="G323" s="241"/>
      <c r="H323" s="241"/>
      <c r="I323" s="241"/>
      <c r="J323" s="241"/>
      <c r="K323" s="241"/>
      <c r="L323" s="241"/>
      <c r="M323" s="241"/>
      <c r="N323" s="241"/>
      <c r="O323" s="241"/>
      <c r="P323" s="241"/>
      <c r="Q323" s="241"/>
      <c r="R323" s="241"/>
      <c r="S323" s="241"/>
      <c r="T323" s="241"/>
      <c r="U323" s="241"/>
      <c r="V323" s="241"/>
      <c r="W323" s="241"/>
      <c r="X323" s="241"/>
      <c r="Y323" s="241"/>
      <c r="Z323" s="241"/>
      <c r="AA323" s="241"/>
    </row>
    <row r="324">
      <c r="A324" s="243"/>
      <c r="B324" s="243"/>
      <c r="C324" s="241"/>
      <c r="D324" s="241"/>
      <c r="E324" s="241"/>
      <c r="F324" s="241"/>
      <c r="G324" s="241"/>
      <c r="H324" s="241"/>
      <c r="I324" s="241"/>
      <c r="J324" s="241"/>
      <c r="K324" s="241"/>
      <c r="L324" s="241"/>
      <c r="M324" s="241"/>
      <c r="N324" s="241"/>
      <c r="O324" s="241"/>
      <c r="P324" s="241"/>
      <c r="Q324" s="241"/>
      <c r="R324" s="241"/>
      <c r="S324" s="241"/>
      <c r="T324" s="241"/>
      <c r="U324" s="241"/>
      <c r="V324" s="241"/>
      <c r="W324" s="241"/>
      <c r="X324" s="241"/>
      <c r="Y324" s="241"/>
      <c r="Z324" s="241"/>
      <c r="AA324" s="241"/>
    </row>
    <row r="325">
      <c r="A325" s="243"/>
      <c r="B325" s="243"/>
      <c r="C325" s="241"/>
      <c r="D325" s="241"/>
      <c r="E325" s="241"/>
      <c r="F325" s="241"/>
      <c r="G325" s="241"/>
      <c r="H325" s="241"/>
      <c r="I325" s="241"/>
      <c r="J325" s="241"/>
      <c r="K325" s="241"/>
      <c r="L325" s="241"/>
      <c r="M325" s="241"/>
      <c r="N325" s="241"/>
      <c r="O325" s="241"/>
      <c r="P325" s="241"/>
      <c r="Q325" s="241"/>
      <c r="R325" s="241"/>
      <c r="S325" s="241"/>
      <c r="T325" s="241"/>
      <c r="U325" s="241"/>
      <c r="V325" s="241"/>
      <c r="W325" s="241"/>
      <c r="X325" s="241"/>
      <c r="Y325" s="241"/>
      <c r="Z325" s="241"/>
      <c r="AA325" s="241"/>
    </row>
    <row r="326">
      <c r="A326" s="243"/>
      <c r="B326" s="243"/>
      <c r="C326" s="241"/>
      <c r="D326" s="241"/>
      <c r="E326" s="241"/>
      <c r="F326" s="241"/>
      <c r="G326" s="241"/>
      <c r="H326" s="241"/>
      <c r="I326" s="241"/>
      <c r="J326" s="241"/>
      <c r="K326" s="241"/>
      <c r="L326" s="241"/>
      <c r="M326" s="241"/>
      <c r="N326" s="241"/>
      <c r="O326" s="241"/>
      <c r="P326" s="241"/>
      <c r="Q326" s="241"/>
      <c r="R326" s="241"/>
      <c r="S326" s="241"/>
      <c r="T326" s="241"/>
      <c r="U326" s="241"/>
      <c r="V326" s="241"/>
      <c r="W326" s="241"/>
      <c r="X326" s="241"/>
      <c r="Y326" s="241"/>
      <c r="Z326" s="241"/>
      <c r="AA326" s="241"/>
    </row>
    <row r="327">
      <c r="A327" s="243"/>
      <c r="B327" s="243"/>
      <c r="C327" s="241"/>
      <c r="D327" s="241"/>
      <c r="E327" s="241"/>
      <c r="F327" s="241"/>
      <c r="G327" s="241"/>
      <c r="H327" s="241"/>
      <c r="I327" s="241"/>
      <c r="J327" s="241"/>
      <c r="K327" s="241"/>
      <c r="L327" s="241"/>
      <c r="M327" s="241"/>
      <c r="N327" s="241"/>
      <c r="O327" s="241"/>
      <c r="P327" s="241"/>
      <c r="Q327" s="241"/>
      <c r="R327" s="241"/>
      <c r="S327" s="241"/>
      <c r="T327" s="241"/>
      <c r="U327" s="241"/>
      <c r="V327" s="241"/>
      <c r="W327" s="241"/>
      <c r="X327" s="241"/>
      <c r="Y327" s="241"/>
      <c r="Z327" s="241"/>
      <c r="AA327" s="241"/>
    </row>
    <row r="328">
      <c r="A328" s="243"/>
      <c r="B328" s="243"/>
      <c r="C328" s="241"/>
      <c r="D328" s="241"/>
      <c r="E328" s="241"/>
      <c r="F328" s="241"/>
      <c r="G328" s="241"/>
      <c r="H328" s="241"/>
      <c r="I328" s="241"/>
      <c r="J328" s="241"/>
      <c r="K328" s="241"/>
      <c r="L328" s="241"/>
      <c r="M328" s="241"/>
      <c r="N328" s="241"/>
      <c r="O328" s="241"/>
      <c r="P328" s="241"/>
      <c r="Q328" s="241"/>
      <c r="R328" s="241"/>
      <c r="S328" s="241"/>
      <c r="T328" s="241"/>
      <c r="U328" s="241"/>
      <c r="V328" s="241"/>
      <c r="W328" s="241"/>
      <c r="X328" s="241"/>
      <c r="Y328" s="241"/>
      <c r="Z328" s="241"/>
      <c r="AA328" s="241"/>
    </row>
    <row r="329">
      <c r="A329" s="243"/>
      <c r="B329" s="243"/>
      <c r="C329" s="241"/>
      <c r="D329" s="241"/>
      <c r="E329" s="241"/>
      <c r="F329" s="241"/>
      <c r="G329" s="241"/>
      <c r="H329" s="241"/>
      <c r="I329" s="241"/>
      <c r="J329" s="241"/>
      <c r="K329" s="241"/>
      <c r="L329" s="241"/>
      <c r="M329" s="241"/>
      <c r="N329" s="241"/>
      <c r="O329" s="241"/>
      <c r="P329" s="241"/>
      <c r="Q329" s="241"/>
      <c r="R329" s="241"/>
      <c r="S329" s="241"/>
      <c r="T329" s="241"/>
      <c r="U329" s="241"/>
      <c r="V329" s="241"/>
      <c r="W329" s="241"/>
      <c r="X329" s="241"/>
      <c r="Y329" s="241"/>
      <c r="Z329" s="241"/>
      <c r="AA329" s="241"/>
    </row>
    <row r="330">
      <c r="A330" s="243"/>
      <c r="B330" s="243"/>
      <c r="C330" s="241"/>
      <c r="D330" s="241"/>
      <c r="E330" s="241"/>
      <c r="F330" s="241"/>
      <c r="G330" s="241"/>
      <c r="H330" s="241"/>
      <c r="I330" s="241"/>
      <c r="J330" s="241"/>
      <c r="K330" s="241"/>
      <c r="L330" s="241"/>
      <c r="M330" s="241"/>
      <c r="N330" s="241"/>
      <c r="O330" s="241"/>
      <c r="P330" s="241"/>
      <c r="Q330" s="241"/>
      <c r="R330" s="241"/>
      <c r="S330" s="241"/>
      <c r="T330" s="241"/>
      <c r="U330" s="241"/>
      <c r="V330" s="241"/>
      <c r="W330" s="241"/>
      <c r="X330" s="241"/>
      <c r="Y330" s="241"/>
      <c r="Z330" s="241"/>
      <c r="AA330" s="241"/>
    </row>
    <row r="331">
      <c r="A331" s="243"/>
      <c r="B331" s="243"/>
      <c r="C331" s="241"/>
      <c r="D331" s="241"/>
      <c r="E331" s="241"/>
      <c r="F331" s="241"/>
      <c r="G331" s="241"/>
      <c r="H331" s="241"/>
      <c r="I331" s="241"/>
      <c r="J331" s="241"/>
      <c r="K331" s="241"/>
      <c r="L331" s="241"/>
      <c r="M331" s="241"/>
      <c r="N331" s="241"/>
      <c r="O331" s="241"/>
      <c r="P331" s="241"/>
      <c r="Q331" s="241"/>
      <c r="R331" s="241"/>
      <c r="S331" s="241"/>
      <c r="T331" s="241"/>
      <c r="U331" s="241"/>
      <c r="V331" s="241"/>
      <c r="W331" s="241"/>
      <c r="X331" s="241"/>
      <c r="Y331" s="241"/>
      <c r="Z331" s="241"/>
      <c r="AA331" s="241"/>
    </row>
    <row r="332">
      <c r="A332" s="243"/>
      <c r="B332" s="243"/>
      <c r="C332" s="241"/>
      <c r="D332" s="241"/>
      <c r="E332" s="241"/>
      <c r="F332" s="241"/>
      <c r="G332" s="241"/>
      <c r="H332" s="241"/>
      <c r="I332" s="241"/>
      <c r="J332" s="241"/>
      <c r="K332" s="241"/>
      <c r="L332" s="241"/>
      <c r="M332" s="241"/>
      <c r="N332" s="241"/>
      <c r="O332" s="241"/>
      <c r="P332" s="241"/>
      <c r="Q332" s="241"/>
      <c r="R332" s="241"/>
      <c r="S332" s="241"/>
      <c r="T332" s="241"/>
      <c r="U332" s="241"/>
      <c r="V332" s="241"/>
      <c r="W332" s="241"/>
      <c r="X332" s="241"/>
      <c r="Y332" s="241"/>
      <c r="Z332" s="241"/>
      <c r="AA332" s="241"/>
    </row>
    <row r="333">
      <c r="A333" s="243"/>
      <c r="B333" s="243"/>
      <c r="C333" s="241"/>
      <c r="D333" s="241"/>
      <c r="E333" s="241"/>
      <c r="F333" s="241"/>
      <c r="G333" s="241"/>
      <c r="H333" s="241"/>
      <c r="I333" s="241"/>
      <c r="J333" s="241"/>
      <c r="K333" s="241"/>
      <c r="L333" s="241"/>
      <c r="M333" s="241"/>
      <c r="N333" s="241"/>
      <c r="O333" s="241"/>
      <c r="P333" s="241"/>
      <c r="Q333" s="241"/>
      <c r="R333" s="241"/>
      <c r="S333" s="241"/>
      <c r="T333" s="241"/>
      <c r="U333" s="241"/>
      <c r="V333" s="241"/>
      <c r="W333" s="241"/>
      <c r="X333" s="241"/>
      <c r="Y333" s="241"/>
      <c r="Z333" s="241"/>
      <c r="AA333" s="241"/>
    </row>
    <row r="334">
      <c r="A334" s="243"/>
      <c r="B334" s="243"/>
      <c r="C334" s="241"/>
      <c r="D334" s="241"/>
      <c r="E334" s="241"/>
      <c r="F334" s="241"/>
      <c r="G334" s="241"/>
      <c r="H334" s="241"/>
      <c r="I334" s="241"/>
      <c r="J334" s="241"/>
      <c r="K334" s="241"/>
      <c r="L334" s="241"/>
      <c r="M334" s="241"/>
      <c r="N334" s="241"/>
      <c r="O334" s="241"/>
      <c r="P334" s="241"/>
      <c r="Q334" s="241"/>
      <c r="R334" s="241"/>
      <c r="S334" s="241"/>
      <c r="T334" s="241"/>
      <c r="U334" s="241"/>
      <c r="V334" s="241"/>
      <c r="W334" s="241"/>
      <c r="X334" s="241"/>
      <c r="Y334" s="241"/>
      <c r="Z334" s="241"/>
      <c r="AA334" s="241"/>
    </row>
    <row r="335">
      <c r="A335" s="243"/>
      <c r="B335" s="243"/>
      <c r="C335" s="241"/>
      <c r="D335" s="241"/>
      <c r="E335" s="241"/>
      <c r="F335" s="241"/>
      <c r="G335" s="241"/>
      <c r="H335" s="241"/>
      <c r="I335" s="241"/>
      <c r="J335" s="241"/>
      <c r="K335" s="241"/>
      <c r="L335" s="241"/>
      <c r="M335" s="241"/>
      <c r="N335" s="241"/>
      <c r="O335" s="241"/>
      <c r="P335" s="241"/>
      <c r="Q335" s="241"/>
      <c r="R335" s="241"/>
      <c r="S335" s="241"/>
      <c r="T335" s="241"/>
      <c r="U335" s="241"/>
      <c r="V335" s="241"/>
      <c r="W335" s="241"/>
      <c r="X335" s="241"/>
      <c r="Y335" s="241"/>
      <c r="Z335" s="241"/>
      <c r="AA335" s="241"/>
    </row>
    <row r="336">
      <c r="A336" s="243"/>
      <c r="B336" s="243"/>
      <c r="C336" s="241"/>
      <c r="D336" s="241"/>
      <c r="E336" s="241"/>
      <c r="F336" s="241"/>
      <c r="G336" s="241"/>
      <c r="H336" s="241"/>
      <c r="I336" s="241"/>
      <c r="J336" s="241"/>
      <c r="K336" s="241"/>
      <c r="L336" s="241"/>
      <c r="M336" s="241"/>
      <c r="N336" s="241"/>
      <c r="O336" s="241"/>
      <c r="P336" s="241"/>
      <c r="Q336" s="241"/>
      <c r="R336" s="241"/>
      <c r="S336" s="241"/>
      <c r="T336" s="241"/>
      <c r="U336" s="241"/>
      <c r="V336" s="241"/>
      <c r="W336" s="241"/>
      <c r="X336" s="241"/>
      <c r="Y336" s="241"/>
      <c r="Z336" s="241"/>
      <c r="AA336" s="241"/>
    </row>
    <row r="337">
      <c r="A337" s="243"/>
      <c r="B337" s="243"/>
      <c r="C337" s="241"/>
      <c r="D337" s="241"/>
      <c r="E337" s="241"/>
      <c r="F337" s="241"/>
      <c r="G337" s="241"/>
      <c r="H337" s="241"/>
      <c r="I337" s="241"/>
      <c r="J337" s="241"/>
      <c r="K337" s="241"/>
      <c r="L337" s="241"/>
      <c r="M337" s="241"/>
      <c r="N337" s="241"/>
      <c r="O337" s="241"/>
      <c r="P337" s="241"/>
      <c r="Q337" s="241"/>
      <c r="R337" s="241"/>
      <c r="S337" s="241"/>
      <c r="T337" s="241"/>
      <c r="U337" s="241"/>
      <c r="V337" s="241"/>
      <c r="W337" s="241"/>
      <c r="X337" s="241"/>
      <c r="Y337" s="241"/>
      <c r="Z337" s="241"/>
      <c r="AA337" s="241"/>
    </row>
    <row r="338">
      <c r="A338" s="243"/>
      <c r="B338" s="243"/>
      <c r="C338" s="241"/>
      <c r="D338" s="241"/>
      <c r="E338" s="241"/>
      <c r="F338" s="241"/>
      <c r="G338" s="241"/>
      <c r="H338" s="241"/>
      <c r="I338" s="241"/>
      <c r="J338" s="241"/>
      <c r="K338" s="241"/>
      <c r="L338" s="241"/>
      <c r="M338" s="241"/>
      <c r="N338" s="241"/>
      <c r="O338" s="241"/>
      <c r="P338" s="241"/>
      <c r="Q338" s="241"/>
      <c r="R338" s="241"/>
      <c r="S338" s="241"/>
      <c r="T338" s="241"/>
      <c r="U338" s="241"/>
      <c r="V338" s="241"/>
      <c r="W338" s="241"/>
      <c r="X338" s="241"/>
      <c r="Y338" s="241"/>
      <c r="Z338" s="241"/>
      <c r="AA338" s="241"/>
    </row>
    <row r="339">
      <c r="A339" s="243"/>
      <c r="B339" s="243"/>
      <c r="C339" s="241"/>
      <c r="D339" s="241"/>
      <c r="E339" s="241"/>
      <c r="F339" s="241"/>
      <c r="G339" s="241"/>
      <c r="H339" s="241"/>
      <c r="I339" s="241"/>
      <c r="J339" s="241"/>
      <c r="K339" s="241"/>
      <c r="L339" s="241"/>
      <c r="M339" s="241"/>
      <c r="N339" s="241"/>
      <c r="O339" s="241"/>
      <c r="P339" s="241"/>
      <c r="Q339" s="241"/>
      <c r="R339" s="241"/>
      <c r="S339" s="241"/>
      <c r="T339" s="241"/>
      <c r="U339" s="241"/>
      <c r="V339" s="241"/>
      <c r="W339" s="241"/>
      <c r="X339" s="241"/>
      <c r="Y339" s="241"/>
      <c r="Z339" s="241"/>
      <c r="AA339" s="241"/>
    </row>
    <row r="340">
      <c r="A340" s="243"/>
      <c r="B340" s="243"/>
      <c r="C340" s="241"/>
      <c r="D340" s="241"/>
      <c r="E340" s="241"/>
      <c r="F340" s="241"/>
      <c r="G340" s="241"/>
      <c r="H340" s="241"/>
      <c r="I340" s="241"/>
      <c r="J340" s="241"/>
      <c r="K340" s="241"/>
      <c r="L340" s="241"/>
      <c r="M340" s="241"/>
      <c r="N340" s="241"/>
      <c r="O340" s="241"/>
      <c r="P340" s="241"/>
      <c r="Q340" s="241"/>
      <c r="R340" s="241"/>
      <c r="S340" s="241"/>
      <c r="T340" s="241"/>
      <c r="U340" s="241"/>
      <c r="V340" s="241"/>
      <c r="W340" s="241"/>
      <c r="X340" s="241"/>
      <c r="Y340" s="241"/>
      <c r="Z340" s="241"/>
      <c r="AA340" s="241"/>
    </row>
    <row r="341">
      <c r="A341" s="243"/>
      <c r="B341" s="243"/>
      <c r="C341" s="241"/>
      <c r="D341" s="241"/>
      <c r="E341" s="241"/>
      <c r="F341" s="241"/>
      <c r="G341" s="241"/>
      <c r="H341" s="241"/>
      <c r="I341" s="241"/>
      <c r="J341" s="241"/>
      <c r="K341" s="241"/>
      <c r="L341" s="241"/>
      <c r="M341" s="241"/>
      <c r="N341" s="241"/>
      <c r="O341" s="241"/>
      <c r="P341" s="241"/>
      <c r="Q341" s="241"/>
      <c r="R341" s="241"/>
      <c r="S341" s="241"/>
      <c r="T341" s="241"/>
      <c r="U341" s="241"/>
      <c r="V341" s="241"/>
      <c r="W341" s="241"/>
      <c r="X341" s="241"/>
      <c r="Y341" s="241"/>
      <c r="Z341" s="241"/>
      <c r="AA341" s="241"/>
    </row>
    <row r="342">
      <c r="A342" s="243"/>
      <c r="B342" s="243"/>
      <c r="C342" s="241"/>
      <c r="D342" s="241"/>
      <c r="E342" s="241"/>
      <c r="F342" s="241"/>
      <c r="G342" s="241"/>
      <c r="H342" s="241"/>
      <c r="I342" s="241"/>
      <c r="J342" s="241"/>
      <c r="K342" s="241"/>
      <c r="L342" s="241"/>
      <c r="M342" s="241"/>
      <c r="N342" s="241"/>
      <c r="O342" s="241"/>
      <c r="P342" s="241"/>
      <c r="Q342" s="241"/>
      <c r="R342" s="241"/>
      <c r="S342" s="241"/>
      <c r="T342" s="241"/>
      <c r="U342" s="241"/>
      <c r="V342" s="241"/>
      <c r="W342" s="241"/>
      <c r="X342" s="241"/>
      <c r="Y342" s="241"/>
      <c r="Z342" s="241"/>
      <c r="AA342" s="241"/>
    </row>
    <row r="343">
      <c r="A343" s="243"/>
      <c r="B343" s="243"/>
      <c r="C343" s="241"/>
      <c r="D343" s="241"/>
      <c r="E343" s="241"/>
      <c r="F343" s="241"/>
      <c r="G343" s="241"/>
      <c r="H343" s="241"/>
      <c r="I343" s="241"/>
      <c r="J343" s="241"/>
      <c r="K343" s="241"/>
      <c r="L343" s="241"/>
      <c r="M343" s="241"/>
      <c r="N343" s="241"/>
      <c r="O343" s="241"/>
      <c r="P343" s="241"/>
      <c r="Q343" s="241"/>
      <c r="R343" s="241"/>
      <c r="S343" s="241"/>
      <c r="T343" s="241"/>
      <c r="U343" s="241"/>
      <c r="V343" s="241"/>
      <c r="W343" s="241"/>
      <c r="X343" s="241"/>
      <c r="Y343" s="241"/>
      <c r="Z343" s="241"/>
      <c r="AA343" s="241"/>
    </row>
    <row r="344">
      <c r="A344" s="243"/>
      <c r="B344" s="243"/>
      <c r="C344" s="241"/>
      <c r="D344" s="241"/>
      <c r="E344" s="241"/>
      <c r="F344" s="241"/>
      <c r="G344" s="241"/>
      <c r="H344" s="241"/>
      <c r="I344" s="241"/>
      <c r="J344" s="241"/>
      <c r="K344" s="241"/>
      <c r="L344" s="241"/>
      <c r="M344" s="241"/>
      <c r="N344" s="241"/>
      <c r="O344" s="241"/>
      <c r="P344" s="241"/>
      <c r="Q344" s="241"/>
      <c r="R344" s="241"/>
      <c r="S344" s="241"/>
      <c r="T344" s="241"/>
      <c r="U344" s="241"/>
      <c r="V344" s="241"/>
      <c r="W344" s="241"/>
      <c r="X344" s="241"/>
      <c r="Y344" s="241"/>
      <c r="Z344" s="241"/>
      <c r="AA344" s="241"/>
    </row>
    <row r="345">
      <c r="A345" s="243"/>
      <c r="B345" s="243"/>
      <c r="C345" s="241"/>
      <c r="D345" s="241"/>
      <c r="E345" s="241"/>
      <c r="F345" s="241"/>
      <c r="G345" s="241"/>
      <c r="H345" s="241"/>
      <c r="I345" s="241"/>
      <c r="J345" s="241"/>
      <c r="K345" s="241"/>
      <c r="L345" s="241"/>
      <c r="M345" s="241"/>
      <c r="N345" s="241"/>
      <c r="O345" s="241"/>
      <c r="P345" s="241"/>
      <c r="Q345" s="241"/>
      <c r="R345" s="241"/>
      <c r="S345" s="241"/>
      <c r="T345" s="241"/>
      <c r="U345" s="241"/>
      <c r="V345" s="241"/>
      <c r="W345" s="241"/>
      <c r="X345" s="241"/>
      <c r="Y345" s="241"/>
      <c r="Z345" s="241"/>
      <c r="AA345" s="241"/>
    </row>
    <row r="346">
      <c r="A346" s="243"/>
      <c r="B346" s="243"/>
      <c r="C346" s="241"/>
      <c r="D346" s="241"/>
      <c r="E346" s="241"/>
      <c r="F346" s="241"/>
      <c r="G346" s="241"/>
      <c r="H346" s="241"/>
      <c r="I346" s="241"/>
      <c r="J346" s="241"/>
      <c r="K346" s="241"/>
      <c r="L346" s="241"/>
      <c r="M346" s="241"/>
      <c r="N346" s="241"/>
      <c r="O346" s="241"/>
      <c r="P346" s="241"/>
      <c r="Q346" s="241"/>
      <c r="R346" s="241"/>
      <c r="S346" s="241"/>
      <c r="T346" s="241"/>
      <c r="U346" s="241"/>
      <c r="V346" s="241"/>
      <c r="W346" s="241"/>
      <c r="X346" s="241"/>
      <c r="Y346" s="241"/>
      <c r="Z346" s="241"/>
      <c r="AA346" s="241"/>
    </row>
    <row r="347">
      <c r="A347" s="243"/>
      <c r="B347" s="243"/>
      <c r="C347" s="241"/>
      <c r="D347" s="241"/>
      <c r="E347" s="241"/>
      <c r="F347" s="241"/>
      <c r="G347" s="241"/>
      <c r="H347" s="241"/>
      <c r="I347" s="241"/>
      <c r="J347" s="241"/>
      <c r="K347" s="241"/>
      <c r="L347" s="241"/>
      <c r="M347" s="241"/>
      <c r="N347" s="241"/>
      <c r="O347" s="241"/>
      <c r="P347" s="241"/>
      <c r="Q347" s="241"/>
      <c r="R347" s="241"/>
      <c r="S347" s="241"/>
      <c r="T347" s="241"/>
      <c r="U347" s="241"/>
      <c r="V347" s="241"/>
      <c r="W347" s="241"/>
      <c r="X347" s="241"/>
      <c r="Y347" s="241"/>
      <c r="Z347" s="241"/>
      <c r="AA347" s="241"/>
    </row>
    <row r="348">
      <c r="A348" s="243"/>
      <c r="B348" s="243"/>
      <c r="C348" s="241"/>
      <c r="D348" s="241"/>
      <c r="E348" s="241"/>
      <c r="F348" s="241"/>
      <c r="G348" s="241"/>
      <c r="H348" s="241"/>
      <c r="I348" s="241"/>
      <c r="J348" s="241"/>
      <c r="K348" s="241"/>
      <c r="L348" s="241"/>
      <c r="M348" s="241"/>
      <c r="N348" s="241"/>
      <c r="O348" s="241"/>
      <c r="P348" s="241"/>
      <c r="Q348" s="241"/>
      <c r="R348" s="241"/>
      <c r="S348" s="241"/>
      <c r="T348" s="241"/>
      <c r="U348" s="241"/>
      <c r="V348" s="241"/>
      <c r="W348" s="241"/>
      <c r="X348" s="241"/>
      <c r="Y348" s="241"/>
      <c r="Z348" s="241"/>
      <c r="AA348" s="241"/>
    </row>
    <row r="349">
      <c r="A349" s="243"/>
      <c r="B349" s="243"/>
      <c r="C349" s="241"/>
      <c r="D349" s="241"/>
      <c r="E349" s="241"/>
      <c r="F349" s="241"/>
      <c r="G349" s="241"/>
      <c r="H349" s="241"/>
      <c r="I349" s="241"/>
      <c r="J349" s="241"/>
      <c r="K349" s="241"/>
      <c r="L349" s="241"/>
      <c r="M349" s="241"/>
      <c r="N349" s="241"/>
      <c r="O349" s="241"/>
      <c r="P349" s="241"/>
      <c r="Q349" s="241"/>
      <c r="R349" s="241"/>
      <c r="S349" s="241"/>
      <c r="T349" s="241"/>
      <c r="U349" s="241"/>
      <c r="V349" s="241"/>
      <c r="W349" s="241"/>
      <c r="X349" s="241"/>
      <c r="Y349" s="241"/>
      <c r="Z349" s="241"/>
      <c r="AA349" s="241"/>
    </row>
    <row r="350">
      <c r="A350" s="243"/>
      <c r="B350" s="243"/>
      <c r="C350" s="241"/>
      <c r="D350" s="241"/>
      <c r="E350" s="241"/>
      <c r="F350" s="241"/>
      <c r="G350" s="241"/>
      <c r="H350" s="241"/>
      <c r="I350" s="241"/>
      <c r="J350" s="241"/>
      <c r="K350" s="241"/>
      <c r="L350" s="241"/>
      <c r="M350" s="241"/>
      <c r="N350" s="241"/>
      <c r="O350" s="241"/>
      <c r="P350" s="241"/>
      <c r="Q350" s="241"/>
      <c r="R350" s="241"/>
      <c r="S350" s="241"/>
      <c r="T350" s="241"/>
      <c r="U350" s="241"/>
      <c r="V350" s="241"/>
      <c r="W350" s="241"/>
      <c r="X350" s="241"/>
      <c r="Y350" s="241"/>
      <c r="Z350" s="241"/>
      <c r="AA350" s="241"/>
    </row>
    <row r="351">
      <c r="A351" s="243"/>
      <c r="B351" s="243"/>
      <c r="C351" s="241"/>
      <c r="D351" s="241"/>
      <c r="E351" s="241"/>
      <c r="F351" s="241"/>
      <c r="G351" s="241"/>
      <c r="H351" s="241"/>
      <c r="I351" s="241"/>
      <c r="J351" s="241"/>
      <c r="K351" s="241"/>
      <c r="L351" s="241"/>
      <c r="M351" s="241"/>
      <c r="N351" s="241"/>
      <c r="O351" s="241"/>
      <c r="P351" s="241"/>
      <c r="Q351" s="241"/>
      <c r="R351" s="241"/>
      <c r="S351" s="241"/>
      <c r="T351" s="241"/>
      <c r="U351" s="241"/>
      <c r="V351" s="241"/>
      <c r="W351" s="241"/>
      <c r="X351" s="241"/>
      <c r="Y351" s="241"/>
      <c r="Z351" s="241"/>
      <c r="AA351" s="241"/>
    </row>
    <row r="352">
      <c r="A352" s="243"/>
      <c r="B352" s="243"/>
      <c r="C352" s="241"/>
      <c r="D352" s="241"/>
      <c r="E352" s="241"/>
      <c r="F352" s="241"/>
      <c r="G352" s="241"/>
      <c r="H352" s="241"/>
      <c r="I352" s="241"/>
      <c r="J352" s="241"/>
      <c r="K352" s="241"/>
      <c r="L352" s="241"/>
      <c r="M352" s="241"/>
      <c r="N352" s="241"/>
      <c r="O352" s="241"/>
      <c r="P352" s="241"/>
      <c r="Q352" s="241"/>
      <c r="R352" s="241"/>
      <c r="S352" s="241"/>
      <c r="T352" s="241"/>
      <c r="U352" s="241"/>
      <c r="V352" s="241"/>
      <c r="W352" s="241"/>
      <c r="X352" s="241"/>
      <c r="Y352" s="241"/>
      <c r="Z352" s="241"/>
      <c r="AA352" s="241"/>
    </row>
    <row r="353">
      <c r="A353" s="243"/>
      <c r="B353" s="243"/>
      <c r="C353" s="241"/>
      <c r="D353" s="241"/>
      <c r="E353" s="241"/>
      <c r="F353" s="241"/>
      <c r="G353" s="241"/>
      <c r="H353" s="241"/>
      <c r="I353" s="241"/>
      <c r="J353" s="241"/>
      <c r="K353" s="241"/>
      <c r="L353" s="241"/>
      <c r="M353" s="241"/>
      <c r="N353" s="241"/>
      <c r="O353" s="241"/>
      <c r="P353" s="241"/>
      <c r="Q353" s="241"/>
      <c r="R353" s="241"/>
      <c r="S353" s="241"/>
      <c r="T353" s="241"/>
      <c r="U353" s="241"/>
      <c r="V353" s="241"/>
      <c r="W353" s="241"/>
      <c r="X353" s="241"/>
      <c r="Y353" s="241"/>
      <c r="Z353" s="241"/>
      <c r="AA353" s="241"/>
    </row>
    <row r="354">
      <c r="A354" s="243"/>
      <c r="B354" s="243"/>
      <c r="C354" s="241"/>
      <c r="D354" s="241"/>
      <c r="E354" s="241"/>
      <c r="F354" s="241"/>
      <c r="G354" s="241"/>
      <c r="H354" s="241"/>
      <c r="I354" s="241"/>
      <c r="J354" s="241"/>
      <c r="K354" s="241"/>
      <c r="L354" s="241"/>
      <c r="M354" s="241"/>
      <c r="N354" s="241"/>
      <c r="O354" s="241"/>
      <c r="P354" s="241"/>
      <c r="Q354" s="241"/>
      <c r="R354" s="241"/>
      <c r="S354" s="241"/>
      <c r="T354" s="241"/>
      <c r="U354" s="241"/>
      <c r="V354" s="241"/>
      <c r="W354" s="241"/>
      <c r="X354" s="241"/>
      <c r="Y354" s="241"/>
      <c r="Z354" s="241"/>
      <c r="AA354" s="241"/>
    </row>
    <row r="355">
      <c r="A355" s="243"/>
      <c r="B355" s="243"/>
      <c r="C355" s="241"/>
      <c r="D355" s="241"/>
      <c r="E355" s="241"/>
      <c r="F355" s="241"/>
      <c r="G355" s="241"/>
      <c r="H355" s="241"/>
      <c r="I355" s="241"/>
      <c r="J355" s="241"/>
      <c r="K355" s="241"/>
      <c r="L355" s="241"/>
      <c r="M355" s="241"/>
      <c r="N355" s="241"/>
      <c r="O355" s="241"/>
      <c r="P355" s="241"/>
      <c r="Q355" s="241"/>
      <c r="R355" s="241"/>
      <c r="S355" s="241"/>
      <c r="T355" s="241"/>
      <c r="U355" s="241"/>
      <c r="V355" s="241"/>
      <c r="W355" s="241"/>
      <c r="X355" s="241"/>
      <c r="Y355" s="241"/>
      <c r="Z355" s="241"/>
      <c r="AA355" s="241"/>
    </row>
    <row r="356">
      <c r="A356" s="243"/>
      <c r="B356" s="243"/>
      <c r="C356" s="241"/>
      <c r="D356" s="241"/>
      <c r="E356" s="241"/>
      <c r="F356" s="241"/>
      <c r="G356" s="241"/>
      <c r="H356" s="241"/>
      <c r="I356" s="241"/>
      <c r="J356" s="241"/>
      <c r="K356" s="241"/>
      <c r="L356" s="241"/>
      <c r="M356" s="241"/>
      <c r="N356" s="241"/>
      <c r="O356" s="241"/>
      <c r="P356" s="241"/>
      <c r="Q356" s="241"/>
      <c r="R356" s="241"/>
      <c r="S356" s="241"/>
      <c r="T356" s="241"/>
      <c r="U356" s="241"/>
      <c r="V356" s="241"/>
      <c r="W356" s="241"/>
      <c r="X356" s="241"/>
      <c r="Y356" s="241"/>
      <c r="Z356" s="241"/>
      <c r="AA356" s="241"/>
    </row>
    <row r="357">
      <c r="A357" s="243"/>
      <c r="B357" s="243"/>
      <c r="C357" s="241"/>
      <c r="D357" s="241"/>
      <c r="E357" s="241"/>
      <c r="F357" s="241"/>
      <c r="G357" s="241"/>
      <c r="H357" s="241"/>
      <c r="I357" s="241"/>
      <c r="J357" s="241"/>
      <c r="K357" s="241"/>
      <c r="L357" s="241"/>
      <c r="M357" s="241"/>
      <c r="N357" s="241"/>
      <c r="O357" s="241"/>
      <c r="P357" s="241"/>
      <c r="Q357" s="241"/>
      <c r="R357" s="241"/>
      <c r="S357" s="241"/>
      <c r="T357" s="241"/>
      <c r="U357" s="241"/>
      <c r="V357" s="241"/>
      <c r="W357" s="241"/>
      <c r="X357" s="241"/>
      <c r="Y357" s="241"/>
      <c r="Z357" s="241"/>
      <c r="AA357" s="241"/>
    </row>
    <row r="358">
      <c r="A358" s="243"/>
      <c r="B358" s="243"/>
      <c r="C358" s="241"/>
      <c r="D358" s="241"/>
      <c r="E358" s="241"/>
      <c r="F358" s="241"/>
      <c r="G358" s="241"/>
      <c r="H358" s="241"/>
      <c r="I358" s="241"/>
      <c r="J358" s="241"/>
      <c r="K358" s="241"/>
      <c r="L358" s="241"/>
      <c r="M358" s="241"/>
      <c r="N358" s="241"/>
      <c r="O358" s="241"/>
      <c r="P358" s="241"/>
      <c r="Q358" s="241"/>
      <c r="R358" s="241"/>
      <c r="S358" s="241"/>
      <c r="T358" s="241"/>
      <c r="U358" s="241"/>
      <c r="V358" s="241"/>
      <c r="W358" s="241"/>
      <c r="X358" s="241"/>
      <c r="Y358" s="241"/>
      <c r="Z358" s="241"/>
      <c r="AA358" s="241"/>
    </row>
    <row r="359">
      <c r="A359" s="243"/>
      <c r="B359" s="243"/>
      <c r="C359" s="241"/>
      <c r="D359" s="241"/>
      <c r="E359" s="241"/>
      <c r="F359" s="241"/>
      <c r="G359" s="241"/>
      <c r="H359" s="241"/>
      <c r="I359" s="241"/>
      <c r="J359" s="241"/>
      <c r="K359" s="241"/>
      <c r="L359" s="241"/>
      <c r="M359" s="241"/>
      <c r="N359" s="241"/>
      <c r="O359" s="241"/>
      <c r="P359" s="241"/>
      <c r="Q359" s="241"/>
      <c r="R359" s="241"/>
      <c r="S359" s="241"/>
      <c r="T359" s="241"/>
      <c r="U359" s="241"/>
      <c r="V359" s="241"/>
      <c r="W359" s="241"/>
      <c r="X359" s="241"/>
      <c r="Y359" s="241"/>
      <c r="Z359" s="241"/>
      <c r="AA359" s="241"/>
    </row>
    <row r="360">
      <c r="A360" s="243"/>
      <c r="B360" s="243"/>
      <c r="C360" s="241"/>
      <c r="D360" s="241"/>
      <c r="E360" s="241"/>
      <c r="F360" s="241"/>
      <c r="G360" s="241"/>
      <c r="H360" s="241"/>
      <c r="I360" s="241"/>
      <c r="J360" s="241"/>
      <c r="K360" s="241"/>
      <c r="L360" s="241"/>
      <c r="M360" s="241"/>
      <c r="N360" s="241"/>
      <c r="O360" s="241"/>
      <c r="P360" s="241"/>
      <c r="Q360" s="241"/>
      <c r="R360" s="241"/>
      <c r="S360" s="241"/>
      <c r="T360" s="241"/>
      <c r="U360" s="241"/>
      <c r="V360" s="241"/>
      <c r="W360" s="241"/>
      <c r="X360" s="241"/>
      <c r="Y360" s="241"/>
      <c r="Z360" s="241"/>
      <c r="AA360" s="241"/>
    </row>
    <row r="361">
      <c r="A361" s="243"/>
      <c r="B361" s="243"/>
      <c r="C361" s="241"/>
      <c r="D361" s="241"/>
      <c r="E361" s="241"/>
      <c r="F361" s="241"/>
      <c r="G361" s="241"/>
      <c r="H361" s="241"/>
      <c r="I361" s="241"/>
      <c r="J361" s="241"/>
      <c r="K361" s="241"/>
      <c r="L361" s="241"/>
      <c r="M361" s="241"/>
      <c r="N361" s="241"/>
      <c r="O361" s="241"/>
      <c r="P361" s="241"/>
      <c r="Q361" s="241"/>
      <c r="R361" s="241"/>
      <c r="S361" s="241"/>
      <c r="T361" s="241"/>
      <c r="U361" s="241"/>
      <c r="V361" s="241"/>
      <c r="W361" s="241"/>
      <c r="X361" s="241"/>
      <c r="Y361" s="241"/>
      <c r="Z361" s="241"/>
      <c r="AA361" s="241"/>
    </row>
    <row r="362">
      <c r="A362" s="243"/>
      <c r="B362" s="243"/>
      <c r="C362" s="241"/>
      <c r="D362" s="241"/>
      <c r="E362" s="241"/>
      <c r="F362" s="241"/>
      <c r="G362" s="241"/>
      <c r="H362" s="241"/>
      <c r="I362" s="241"/>
      <c r="J362" s="241"/>
      <c r="K362" s="241"/>
      <c r="L362" s="241"/>
      <c r="M362" s="241"/>
      <c r="N362" s="241"/>
      <c r="O362" s="241"/>
      <c r="P362" s="241"/>
      <c r="Q362" s="241"/>
      <c r="R362" s="241"/>
      <c r="S362" s="241"/>
      <c r="T362" s="241"/>
      <c r="U362" s="241"/>
      <c r="V362" s="241"/>
      <c r="W362" s="241"/>
      <c r="X362" s="241"/>
      <c r="Y362" s="241"/>
      <c r="Z362" s="241"/>
      <c r="AA362" s="241"/>
    </row>
    <row r="363">
      <c r="A363" s="243"/>
      <c r="B363" s="243"/>
      <c r="C363" s="241"/>
      <c r="D363" s="241"/>
      <c r="E363" s="241"/>
      <c r="F363" s="241"/>
      <c r="G363" s="241"/>
      <c r="H363" s="241"/>
      <c r="I363" s="241"/>
      <c r="J363" s="241"/>
      <c r="K363" s="241"/>
      <c r="L363" s="241"/>
      <c r="M363" s="241"/>
      <c r="N363" s="241"/>
      <c r="O363" s="241"/>
      <c r="P363" s="241"/>
      <c r="Q363" s="241"/>
      <c r="R363" s="241"/>
      <c r="S363" s="241"/>
      <c r="T363" s="241"/>
      <c r="U363" s="241"/>
      <c r="V363" s="241"/>
      <c r="W363" s="241"/>
      <c r="X363" s="241"/>
      <c r="Y363" s="241"/>
      <c r="Z363" s="241"/>
      <c r="AA363" s="241"/>
    </row>
    <row r="364">
      <c r="A364" s="243"/>
      <c r="B364" s="243"/>
      <c r="C364" s="241"/>
      <c r="D364" s="241"/>
      <c r="E364" s="241"/>
      <c r="F364" s="241"/>
      <c r="G364" s="241"/>
      <c r="H364" s="241"/>
      <c r="I364" s="241"/>
      <c r="J364" s="241"/>
      <c r="K364" s="241"/>
      <c r="L364" s="241"/>
      <c r="M364" s="241"/>
      <c r="N364" s="241"/>
      <c r="O364" s="241"/>
      <c r="P364" s="241"/>
      <c r="Q364" s="241"/>
      <c r="R364" s="241"/>
      <c r="S364" s="241"/>
      <c r="T364" s="241"/>
      <c r="U364" s="241"/>
      <c r="V364" s="241"/>
      <c r="W364" s="241"/>
      <c r="X364" s="241"/>
      <c r="Y364" s="241"/>
      <c r="Z364" s="241"/>
      <c r="AA364" s="241"/>
    </row>
    <row r="365">
      <c r="A365" s="243"/>
      <c r="B365" s="243"/>
      <c r="C365" s="241"/>
      <c r="D365" s="241"/>
      <c r="E365" s="241"/>
      <c r="F365" s="241"/>
      <c r="G365" s="241"/>
      <c r="H365" s="241"/>
      <c r="I365" s="241"/>
      <c r="J365" s="241"/>
      <c r="K365" s="241"/>
      <c r="L365" s="241"/>
      <c r="M365" s="241"/>
      <c r="N365" s="241"/>
      <c r="O365" s="241"/>
      <c r="P365" s="241"/>
      <c r="Q365" s="241"/>
      <c r="R365" s="241"/>
      <c r="S365" s="241"/>
      <c r="T365" s="241"/>
      <c r="U365" s="241"/>
      <c r="V365" s="241"/>
      <c r="W365" s="241"/>
      <c r="X365" s="241"/>
      <c r="Y365" s="241"/>
      <c r="Z365" s="241"/>
      <c r="AA365" s="241"/>
    </row>
    <row r="366">
      <c r="A366" s="243"/>
      <c r="B366" s="243"/>
      <c r="C366" s="241"/>
      <c r="D366" s="241"/>
      <c r="E366" s="241"/>
      <c r="F366" s="241"/>
      <c r="G366" s="241"/>
      <c r="H366" s="241"/>
      <c r="I366" s="241"/>
      <c r="J366" s="241"/>
      <c r="K366" s="241"/>
      <c r="L366" s="241"/>
      <c r="M366" s="241"/>
      <c r="N366" s="241"/>
      <c r="O366" s="241"/>
      <c r="P366" s="241"/>
      <c r="Q366" s="241"/>
      <c r="R366" s="241"/>
      <c r="S366" s="241"/>
      <c r="T366" s="241"/>
      <c r="U366" s="241"/>
      <c r="V366" s="241"/>
      <c r="W366" s="241"/>
      <c r="X366" s="241"/>
      <c r="Y366" s="241"/>
      <c r="Z366" s="241"/>
      <c r="AA366" s="241"/>
    </row>
    <row r="367">
      <c r="A367" s="243"/>
      <c r="B367" s="243"/>
      <c r="C367" s="241"/>
      <c r="D367" s="241"/>
      <c r="E367" s="241"/>
      <c r="F367" s="241"/>
      <c r="G367" s="241"/>
      <c r="H367" s="241"/>
      <c r="I367" s="241"/>
      <c r="J367" s="241"/>
      <c r="K367" s="241"/>
      <c r="L367" s="241"/>
      <c r="M367" s="241"/>
      <c r="N367" s="241"/>
      <c r="O367" s="241"/>
      <c r="P367" s="241"/>
      <c r="Q367" s="241"/>
      <c r="R367" s="241"/>
      <c r="S367" s="241"/>
      <c r="T367" s="241"/>
      <c r="U367" s="241"/>
      <c r="V367" s="241"/>
      <c r="W367" s="241"/>
      <c r="X367" s="241"/>
      <c r="Y367" s="241"/>
      <c r="Z367" s="241"/>
      <c r="AA367" s="241"/>
    </row>
    <row r="368">
      <c r="A368" s="243"/>
      <c r="B368" s="243"/>
      <c r="C368" s="241"/>
      <c r="D368" s="241"/>
      <c r="E368" s="241"/>
      <c r="F368" s="241"/>
      <c r="G368" s="241"/>
      <c r="H368" s="241"/>
      <c r="I368" s="241"/>
      <c r="J368" s="241"/>
      <c r="K368" s="241"/>
      <c r="L368" s="241"/>
      <c r="M368" s="241"/>
      <c r="N368" s="241"/>
      <c r="O368" s="241"/>
      <c r="P368" s="241"/>
      <c r="Q368" s="241"/>
      <c r="R368" s="241"/>
      <c r="S368" s="241"/>
      <c r="T368" s="241"/>
      <c r="U368" s="241"/>
      <c r="V368" s="241"/>
      <c r="W368" s="241"/>
      <c r="X368" s="241"/>
      <c r="Y368" s="241"/>
      <c r="Z368" s="241"/>
      <c r="AA368" s="241"/>
    </row>
    <row r="369">
      <c r="A369" s="243"/>
      <c r="B369" s="243"/>
      <c r="C369" s="241"/>
      <c r="D369" s="241"/>
      <c r="E369" s="241"/>
      <c r="F369" s="241"/>
      <c r="G369" s="241"/>
      <c r="H369" s="241"/>
      <c r="I369" s="241"/>
      <c r="J369" s="241"/>
      <c r="K369" s="241"/>
      <c r="L369" s="241"/>
      <c r="M369" s="241"/>
      <c r="N369" s="241"/>
      <c r="O369" s="241"/>
      <c r="P369" s="241"/>
      <c r="Q369" s="241"/>
      <c r="R369" s="241"/>
      <c r="S369" s="241"/>
      <c r="T369" s="241"/>
      <c r="U369" s="241"/>
      <c r="V369" s="241"/>
      <c r="W369" s="241"/>
      <c r="X369" s="241"/>
      <c r="Y369" s="241"/>
      <c r="Z369" s="241"/>
      <c r="AA369" s="241"/>
    </row>
    <row r="370">
      <c r="A370" s="243"/>
      <c r="B370" s="243"/>
      <c r="C370" s="241"/>
      <c r="D370" s="241"/>
      <c r="E370" s="241"/>
      <c r="F370" s="241"/>
      <c r="G370" s="241"/>
      <c r="H370" s="241"/>
      <c r="I370" s="241"/>
      <c r="J370" s="241"/>
      <c r="K370" s="241"/>
      <c r="L370" s="241"/>
      <c r="M370" s="241"/>
      <c r="N370" s="241"/>
      <c r="O370" s="241"/>
      <c r="P370" s="241"/>
      <c r="Q370" s="241"/>
      <c r="R370" s="241"/>
      <c r="S370" s="241"/>
      <c r="T370" s="241"/>
      <c r="U370" s="241"/>
      <c r="V370" s="241"/>
      <c r="W370" s="241"/>
      <c r="X370" s="241"/>
      <c r="Y370" s="241"/>
      <c r="Z370" s="241"/>
      <c r="AA370" s="241"/>
    </row>
    <row r="371">
      <c r="A371" s="243"/>
      <c r="B371" s="243"/>
      <c r="C371" s="241"/>
      <c r="D371" s="241"/>
      <c r="E371" s="241"/>
      <c r="F371" s="241"/>
      <c r="G371" s="241"/>
      <c r="H371" s="241"/>
      <c r="I371" s="241"/>
      <c r="J371" s="241"/>
      <c r="K371" s="241"/>
      <c r="L371" s="241"/>
      <c r="M371" s="241"/>
      <c r="N371" s="241"/>
      <c r="O371" s="241"/>
      <c r="P371" s="241"/>
      <c r="Q371" s="241"/>
      <c r="R371" s="241"/>
      <c r="S371" s="241"/>
      <c r="T371" s="241"/>
      <c r="U371" s="241"/>
      <c r="V371" s="241"/>
      <c r="W371" s="241"/>
      <c r="X371" s="241"/>
      <c r="Y371" s="241"/>
      <c r="Z371" s="241"/>
      <c r="AA371" s="241"/>
    </row>
    <row r="372">
      <c r="A372" s="243"/>
      <c r="B372" s="243"/>
      <c r="C372" s="241"/>
      <c r="D372" s="241"/>
      <c r="E372" s="241"/>
      <c r="F372" s="241"/>
      <c r="G372" s="241"/>
      <c r="H372" s="241"/>
      <c r="I372" s="241"/>
      <c r="J372" s="241"/>
      <c r="K372" s="241"/>
      <c r="L372" s="241"/>
      <c r="M372" s="241"/>
      <c r="N372" s="241"/>
      <c r="O372" s="241"/>
      <c r="P372" s="241"/>
      <c r="Q372" s="241"/>
      <c r="R372" s="241"/>
      <c r="S372" s="241"/>
      <c r="T372" s="241"/>
      <c r="U372" s="241"/>
      <c r="V372" s="241"/>
      <c r="W372" s="241"/>
      <c r="X372" s="241"/>
      <c r="Y372" s="241"/>
      <c r="Z372" s="241"/>
      <c r="AA372" s="241"/>
    </row>
    <row r="373">
      <c r="A373" s="243"/>
      <c r="B373" s="243"/>
      <c r="C373" s="241"/>
      <c r="D373" s="241"/>
      <c r="E373" s="241"/>
      <c r="F373" s="241"/>
      <c r="G373" s="241"/>
      <c r="H373" s="241"/>
      <c r="I373" s="241"/>
      <c r="J373" s="241"/>
      <c r="K373" s="241"/>
      <c r="L373" s="241"/>
      <c r="M373" s="241"/>
      <c r="N373" s="241"/>
      <c r="O373" s="241"/>
      <c r="P373" s="241"/>
      <c r="Q373" s="241"/>
      <c r="R373" s="241"/>
      <c r="S373" s="241"/>
      <c r="T373" s="241"/>
      <c r="U373" s="241"/>
      <c r="V373" s="241"/>
      <c r="W373" s="241"/>
      <c r="X373" s="241"/>
      <c r="Y373" s="241"/>
      <c r="Z373" s="241"/>
      <c r="AA373" s="241"/>
    </row>
    <row r="374">
      <c r="A374" s="243"/>
      <c r="B374" s="243"/>
      <c r="C374" s="241"/>
      <c r="D374" s="241"/>
      <c r="E374" s="241"/>
      <c r="F374" s="241"/>
      <c r="G374" s="241"/>
      <c r="H374" s="241"/>
      <c r="I374" s="241"/>
      <c r="J374" s="241"/>
      <c r="K374" s="241"/>
      <c r="L374" s="241"/>
      <c r="M374" s="241"/>
      <c r="N374" s="241"/>
      <c r="O374" s="241"/>
      <c r="P374" s="241"/>
      <c r="Q374" s="241"/>
      <c r="R374" s="241"/>
      <c r="S374" s="241"/>
      <c r="T374" s="241"/>
      <c r="U374" s="241"/>
      <c r="V374" s="241"/>
      <c r="W374" s="241"/>
      <c r="X374" s="241"/>
      <c r="Y374" s="241"/>
      <c r="Z374" s="241"/>
      <c r="AA374" s="241"/>
    </row>
    <row r="375">
      <c r="A375" s="243"/>
      <c r="B375" s="243"/>
      <c r="C375" s="241"/>
      <c r="D375" s="241"/>
      <c r="E375" s="241"/>
      <c r="F375" s="241"/>
      <c r="G375" s="241"/>
      <c r="H375" s="241"/>
      <c r="I375" s="241"/>
      <c r="J375" s="241"/>
      <c r="K375" s="241"/>
      <c r="L375" s="241"/>
      <c r="M375" s="241"/>
      <c r="N375" s="241"/>
      <c r="O375" s="241"/>
      <c r="P375" s="241"/>
      <c r="Q375" s="241"/>
      <c r="R375" s="241"/>
      <c r="S375" s="241"/>
      <c r="T375" s="241"/>
      <c r="U375" s="241"/>
      <c r="V375" s="241"/>
      <c r="W375" s="241"/>
      <c r="X375" s="241"/>
      <c r="Y375" s="241"/>
      <c r="Z375" s="241"/>
      <c r="AA375" s="241"/>
    </row>
    <row r="376">
      <c r="A376" s="243"/>
      <c r="B376" s="243"/>
      <c r="C376" s="241"/>
      <c r="D376" s="241"/>
      <c r="E376" s="241"/>
      <c r="F376" s="241"/>
      <c r="G376" s="241"/>
      <c r="H376" s="241"/>
      <c r="I376" s="241"/>
      <c r="J376" s="241"/>
      <c r="K376" s="241"/>
      <c r="L376" s="241"/>
      <c r="M376" s="241"/>
      <c r="N376" s="241"/>
      <c r="O376" s="241"/>
      <c r="P376" s="241"/>
      <c r="Q376" s="241"/>
      <c r="R376" s="241"/>
      <c r="S376" s="241"/>
      <c r="T376" s="241"/>
      <c r="U376" s="241"/>
      <c r="V376" s="241"/>
      <c r="W376" s="241"/>
      <c r="X376" s="241"/>
      <c r="Y376" s="241"/>
      <c r="Z376" s="241"/>
      <c r="AA376" s="241"/>
    </row>
    <row r="377">
      <c r="A377" s="243"/>
      <c r="B377" s="243"/>
      <c r="C377" s="241"/>
      <c r="D377" s="241"/>
      <c r="E377" s="241"/>
      <c r="F377" s="241"/>
      <c r="G377" s="241"/>
      <c r="H377" s="241"/>
      <c r="I377" s="241"/>
      <c r="J377" s="241"/>
      <c r="K377" s="241"/>
      <c r="L377" s="241"/>
      <c r="M377" s="241"/>
      <c r="N377" s="241"/>
      <c r="O377" s="241"/>
      <c r="P377" s="241"/>
      <c r="Q377" s="241"/>
      <c r="R377" s="241"/>
      <c r="S377" s="241"/>
      <c r="T377" s="241"/>
      <c r="U377" s="241"/>
      <c r="V377" s="241"/>
      <c r="W377" s="241"/>
      <c r="X377" s="241"/>
      <c r="Y377" s="241"/>
      <c r="Z377" s="241"/>
      <c r="AA377" s="241"/>
    </row>
    <row r="378">
      <c r="A378" s="243"/>
      <c r="B378" s="243"/>
      <c r="C378" s="241"/>
      <c r="D378" s="241"/>
      <c r="E378" s="241"/>
      <c r="F378" s="241"/>
      <c r="G378" s="241"/>
      <c r="H378" s="241"/>
      <c r="I378" s="241"/>
      <c r="J378" s="241"/>
      <c r="K378" s="241"/>
      <c r="L378" s="241"/>
      <c r="M378" s="241"/>
      <c r="N378" s="241"/>
      <c r="O378" s="241"/>
      <c r="P378" s="241"/>
      <c r="Q378" s="241"/>
      <c r="R378" s="241"/>
      <c r="S378" s="241"/>
      <c r="T378" s="241"/>
      <c r="U378" s="241"/>
      <c r="V378" s="241"/>
      <c r="W378" s="241"/>
      <c r="X378" s="241"/>
      <c r="Y378" s="241"/>
      <c r="Z378" s="241"/>
      <c r="AA378" s="241"/>
    </row>
    <row r="379">
      <c r="A379" s="243"/>
      <c r="B379" s="243"/>
      <c r="C379" s="241"/>
      <c r="D379" s="241"/>
      <c r="E379" s="241"/>
      <c r="F379" s="241"/>
      <c r="G379" s="241"/>
      <c r="H379" s="241"/>
      <c r="I379" s="241"/>
      <c r="J379" s="241"/>
      <c r="K379" s="241"/>
      <c r="L379" s="241"/>
      <c r="M379" s="241"/>
      <c r="N379" s="241"/>
      <c r="O379" s="241"/>
      <c r="P379" s="241"/>
      <c r="Q379" s="241"/>
      <c r="R379" s="241"/>
      <c r="S379" s="241"/>
      <c r="T379" s="241"/>
      <c r="U379" s="241"/>
      <c r="V379" s="241"/>
      <c r="W379" s="241"/>
      <c r="X379" s="241"/>
      <c r="Y379" s="241"/>
      <c r="Z379" s="241"/>
      <c r="AA379" s="241"/>
    </row>
    <row r="380">
      <c r="A380" s="243"/>
      <c r="B380" s="243"/>
      <c r="C380" s="241"/>
      <c r="D380" s="241"/>
      <c r="E380" s="241"/>
      <c r="F380" s="241"/>
      <c r="G380" s="241"/>
      <c r="H380" s="241"/>
      <c r="I380" s="241"/>
      <c r="J380" s="241"/>
      <c r="K380" s="241"/>
      <c r="L380" s="241"/>
      <c r="M380" s="241"/>
      <c r="N380" s="241"/>
      <c r="O380" s="241"/>
      <c r="P380" s="241"/>
      <c r="Q380" s="241"/>
      <c r="R380" s="241"/>
      <c r="S380" s="241"/>
      <c r="T380" s="241"/>
      <c r="U380" s="241"/>
      <c r="V380" s="241"/>
      <c r="W380" s="241"/>
      <c r="X380" s="241"/>
      <c r="Y380" s="241"/>
      <c r="Z380" s="241"/>
      <c r="AA380" s="241"/>
    </row>
    <row r="381">
      <c r="A381" s="243"/>
      <c r="B381" s="243"/>
      <c r="C381" s="241"/>
      <c r="D381" s="241"/>
      <c r="E381" s="241"/>
      <c r="F381" s="241"/>
      <c r="G381" s="241"/>
      <c r="H381" s="241"/>
      <c r="I381" s="241"/>
      <c r="J381" s="241"/>
      <c r="K381" s="241"/>
      <c r="L381" s="241"/>
      <c r="M381" s="241"/>
      <c r="N381" s="241"/>
      <c r="O381" s="241"/>
      <c r="P381" s="241"/>
      <c r="Q381" s="241"/>
      <c r="R381" s="241"/>
      <c r="S381" s="241"/>
      <c r="T381" s="241"/>
      <c r="U381" s="241"/>
      <c r="V381" s="241"/>
      <c r="W381" s="241"/>
      <c r="X381" s="241"/>
      <c r="Y381" s="241"/>
      <c r="Z381" s="241"/>
      <c r="AA381" s="241"/>
    </row>
    <row r="382">
      <c r="A382" s="243"/>
      <c r="B382" s="243"/>
      <c r="C382" s="241"/>
      <c r="D382" s="241"/>
      <c r="E382" s="241"/>
      <c r="F382" s="241"/>
      <c r="G382" s="241"/>
      <c r="H382" s="241"/>
      <c r="I382" s="241"/>
      <c r="J382" s="241"/>
      <c r="K382" s="241"/>
      <c r="L382" s="241"/>
      <c r="M382" s="241"/>
      <c r="N382" s="241"/>
      <c r="O382" s="241"/>
      <c r="P382" s="241"/>
      <c r="Q382" s="241"/>
      <c r="R382" s="241"/>
      <c r="S382" s="241"/>
      <c r="T382" s="241"/>
      <c r="U382" s="241"/>
      <c r="V382" s="241"/>
      <c r="W382" s="241"/>
      <c r="X382" s="241"/>
      <c r="Y382" s="241"/>
      <c r="Z382" s="241"/>
      <c r="AA382" s="241"/>
    </row>
    <row r="383">
      <c r="A383" s="243"/>
      <c r="B383" s="243"/>
      <c r="C383" s="241"/>
      <c r="D383" s="241"/>
      <c r="E383" s="241"/>
      <c r="F383" s="241"/>
      <c r="G383" s="241"/>
      <c r="H383" s="241"/>
      <c r="I383" s="241"/>
      <c r="J383" s="241"/>
      <c r="K383" s="241"/>
      <c r="L383" s="241"/>
      <c r="M383" s="241"/>
      <c r="N383" s="241"/>
      <c r="O383" s="241"/>
      <c r="P383" s="241"/>
      <c r="Q383" s="241"/>
      <c r="R383" s="241"/>
      <c r="S383" s="241"/>
      <c r="T383" s="241"/>
      <c r="U383" s="241"/>
      <c r="V383" s="241"/>
      <c r="W383" s="241"/>
      <c r="X383" s="241"/>
      <c r="Y383" s="241"/>
      <c r="Z383" s="241"/>
      <c r="AA383" s="241"/>
    </row>
    <row r="384">
      <c r="A384" s="243"/>
      <c r="B384" s="243"/>
      <c r="C384" s="241"/>
      <c r="D384" s="241"/>
      <c r="E384" s="241"/>
      <c r="F384" s="241"/>
      <c r="G384" s="241"/>
      <c r="H384" s="241"/>
      <c r="I384" s="241"/>
      <c r="J384" s="241"/>
      <c r="K384" s="241"/>
      <c r="L384" s="241"/>
      <c r="M384" s="241"/>
      <c r="N384" s="241"/>
      <c r="O384" s="241"/>
      <c r="P384" s="241"/>
      <c r="Q384" s="241"/>
      <c r="R384" s="241"/>
      <c r="S384" s="241"/>
      <c r="T384" s="241"/>
      <c r="U384" s="241"/>
      <c r="V384" s="241"/>
      <c r="W384" s="241"/>
      <c r="X384" s="241"/>
      <c r="Y384" s="241"/>
      <c r="Z384" s="241"/>
      <c r="AA384" s="241"/>
    </row>
    <row r="385">
      <c r="A385" s="243"/>
      <c r="B385" s="243"/>
      <c r="C385" s="241"/>
      <c r="D385" s="241"/>
      <c r="E385" s="241"/>
      <c r="F385" s="241"/>
      <c r="G385" s="241"/>
      <c r="H385" s="241"/>
      <c r="I385" s="241"/>
      <c r="J385" s="241"/>
      <c r="K385" s="241"/>
      <c r="L385" s="241"/>
      <c r="M385" s="241"/>
      <c r="N385" s="241"/>
      <c r="O385" s="241"/>
      <c r="P385" s="241"/>
      <c r="Q385" s="241"/>
      <c r="R385" s="241"/>
      <c r="S385" s="241"/>
      <c r="T385" s="241"/>
      <c r="U385" s="241"/>
      <c r="V385" s="241"/>
      <c r="W385" s="241"/>
      <c r="X385" s="241"/>
      <c r="Y385" s="241"/>
      <c r="Z385" s="241"/>
      <c r="AA385" s="241"/>
    </row>
    <row r="386">
      <c r="A386" s="243"/>
      <c r="B386" s="243"/>
      <c r="C386" s="241"/>
      <c r="D386" s="241"/>
      <c r="E386" s="241"/>
      <c r="F386" s="241"/>
      <c r="G386" s="241"/>
      <c r="H386" s="241"/>
      <c r="I386" s="241"/>
      <c r="J386" s="241"/>
      <c r="K386" s="241"/>
      <c r="L386" s="241"/>
      <c r="M386" s="241"/>
      <c r="N386" s="241"/>
      <c r="O386" s="241"/>
      <c r="P386" s="241"/>
      <c r="Q386" s="241"/>
      <c r="R386" s="241"/>
      <c r="S386" s="241"/>
      <c r="T386" s="241"/>
      <c r="U386" s="241"/>
      <c r="V386" s="241"/>
      <c r="W386" s="241"/>
      <c r="X386" s="241"/>
      <c r="Y386" s="241"/>
      <c r="Z386" s="241"/>
      <c r="AA386" s="241"/>
    </row>
    <row r="387">
      <c r="A387" s="243"/>
      <c r="B387" s="243"/>
      <c r="C387" s="241"/>
      <c r="D387" s="241"/>
      <c r="E387" s="241"/>
      <c r="F387" s="241"/>
      <c r="G387" s="241"/>
      <c r="H387" s="241"/>
      <c r="I387" s="241"/>
      <c r="J387" s="241"/>
      <c r="K387" s="241"/>
      <c r="L387" s="241"/>
      <c r="M387" s="241"/>
      <c r="N387" s="241"/>
      <c r="O387" s="241"/>
      <c r="P387" s="241"/>
      <c r="Q387" s="241"/>
      <c r="R387" s="241"/>
      <c r="S387" s="241"/>
      <c r="T387" s="241"/>
      <c r="U387" s="241"/>
      <c r="V387" s="241"/>
      <c r="W387" s="241"/>
      <c r="X387" s="241"/>
      <c r="Y387" s="241"/>
      <c r="Z387" s="241"/>
      <c r="AA387" s="241"/>
    </row>
    <row r="388">
      <c r="A388" s="243"/>
      <c r="B388" s="243"/>
      <c r="C388" s="241"/>
      <c r="D388" s="241"/>
      <c r="E388" s="241"/>
      <c r="F388" s="241"/>
      <c r="G388" s="241"/>
      <c r="H388" s="241"/>
      <c r="I388" s="241"/>
      <c r="J388" s="241"/>
      <c r="K388" s="241"/>
      <c r="L388" s="241"/>
      <c r="M388" s="241"/>
      <c r="N388" s="241"/>
      <c r="O388" s="241"/>
      <c r="P388" s="241"/>
      <c r="Q388" s="241"/>
      <c r="R388" s="241"/>
      <c r="S388" s="241"/>
      <c r="T388" s="241"/>
      <c r="U388" s="241"/>
      <c r="V388" s="241"/>
      <c r="W388" s="241"/>
      <c r="X388" s="241"/>
      <c r="Y388" s="241"/>
      <c r="Z388" s="241"/>
      <c r="AA388" s="241"/>
    </row>
    <row r="389">
      <c r="A389" s="243"/>
      <c r="B389" s="243"/>
      <c r="C389" s="241"/>
      <c r="D389" s="241"/>
      <c r="E389" s="241"/>
      <c r="F389" s="241"/>
      <c r="G389" s="241"/>
      <c r="H389" s="241"/>
      <c r="I389" s="241"/>
      <c r="J389" s="241"/>
      <c r="K389" s="241"/>
      <c r="L389" s="241"/>
      <c r="M389" s="241"/>
      <c r="N389" s="241"/>
      <c r="O389" s="241"/>
      <c r="P389" s="241"/>
      <c r="Q389" s="241"/>
      <c r="R389" s="241"/>
      <c r="S389" s="241"/>
      <c r="T389" s="241"/>
      <c r="U389" s="241"/>
      <c r="V389" s="241"/>
      <c r="W389" s="241"/>
      <c r="X389" s="241"/>
      <c r="Y389" s="241"/>
      <c r="Z389" s="241"/>
      <c r="AA389" s="241"/>
    </row>
    <row r="390">
      <c r="A390" s="243"/>
      <c r="B390" s="243"/>
      <c r="C390" s="241"/>
      <c r="D390" s="241"/>
      <c r="E390" s="241"/>
      <c r="F390" s="241"/>
      <c r="G390" s="241"/>
      <c r="H390" s="241"/>
      <c r="I390" s="241"/>
      <c r="J390" s="241"/>
      <c r="K390" s="241"/>
      <c r="L390" s="241"/>
      <c r="M390" s="241"/>
      <c r="N390" s="241"/>
      <c r="O390" s="241"/>
      <c r="P390" s="241"/>
      <c r="Q390" s="241"/>
      <c r="R390" s="241"/>
      <c r="S390" s="241"/>
      <c r="T390" s="241"/>
      <c r="U390" s="241"/>
      <c r="V390" s="241"/>
      <c r="W390" s="241"/>
      <c r="X390" s="241"/>
      <c r="Y390" s="241"/>
      <c r="Z390" s="241"/>
      <c r="AA390" s="241"/>
    </row>
    <row r="391">
      <c r="A391" s="243"/>
      <c r="B391" s="243"/>
      <c r="C391" s="241"/>
      <c r="D391" s="241"/>
      <c r="E391" s="241"/>
      <c r="F391" s="241"/>
      <c r="G391" s="241"/>
      <c r="H391" s="241"/>
      <c r="I391" s="241"/>
      <c r="J391" s="241"/>
      <c r="K391" s="241"/>
      <c r="L391" s="241"/>
      <c r="M391" s="241"/>
      <c r="N391" s="241"/>
      <c r="O391" s="241"/>
      <c r="P391" s="241"/>
      <c r="Q391" s="241"/>
      <c r="R391" s="241"/>
      <c r="S391" s="241"/>
      <c r="T391" s="241"/>
      <c r="U391" s="241"/>
      <c r="V391" s="241"/>
      <c r="W391" s="241"/>
      <c r="X391" s="241"/>
      <c r="Y391" s="241"/>
      <c r="Z391" s="241"/>
      <c r="AA391" s="241"/>
    </row>
    <row r="392">
      <c r="A392" s="243"/>
      <c r="B392" s="243"/>
      <c r="C392" s="241"/>
      <c r="D392" s="241"/>
      <c r="E392" s="241"/>
      <c r="F392" s="241"/>
      <c r="G392" s="241"/>
      <c r="H392" s="241"/>
      <c r="I392" s="241"/>
      <c r="J392" s="241"/>
      <c r="K392" s="241"/>
      <c r="L392" s="241"/>
      <c r="M392" s="241"/>
      <c r="N392" s="241"/>
      <c r="O392" s="241"/>
      <c r="P392" s="241"/>
      <c r="Q392" s="241"/>
      <c r="R392" s="241"/>
      <c r="S392" s="241"/>
      <c r="T392" s="241"/>
      <c r="U392" s="241"/>
      <c r="V392" s="241"/>
      <c r="W392" s="241"/>
      <c r="X392" s="241"/>
      <c r="Y392" s="241"/>
      <c r="Z392" s="241"/>
      <c r="AA392" s="241"/>
    </row>
    <row r="393">
      <c r="A393" s="243"/>
      <c r="B393" s="243"/>
      <c r="C393" s="241"/>
      <c r="D393" s="241"/>
      <c r="E393" s="241"/>
      <c r="F393" s="241"/>
      <c r="G393" s="241"/>
      <c r="H393" s="241"/>
      <c r="I393" s="241"/>
      <c r="J393" s="241"/>
      <c r="K393" s="241"/>
      <c r="L393" s="241"/>
      <c r="M393" s="241"/>
      <c r="N393" s="241"/>
      <c r="O393" s="241"/>
      <c r="P393" s="241"/>
      <c r="Q393" s="241"/>
      <c r="R393" s="241"/>
      <c r="S393" s="241"/>
      <c r="T393" s="241"/>
      <c r="U393" s="241"/>
      <c r="V393" s="241"/>
      <c r="W393" s="241"/>
      <c r="X393" s="241"/>
      <c r="Y393" s="241"/>
      <c r="Z393" s="241"/>
      <c r="AA393" s="241"/>
    </row>
    <row r="394">
      <c r="A394" s="243"/>
      <c r="B394" s="243"/>
      <c r="C394" s="241"/>
      <c r="D394" s="241"/>
      <c r="E394" s="241"/>
      <c r="F394" s="241"/>
      <c r="G394" s="241"/>
      <c r="H394" s="241"/>
      <c r="I394" s="241"/>
      <c r="J394" s="241"/>
      <c r="K394" s="241"/>
      <c r="L394" s="241"/>
      <c r="M394" s="241"/>
      <c r="N394" s="241"/>
      <c r="O394" s="241"/>
      <c r="P394" s="241"/>
      <c r="Q394" s="241"/>
      <c r="R394" s="241"/>
      <c r="S394" s="241"/>
      <c r="T394" s="241"/>
      <c r="U394" s="241"/>
      <c r="V394" s="241"/>
      <c r="W394" s="241"/>
      <c r="X394" s="241"/>
      <c r="Y394" s="241"/>
      <c r="Z394" s="241"/>
      <c r="AA394" s="241"/>
    </row>
    <row r="395">
      <c r="A395" s="243"/>
      <c r="B395" s="243"/>
      <c r="C395" s="241"/>
      <c r="D395" s="241"/>
      <c r="E395" s="241"/>
      <c r="F395" s="241"/>
      <c r="G395" s="241"/>
      <c r="H395" s="241"/>
      <c r="I395" s="241"/>
      <c r="J395" s="241"/>
      <c r="K395" s="241"/>
      <c r="L395" s="241"/>
      <c r="M395" s="241"/>
      <c r="N395" s="241"/>
      <c r="O395" s="241"/>
      <c r="P395" s="241"/>
      <c r="Q395" s="241"/>
      <c r="R395" s="241"/>
      <c r="S395" s="241"/>
      <c r="T395" s="241"/>
      <c r="U395" s="241"/>
      <c r="V395" s="241"/>
      <c r="W395" s="241"/>
      <c r="X395" s="241"/>
      <c r="Y395" s="241"/>
      <c r="Z395" s="241"/>
      <c r="AA395" s="241"/>
    </row>
    <row r="396">
      <c r="A396" s="243"/>
      <c r="B396" s="243"/>
      <c r="C396" s="241"/>
      <c r="D396" s="241"/>
      <c r="E396" s="241"/>
      <c r="F396" s="241"/>
      <c r="G396" s="241"/>
      <c r="H396" s="241"/>
      <c r="I396" s="241"/>
      <c r="J396" s="241"/>
      <c r="K396" s="241"/>
      <c r="L396" s="241"/>
      <c r="M396" s="241"/>
      <c r="N396" s="241"/>
      <c r="O396" s="241"/>
      <c r="P396" s="241"/>
      <c r="Q396" s="241"/>
      <c r="R396" s="241"/>
      <c r="S396" s="241"/>
      <c r="T396" s="241"/>
      <c r="U396" s="241"/>
      <c r="V396" s="241"/>
      <c r="W396" s="241"/>
      <c r="X396" s="241"/>
      <c r="Y396" s="241"/>
      <c r="Z396" s="241"/>
      <c r="AA396" s="241"/>
    </row>
    <row r="397">
      <c r="A397" s="243"/>
      <c r="B397" s="243"/>
      <c r="C397" s="241"/>
      <c r="D397" s="241"/>
      <c r="E397" s="241"/>
      <c r="F397" s="241"/>
      <c r="G397" s="241"/>
      <c r="H397" s="241"/>
      <c r="I397" s="241"/>
      <c r="J397" s="241"/>
      <c r="K397" s="241"/>
      <c r="L397" s="241"/>
      <c r="M397" s="241"/>
      <c r="N397" s="241"/>
      <c r="O397" s="241"/>
      <c r="P397" s="241"/>
      <c r="Q397" s="241"/>
      <c r="R397" s="241"/>
      <c r="S397" s="241"/>
      <c r="T397" s="241"/>
      <c r="U397" s="241"/>
      <c r="V397" s="241"/>
      <c r="W397" s="241"/>
      <c r="X397" s="241"/>
      <c r="Y397" s="241"/>
      <c r="Z397" s="241"/>
      <c r="AA397" s="241"/>
    </row>
    <row r="398">
      <c r="A398" s="243"/>
      <c r="B398" s="243"/>
      <c r="C398" s="241"/>
      <c r="D398" s="241"/>
      <c r="E398" s="241"/>
      <c r="F398" s="241"/>
      <c r="G398" s="241"/>
      <c r="H398" s="241"/>
      <c r="I398" s="241"/>
      <c r="J398" s="241"/>
      <c r="K398" s="241"/>
      <c r="L398" s="241"/>
      <c r="M398" s="241"/>
      <c r="N398" s="241"/>
      <c r="O398" s="241"/>
      <c r="P398" s="241"/>
      <c r="Q398" s="241"/>
      <c r="R398" s="241"/>
      <c r="S398" s="241"/>
      <c r="T398" s="241"/>
      <c r="U398" s="241"/>
      <c r="V398" s="241"/>
      <c r="W398" s="241"/>
      <c r="X398" s="241"/>
      <c r="Y398" s="241"/>
      <c r="Z398" s="241"/>
      <c r="AA398" s="241"/>
    </row>
    <row r="399">
      <c r="A399" s="243"/>
      <c r="B399" s="243"/>
      <c r="C399" s="241"/>
      <c r="D399" s="241"/>
      <c r="E399" s="241"/>
      <c r="F399" s="241"/>
      <c r="G399" s="241"/>
      <c r="H399" s="241"/>
      <c r="I399" s="241"/>
      <c r="J399" s="241"/>
      <c r="K399" s="241"/>
      <c r="L399" s="241"/>
      <c r="M399" s="241"/>
      <c r="N399" s="241"/>
      <c r="O399" s="241"/>
      <c r="P399" s="241"/>
      <c r="Q399" s="241"/>
      <c r="R399" s="241"/>
      <c r="S399" s="241"/>
      <c r="T399" s="241"/>
      <c r="U399" s="241"/>
      <c r="V399" s="241"/>
      <c r="W399" s="241"/>
      <c r="X399" s="241"/>
      <c r="Y399" s="241"/>
      <c r="Z399" s="241"/>
      <c r="AA399" s="241"/>
    </row>
    <row r="400">
      <c r="A400" s="243"/>
      <c r="B400" s="243"/>
      <c r="C400" s="241"/>
      <c r="D400" s="241"/>
      <c r="E400" s="241"/>
      <c r="F400" s="241"/>
      <c r="G400" s="241"/>
      <c r="H400" s="241"/>
      <c r="I400" s="241"/>
      <c r="J400" s="241"/>
      <c r="K400" s="241"/>
      <c r="L400" s="241"/>
      <c r="M400" s="241"/>
      <c r="N400" s="241"/>
      <c r="O400" s="241"/>
      <c r="P400" s="241"/>
      <c r="Q400" s="241"/>
      <c r="R400" s="241"/>
      <c r="S400" s="241"/>
      <c r="T400" s="241"/>
      <c r="U400" s="241"/>
      <c r="V400" s="241"/>
      <c r="W400" s="241"/>
      <c r="X400" s="241"/>
      <c r="Y400" s="241"/>
      <c r="Z400" s="241"/>
      <c r="AA400" s="241"/>
    </row>
    <row r="401">
      <c r="A401" s="243"/>
      <c r="B401" s="243"/>
      <c r="C401" s="241"/>
      <c r="D401" s="241"/>
      <c r="E401" s="241"/>
      <c r="F401" s="241"/>
      <c r="G401" s="241"/>
      <c r="H401" s="241"/>
      <c r="I401" s="241"/>
      <c r="J401" s="241"/>
      <c r="K401" s="241"/>
      <c r="L401" s="241"/>
      <c r="M401" s="241"/>
      <c r="N401" s="241"/>
      <c r="O401" s="241"/>
      <c r="P401" s="241"/>
      <c r="Q401" s="241"/>
      <c r="R401" s="241"/>
      <c r="S401" s="241"/>
      <c r="T401" s="241"/>
      <c r="U401" s="241"/>
      <c r="V401" s="241"/>
      <c r="W401" s="241"/>
      <c r="X401" s="241"/>
      <c r="Y401" s="241"/>
      <c r="Z401" s="241"/>
      <c r="AA401" s="241"/>
    </row>
    <row r="402">
      <c r="A402" s="243"/>
      <c r="B402" s="243"/>
      <c r="C402" s="241"/>
      <c r="D402" s="241"/>
      <c r="E402" s="241"/>
      <c r="F402" s="241"/>
      <c r="G402" s="241"/>
      <c r="H402" s="241"/>
      <c r="I402" s="241"/>
      <c r="J402" s="241"/>
      <c r="K402" s="241"/>
      <c r="L402" s="241"/>
      <c r="M402" s="241"/>
      <c r="N402" s="241"/>
      <c r="O402" s="241"/>
      <c r="P402" s="241"/>
      <c r="Q402" s="241"/>
      <c r="R402" s="241"/>
      <c r="S402" s="241"/>
      <c r="T402" s="241"/>
      <c r="U402" s="241"/>
      <c r="V402" s="241"/>
      <c r="W402" s="241"/>
      <c r="X402" s="241"/>
      <c r="Y402" s="241"/>
      <c r="Z402" s="241"/>
      <c r="AA402" s="241"/>
    </row>
    <row r="403">
      <c r="A403" s="243"/>
      <c r="B403" s="243"/>
      <c r="C403" s="241"/>
      <c r="D403" s="241"/>
      <c r="E403" s="241"/>
      <c r="F403" s="241"/>
      <c r="G403" s="241"/>
      <c r="H403" s="241"/>
      <c r="I403" s="241"/>
      <c r="J403" s="241"/>
      <c r="K403" s="241"/>
      <c r="L403" s="241"/>
      <c r="M403" s="241"/>
      <c r="N403" s="241"/>
      <c r="O403" s="241"/>
      <c r="P403" s="241"/>
      <c r="Q403" s="241"/>
      <c r="R403" s="241"/>
      <c r="S403" s="241"/>
      <c r="T403" s="241"/>
      <c r="U403" s="241"/>
      <c r="V403" s="241"/>
      <c r="W403" s="241"/>
      <c r="X403" s="241"/>
      <c r="Y403" s="241"/>
      <c r="Z403" s="241"/>
      <c r="AA403" s="241"/>
    </row>
    <row r="404">
      <c r="A404" s="243"/>
      <c r="B404" s="243"/>
      <c r="C404" s="241"/>
      <c r="D404" s="241"/>
      <c r="E404" s="241"/>
      <c r="F404" s="241"/>
      <c r="G404" s="241"/>
      <c r="H404" s="241"/>
      <c r="I404" s="241"/>
      <c r="J404" s="241"/>
      <c r="K404" s="241"/>
      <c r="L404" s="241"/>
      <c r="M404" s="241"/>
      <c r="N404" s="241"/>
      <c r="O404" s="241"/>
      <c r="P404" s="241"/>
      <c r="Q404" s="241"/>
      <c r="R404" s="241"/>
      <c r="S404" s="241"/>
      <c r="T404" s="241"/>
      <c r="U404" s="241"/>
      <c r="V404" s="241"/>
      <c r="W404" s="241"/>
      <c r="X404" s="241"/>
      <c r="Y404" s="241"/>
      <c r="Z404" s="241"/>
      <c r="AA404" s="241"/>
    </row>
    <row r="405">
      <c r="A405" s="243"/>
      <c r="B405" s="243"/>
      <c r="C405" s="241"/>
      <c r="D405" s="241"/>
      <c r="E405" s="241"/>
      <c r="F405" s="241"/>
      <c r="G405" s="241"/>
      <c r="H405" s="241"/>
      <c r="I405" s="241"/>
      <c r="J405" s="241"/>
      <c r="K405" s="241"/>
      <c r="L405" s="241"/>
      <c r="M405" s="241"/>
      <c r="N405" s="241"/>
      <c r="O405" s="241"/>
      <c r="P405" s="241"/>
      <c r="Q405" s="241"/>
      <c r="R405" s="241"/>
      <c r="S405" s="241"/>
      <c r="T405" s="241"/>
      <c r="U405" s="241"/>
      <c r="V405" s="241"/>
      <c r="W405" s="241"/>
      <c r="X405" s="241"/>
      <c r="Y405" s="241"/>
      <c r="Z405" s="241"/>
      <c r="AA405" s="241"/>
    </row>
    <row r="406">
      <c r="A406" s="243"/>
      <c r="B406" s="243"/>
      <c r="C406" s="241"/>
      <c r="D406" s="241"/>
      <c r="E406" s="241"/>
      <c r="F406" s="241"/>
      <c r="G406" s="241"/>
      <c r="H406" s="241"/>
      <c r="I406" s="241"/>
      <c r="J406" s="241"/>
      <c r="K406" s="241"/>
      <c r="L406" s="241"/>
      <c r="M406" s="241"/>
      <c r="N406" s="241"/>
      <c r="O406" s="241"/>
      <c r="P406" s="241"/>
      <c r="Q406" s="241"/>
      <c r="R406" s="241"/>
      <c r="S406" s="241"/>
      <c r="T406" s="241"/>
      <c r="U406" s="241"/>
      <c r="V406" s="241"/>
      <c r="W406" s="241"/>
      <c r="X406" s="241"/>
      <c r="Y406" s="241"/>
      <c r="Z406" s="241"/>
      <c r="AA406" s="241"/>
    </row>
    <row r="407">
      <c r="A407" s="243"/>
      <c r="B407" s="243"/>
      <c r="C407" s="241"/>
      <c r="D407" s="241"/>
      <c r="E407" s="241"/>
      <c r="F407" s="241"/>
      <c r="G407" s="241"/>
      <c r="H407" s="241"/>
      <c r="I407" s="241"/>
      <c r="J407" s="241"/>
      <c r="K407" s="241"/>
      <c r="L407" s="241"/>
      <c r="M407" s="241"/>
      <c r="N407" s="241"/>
      <c r="O407" s="241"/>
      <c r="P407" s="241"/>
      <c r="Q407" s="241"/>
      <c r="R407" s="241"/>
      <c r="S407" s="241"/>
      <c r="T407" s="241"/>
      <c r="U407" s="241"/>
      <c r="V407" s="241"/>
      <c r="W407" s="241"/>
      <c r="X407" s="241"/>
      <c r="Y407" s="241"/>
      <c r="Z407" s="241"/>
      <c r="AA407" s="241"/>
    </row>
    <row r="408">
      <c r="A408" s="243"/>
      <c r="B408" s="243"/>
      <c r="C408" s="241"/>
      <c r="D408" s="241"/>
      <c r="E408" s="241"/>
      <c r="F408" s="241"/>
      <c r="G408" s="241"/>
      <c r="H408" s="241"/>
      <c r="I408" s="241"/>
      <c r="J408" s="241"/>
      <c r="K408" s="241"/>
      <c r="L408" s="241"/>
      <c r="M408" s="241"/>
      <c r="N408" s="241"/>
      <c r="O408" s="241"/>
      <c r="P408" s="241"/>
      <c r="Q408" s="241"/>
      <c r="R408" s="241"/>
      <c r="S408" s="241"/>
      <c r="T408" s="241"/>
      <c r="U408" s="241"/>
      <c r="V408" s="241"/>
      <c r="W408" s="241"/>
      <c r="X408" s="241"/>
      <c r="Y408" s="241"/>
      <c r="Z408" s="241"/>
      <c r="AA408" s="241"/>
    </row>
    <row r="409">
      <c r="A409" s="243"/>
      <c r="B409" s="243"/>
      <c r="C409" s="241"/>
      <c r="D409" s="241"/>
      <c r="E409" s="241"/>
      <c r="F409" s="241"/>
      <c r="G409" s="241"/>
      <c r="H409" s="241"/>
      <c r="I409" s="241"/>
      <c r="J409" s="241"/>
      <c r="K409" s="241"/>
      <c r="L409" s="241"/>
      <c r="M409" s="241"/>
      <c r="N409" s="241"/>
      <c r="O409" s="241"/>
      <c r="P409" s="241"/>
      <c r="Q409" s="241"/>
      <c r="R409" s="241"/>
      <c r="S409" s="241"/>
      <c r="T409" s="241"/>
      <c r="U409" s="241"/>
      <c r="V409" s="241"/>
      <c r="W409" s="241"/>
      <c r="X409" s="241"/>
      <c r="Y409" s="241"/>
      <c r="Z409" s="241"/>
      <c r="AA409" s="241"/>
    </row>
    <row r="410">
      <c r="A410" s="243"/>
      <c r="B410" s="243"/>
      <c r="C410" s="241"/>
      <c r="D410" s="241"/>
      <c r="E410" s="241"/>
      <c r="F410" s="241"/>
      <c r="G410" s="241"/>
      <c r="H410" s="241"/>
      <c r="I410" s="241"/>
      <c r="J410" s="241"/>
      <c r="K410" s="241"/>
      <c r="L410" s="241"/>
      <c r="M410" s="241"/>
      <c r="N410" s="241"/>
      <c r="O410" s="241"/>
      <c r="P410" s="241"/>
      <c r="Q410" s="241"/>
      <c r="R410" s="241"/>
      <c r="S410" s="241"/>
      <c r="T410" s="241"/>
      <c r="U410" s="241"/>
      <c r="V410" s="241"/>
      <c r="W410" s="241"/>
      <c r="X410" s="241"/>
      <c r="Y410" s="241"/>
      <c r="Z410" s="241"/>
      <c r="AA410" s="241"/>
    </row>
    <row r="411">
      <c r="A411" s="243"/>
      <c r="B411" s="243"/>
      <c r="C411" s="241"/>
      <c r="D411" s="241"/>
      <c r="E411" s="241"/>
      <c r="F411" s="241"/>
      <c r="G411" s="241"/>
      <c r="H411" s="241"/>
      <c r="I411" s="241"/>
      <c r="J411" s="241"/>
      <c r="K411" s="241"/>
      <c r="L411" s="241"/>
      <c r="M411" s="241"/>
      <c r="N411" s="241"/>
      <c r="O411" s="241"/>
      <c r="P411" s="241"/>
      <c r="Q411" s="241"/>
      <c r="R411" s="241"/>
      <c r="S411" s="241"/>
      <c r="T411" s="241"/>
      <c r="U411" s="241"/>
      <c r="V411" s="241"/>
      <c r="W411" s="241"/>
      <c r="X411" s="241"/>
      <c r="Y411" s="241"/>
      <c r="Z411" s="241"/>
      <c r="AA411" s="241"/>
    </row>
    <row r="412">
      <c r="A412" s="243"/>
      <c r="B412" s="243"/>
      <c r="C412" s="241"/>
      <c r="D412" s="241"/>
      <c r="E412" s="241"/>
      <c r="F412" s="241"/>
      <c r="G412" s="241"/>
      <c r="H412" s="241"/>
      <c r="I412" s="241"/>
      <c r="J412" s="241"/>
      <c r="K412" s="241"/>
      <c r="L412" s="241"/>
      <c r="M412" s="241"/>
      <c r="N412" s="241"/>
      <c r="O412" s="241"/>
      <c r="P412" s="241"/>
      <c r="Q412" s="241"/>
      <c r="R412" s="241"/>
      <c r="S412" s="241"/>
      <c r="T412" s="241"/>
      <c r="U412" s="241"/>
      <c r="V412" s="241"/>
      <c r="W412" s="241"/>
      <c r="X412" s="241"/>
      <c r="Y412" s="241"/>
      <c r="Z412" s="241"/>
      <c r="AA412" s="241"/>
    </row>
    <row r="413">
      <c r="A413" s="243"/>
      <c r="B413" s="243"/>
      <c r="C413" s="241"/>
      <c r="D413" s="241"/>
      <c r="E413" s="241"/>
      <c r="F413" s="241"/>
      <c r="G413" s="241"/>
      <c r="H413" s="241"/>
      <c r="I413" s="241"/>
      <c r="J413" s="241"/>
      <c r="K413" s="241"/>
      <c r="L413" s="241"/>
      <c r="M413" s="241"/>
      <c r="N413" s="241"/>
      <c r="O413" s="241"/>
      <c r="P413" s="241"/>
      <c r="Q413" s="241"/>
      <c r="R413" s="241"/>
      <c r="S413" s="241"/>
      <c r="T413" s="241"/>
      <c r="U413" s="241"/>
      <c r="V413" s="241"/>
      <c r="W413" s="241"/>
      <c r="X413" s="241"/>
      <c r="Y413" s="241"/>
      <c r="Z413" s="241"/>
      <c r="AA413" s="241"/>
    </row>
    <row r="414">
      <c r="A414" s="243"/>
      <c r="B414" s="243"/>
      <c r="C414" s="241"/>
      <c r="D414" s="241"/>
      <c r="E414" s="241"/>
      <c r="F414" s="241"/>
      <c r="G414" s="241"/>
      <c r="H414" s="241"/>
      <c r="I414" s="241"/>
      <c r="J414" s="241"/>
      <c r="K414" s="241"/>
      <c r="L414" s="241"/>
      <c r="M414" s="241"/>
      <c r="N414" s="241"/>
      <c r="O414" s="241"/>
      <c r="P414" s="241"/>
      <c r="Q414" s="241"/>
      <c r="R414" s="241"/>
      <c r="S414" s="241"/>
      <c r="T414" s="241"/>
      <c r="U414" s="241"/>
      <c r="V414" s="241"/>
      <c r="W414" s="241"/>
      <c r="X414" s="241"/>
      <c r="Y414" s="241"/>
      <c r="Z414" s="241"/>
      <c r="AA414" s="241"/>
    </row>
    <row r="415">
      <c r="A415" s="243"/>
      <c r="B415" s="243"/>
      <c r="C415" s="241"/>
      <c r="D415" s="241"/>
      <c r="E415" s="241"/>
      <c r="F415" s="241"/>
      <c r="G415" s="241"/>
      <c r="H415" s="241"/>
      <c r="I415" s="241"/>
      <c r="J415" s="241"/>
      <c r="K415" s="241"/>
      <c r="L415" s="241"/>
      <c r="M415" s="241"/>
      <c r="N415" s="241"/>
      <c r="O415" s="241"/>
      <c r="P415" s="241"/>
      <c r="Q415" s="241"/>
      <c r="R415" s="241"/>
      <c r="S415" s="241"/>
      <c r="T415" s="241"/>
      <c r="U415" s="241"/>
      <c r="V415" s="241"/>
      <c r="W415" s="241"/>
      <c r="X415" s="241"/>
      <c r="Y415" s="241"/>
      <c r="Z415" s="241"/>
      <c r="AA415" s="241"/>
    </row>
    <row r="416">
      <c r="A416" s="243"/>
      <c r="B416" s="243"/>
      <c r="C416" s="241"/>
      <c r="D416" s="241"/>
      <c r="E416" s="241"/>
      <c r="F416" s="241"/>
      <c r="G416" s="241"/>
      <c r="H416" s="241"/>
      <c r="I416" s="241"/>
      <c r="J416" s="241"/>
      <c r="K416" s="241"/>
      <c r="L416" s="241"/>
      <c r="M416" s="241"/>
      <c r="N416" s="241"/>
      <c r="O416" s="241"/>
      <c r="P416" s="241"/>
      <c r="Q416" s="241"/>
      <c r="R416" s="241"/>
      <c r="S416" s="241"/>
      <c r="T416" s="241"/>
      <c r="U416" s="241"/>
      <c r="V416" s="241"/>
      <c r="W416" s="241"/>
      <c r="X416" s="241"/>
      <c r="Y416" s="241"/>
      <c r="Z416" s="241"/>
      <c r="AA416" s="241"/>
    </row>
    <row r="417">
      <c r="A417" s="243"/>
      <c r="B417" s="243"/>
      <c r="C417" s="241"/>
      <c r="D417" s="241"/>
      <c r="E417" s="241"/>
      <c r="F417" s="241"/>
      <c r="G417" s="241"/>
      <c r="H417" s="241"/>
      <c r="I417" s="241"/>
      <c r="J417" s="241"/>
      <c r="K417" s="241"/>
      <c r="L417" s="241"/>
      <c r="M417" s="241"/>
      <c r="N417" s="241"/>
      <c r="O417" s="241"/>
      <c r="P417" s="241"/>
      <c r="Q417" s="241"/>
      <c r="R417" s="241"/>
      <c r="S417" s="241"/>
      <c r="T417" s="241"/>
      <c r="U417" s="241"/>
      <c r="V417" s="241"/>
      <c r="W417" s="241"/>
      <c r="X417" s="241"/>
      <c r="Y417" s="241"/>
      <c r="Z417" s="241"/>
      <c r="AA417" s="241"/>
    </row>
    <row r="418">
      <c r="A418" s="243"/>
      <c r="B418" s="243"/>
      <c r="C418" s="241"/>
      <c r="D418" s="241"/>
      <c r="E418" s="241"/>
      <c r="F418" s="241"/>
      <c r="G418" s="241"/>
      <c r="H418" s="241"/>
      <c r="I418" s="241"/>
      <c r="J418" s="241"/>
      <c r="K418" s="241"/>
      <c r="L418" s="241"/>
      <c r="M418" s="241"/>
      <c r="N418" s="241"/>
      <c r="O418" s="241"/>
      <c r="P418" s="241"/>
      <c r="Q418" s="241"/>
      <c r="R418" s="241"/>
      <c r="S418" s="241"/>
      <c r="T418" s="241"/>
      <c r="U418" s="241"/>
      <c r="V418" s="241"/>
      <c r="W418" s="241"/>
      <c r="X418" s="241"/>
      <c r="Y418" s="241"/>
      <c r="Z418" s="241"/>
      <c r="AA418" s="241"/>
    </row>
    <row r="419">
      <c r="A419" s="243"/>
      <c r="B419" s="243"/>
      <c r="C419" s="241"/>
      <c r="D419" s="241"/>
      <c r="E419" s="241"/>
      <c r="F419" s="241"/>
      <c r="G419" s="241"/>
      <c r="H419" s="241"/>
      <c r="I419" s="241"/>
      <c r="J419" s="241"/>
      <c r="K419" s="241"/>
      <c r="L419" s="241"/>
      <c r="M419" s="241"/>
      <c r="N419" s="241"/>
      <c r="O419" s="241"/>
      <c r="P419" s="241"/>
      <c r="Q419" s="241"/>
      <c r="R419" s="241"/>
      <c r="S419" s="241"/>
      <c r="T419" s="241"/>
      <c r="U419" s="241"/>
      <c r="V419" s="241"/>
      <c r="W419" s="241"/>
      <c r="X419" s="241"/>
      <c r="Y419" s="241"/>
      <c r="Z419" s="241"/>
      <c r="AA419" s="241"/>
    </row>
    <row r="420">
      <c r="A420" s="243"/>
      <c r="B420" s="243"/>
      <c r="C420" s="241"/>
      <c r="D420" s="241"/>
      <c r="E420" s="241"/>
      <c r="F420" s="241"/>
      <c r="G420" s="241"/>
      <c r="H420" s="241"/>
      <c r="I420" s="241"/>
      <c r="J420" s="241"/>
      <c r="K420" s="241"/>
      <c r="L420" s="241"/>
      <c r="M420" s="241"/>
      <c r="N420" s="241"/>
      <c r="O420" s="241"/>
      <c r="P420" s="241"/>
      <c r="Q420" s="241"/>
      <c r="R420" s="241"/>
      <c r="S420" s="241"/>
      <c r="T420" s="241"/>
      <c r="U420" s="241"/>
      <c r="V420" s="241"/>
      <c r="W420" s="241"/>
      <c r="X420" s="241"/>
      <c r="Y420" s="241"/>
      <c r="Z420" s="241"/>
      <c r="AA420" s="241"/>
    </row>
    <row r="421">
      <c r="A421" s="243"/>
      <c r="B421" s="243"/>
      <c r="C421" s="241"/>
      <c r="D421" s="241"/>
      <c r="E421" s="241"/>
      <c r="F421" s="241"/>
      <c r="G421" s="241"/>
      <c r="H421" s="241"/>
      <c r="I421" s="241"/>
      <c r="J421" s="241"/>
      <c r="K421" s="241"/>
      <c r="L421" s="241"/>
      <c r="M421" s="241"/>
      <c r="N421" s="241"/>
      <c r="O421" s="241"/>
      <c r="P421" s="241"/>
      <c r="Q421" s="241"/>
      <c r="R421" s="241"/>
      <c r="S421" s="241"/>
      <c r="T421" s="241"/>
      <c r="U421" s="241"/>
      <c r="V421" s="241"/>
      <c r="W421" s="241"/>
      <c r="X421" s="241"/>
      <c r="Y421" s="241"/>
      <c r="Z421" s="241"/>
      <c r="AA421" s="241"/>
    </row>
    <row r="422">
      <c r="A422" s="243"/>
      <c r="B422" s="243"/>
      <c r="C422" s="241"/>
      <c r="D422" s="241"/>
      <c r="E422" s="241"/>
      <c r="F422" s="241"/>
      <c r="G422" s="241"/>
      <c r="H422" s="241"/>
      <c r="I422" s="241"/>
      <c r="J422" s="241"/>
      <c r="K422" s="241"/>
      <c r="L422" s="241"/>
      <c r="M422" s="241"/>
      <c r="N422" s="241"/>
      <c r="O422" s="241"/>
      <c r="P422" s="241"/>
      <c r="Q422" s="241"/>
      <c r="R422" s="241"/>
      <c r="S422" s="241"/>
      <c r="T422" s="241"/>
      <c r="U422" s="241"/>
      <c r="V422" s="241"/>
      <c r="W422" s="241"/>
      <c r="X422" s="241"/>
      <c r="Y422" s="241"/>
      <c r="Z422" s="241"/>
      <c r="AA422" s="241"/>
    </row>
    <row r="423">
      <c r="A423" s="243"/>
      <c r="B423" s="243"/>
      <c r="C423" s="241"/>
      <c r="D423" s="241"/>
      <c r="E423" s="241"/>
      <c r="F423" s="241"/>
      <c r="G423" s="241"/>
      <c r="H423" s="241"/>
      <c r="I423" s="241"/>
      <c r="J423" s="241"/>
      <c r="K423" s="241"/>
      <c r="L423" s="241"/>
      <c r="M423" s="241"/>
      <c r="N423" s="241"/>
      <c r="O423" s="241"/>
      <c r="P423" s="241"/>
      <c r="Q423" s="241"/>
      <c r="R423" s="241"/>
      <c r="S423" s="241"/>
      <c r="T423" s="241"/>
      <c r="U423" s="241"/>
      <c r="V423" s="241"/>
      <c r="W423" s="241"/>
      <c r="X423" s="241"/>
      <c r="Y423" s="241"/>
      <c r="Z423" s="241"/>
      <c r="AA423" s="241"/>
    </row>
    <row r="424">
      <c r="A424" s="243"/>
      <c r="B424" s="243"/>
      <c r="C424" s="241"/>
      <c r="D424" s="241"/>
      <c r="E424" s="241"/>
      <c r="F424" s="241"/>
      <c r="G424" s="241"/>
      <c r="H424" s="241"/>
      <c r="I424" s="241"/>
      <c r="J424" s="241"/>
      <c r="K424" s="241"/>
      <c r="L424" s="241"/>
      <c r="M424" s="241"/>
      <c r="N424" s="241"/>
      <c r="O424" s="241"/>
      <c r="P424" s="241"/>
      <c r="Q424" s="241"/>
      <c r="R424" s="241"/>
      <c r="S424" s="241"/>
      <c r="T424" s="241"/>
      <c r="U424" s="241"/>
      <c r="V424" s="241"/>
      <c r="W424" s="241"/>
      <c r="X424" s="241"/>
      <c r="Y424" s="241"/>
      <c r="Z424" s="241"/>
      <c r="AA424" s="241"/>
    </row>
    <row r="425">
      <c r="A425" s="243"/>
      <c r="B425" s="243"/>
      <c r="C425" s="241"/>
      <c r="D425" s="241"/>
      <c r="E425" s="241"/>
      <c r="F425" s="241"/>
      <c r="G425" s="241"/>
      <c r="H425" s="241"/>
      <c r="I425" s="241"/>
      <c r="J425" s="241"/>
      <c r="K425" s="241"/>
      <c r="L425" s="241"/>
      <c r="M425" s="241"/>
      <c r="N425" s="241"/>
      <c r="O425" s="241"/>
      <c r="P425" s="241"/>
      <c r="Q425" s="241"/>
      <c r="R425" s="241"/>
      <c r="S425" s="241"/>
      <c r="T425" s="241"/>
      <c r="U425" s="241"/>
      <c r="V425" s="241"/>
      <c r="W425" s="241"/>
      <c r="X425" s="241"/>
      <c r="Y425" s="241"/>
      <c r="Z425" s="241"/>
      <c r="AA425" s="241"/>
    </row>
    <row r="426">
      <c r="A426" s="243"/>
      <c r="B426" s="243"/>
      <c r="C426" s="241"/>
      <c r="D426" s="241"/>
      <c r="E426" s="241"/>
      <c r="F426" s="241"/>
      <c r="G426" s="241"/>
      <c r="H426" s="241"/>
      <c r="I426" s="241"/>
      <c r="J426" s="241"/>
      <c r="K426" s="241"/>
      <c r="L426" s="241"/>
      <c r="M426" s="241"/>
      <c r="N426" s="241"/>
      <c r="O426" s="241"/>
      <c r="P426" s="241"/>
      <c r="Q426" s="241"/>
      <c r="R426" s="241"/>
      <c r="S426" s="241"/>
      <c r="T426" s="241"/>
      <c r="U426" s="241"/>
      <c r="V426" s="241"/>
      <c r="W426" s="241"/>
      <c r="X426" s="241"/>
      <c r="Y426" s="241"/>
      <c r="Z426" s="241"/>
      <c r="AA426" s="241"/>
    </row>
    <row r="427">
      <c r="A427" s="243"/>
      <c r="B427" s="243"/>
      <c r="C427" s="241"/>
      <c r="D427" s="241"/>
      <c r="E427" s="241"/>
      <c r="F427" s="241"/>
      <c r="G427" s="241"/>
      <c r="H427" s="241"/>
      <c r="I427" s="241"/>
      <c r="J427" s="241"/>
      <c r="K427" s="241"/>
      <c r="L427" s="241"/>
      <c r="M427" s="241"/>
      <c r="N427" s="241"/>
      <c r="O427" s="241"/>
      <c r="P427" s="241"/>
      <c r="Q427" s="241"/>
      <c r="R427" s="241"/>
      <c r="S427" s="241"/>
      <c r="T427" s="241"/>
      <c r="U427" s="241"/>
      <c r="V427" s="241"/>
      <c r="W427" s="241"/>
      <c r="X427" s="241"/>
      <c r="Y427" s="241"/>
      <c r="Z427" s="241"/>
      <c r="AA427" s="241"/>
    </row>
    <row r="428">
      <c r="A428" s="243"/>
      <c r="B428" s="243"/>
      <c r="C428" s="241"/>
      <c r="D428" s="241"/>
      <c r="E428" s="241"/>
      <c r="F428" s="241"/>
      <c r="G428" s="241"/>
      <c r="H428" s="241"/>
      <c r="I428" s="241"/>
      <c r="J428" s="241"/>
      <c r="K428" s="241"/>
      <c r="L428" s="241"/>
      <c r="M428" s="241"/>
      <c r="N428" s="241"/>
      <c r="O428" s="241"/>
      <c r="P428" s="241"/>
      <c r="Q428" s="241"/>
      <c r="R428" s="241"/>
      <c r="S428" s="241"/>
      <c r="T428" s="241"/>
      <c r="U428" s="241"/>
      <c r="V428" s="241"/>
      <c r="W428" s="241"/>
      <c r="X428" s="241"/>
      <c r="Y428" s="241"/>
      <c r="Z428" s="241"/>
      <c r="AA428" s="241"/>
    </row>
    <row r="429">
      <c r="A429" s="243"/>
      <c r="B429" s="243"/>
      <c r="C429" s="241"/>
      <c r="D429" s="241"/>
      <c r="E429" s="241"/>
      <c r="F429" s="241"/>
      <c r="G429" s="241"/>
      <c r="H429" s="241"/>
      <c r="I429" s="241"/>
      <c r="J429" s="241"/>
      <c r="K429" s="241"/>
      <c r="L429" s="241"/>
      <c r="M429" s="241"/>
      <c r="N429" s="241"/>
      <c r="O429" s="241"/>
      <c r="P429" s="241"/>
      <c r="Q429" s="241"/>
      <c r="R429" s="241"/>
      <c r="S429" s="241"/>
      <c r="T429" s="241"/>
      <c r="U429" s="241"/>
      <c r="V429" s="241"/>
      <c r="W429" s="241"/>
      <c r="X429" s="241"/>
      <c r="Y429" s="241"/>
      <c r="Z429" s="241"/>
      <c r="AA429" s="241"/>
    </row>
    <row r="430">
      <c r="A430" s="243"/>
      <c r="B430" s="243"/>
      <c r="C430" s="241"/>
      <c r="D430" s="241"/>
      <c r="E430" s="241"/>
      <c r="F430" s="241"/>
      <c r="G430" s="241"/>
      <c r="H430" s="241"/>
      <c r="I430" s="241"/>
      <c r="J430" s="241"/>
      <c r="K430" s="241"/>
      <c r="L430" s="241"/>
      <c r="M430" s="241"/>
      <c r="N430" s="241"/>
      <c r="O430" s="241"/>
      <c r="P430" s="241"/>
      <c r="Q430" s="241"/>
      <c r="R430" s="241"/>
      <c r="S430" s="241"/>
      <c r="T430" s="241"/>
      <c r="U430" s="241"/>
      <c r="V430" s="241"/>
      <c r="W430" s="241"/>
      <c r="X430" s="241"/>
      <c r="Y430" s="241"/>
      <c r="Z430" s="241"/>
      <c r="AA430" s="241"/>
    </row>
    <row r="431">
      <c r="A431" s="243"/>
      <c r="B431" s="243"/>
      <c r="C431" s="241"/>
      <c r="D431" s="241"/>
      <c r="E431" s="241"/>
      <c r="F431" s="241"/>
      <c r="G431" s="241"/>
      <c r="H431" s="241"/>
      <c r="I431" s="241"/>
      <c r="J431" s="241"/>
      <c r="K431" s="241"/>
      <c r="L431" s="241"/>
      <c r="M431" s="241"/>
      <c r="N431" s="241"/>
      <c r="O431" s="241"/>
      <c r="P431" s="241"/>
      <c r="Q431" s="241"/>
      <c r="R431" s="241"/>
      <c r="S431" s="241"/>
      <c r="T431" s="241"/>
      <c r="U431" s="241"/>
      <c r="V431" s="241"/>
      <c r="W431" s="241"/>
      <c r="X431" s="241"/>
      <c r="Y431" s="241"/>
      <c r="Z431" s="241"/>
      <c r="AA431" s="241"/>
    </row>
    <row r="432">
      <c r="A432" s="243"/>
      <c r="B432" s="243"/>
      <c r="C432" s="241"/>
      <c r="D432" s="241"/>
      <c r="E432" s="241"/>
      <c r="F432" s="241"/>
      <c r="G432" s="241"/>
      <c r="H432" s="241"/>
      <c r="I432" s="241"/>
      <c r="J432" s="241"/>
      <c r="K432" s="241"/>
      <c r="L432" s="241"/>
      <c r="M432" s="241"/>
      <c r="N432" s="241"/>
      <c r="O432" s="241"/>
      <c r="P432" s="241"/>
      <c r="Q432" s="241"/>
      <c r="R432" s="241"/>
      <c r="S432" s="241"/>
      <c r="T432" s="241"/>
      <c r="U432" s="241"/>
      <c r="V432" s="241"/>
      <c r="W432" s="241"/>
      <c r="X432" s="241"/>
      <c r="Y432" s="241"/>
      <c r="Z432" s="241"/>
      <c r="AA432" s="241"/>
    </row>
    <row r="433">
      <c r="A433" s="243"/>
      <c r="B433" s="243"/>
      <c r="C433" s="241"/>
      <c r="D433" s="241"/>
      <c r="E433" s="241"/>
      <c r="F433" s="241"/>
      <c r="G433" s="241"/>
      <c r="H433" s="241"/>
      <c r="I433" s="241"/>
      <c r="J433" s="241"/>
      <c r="K433" s="241"/>
      <c r="L433" s="241"/>
      <c r="M433" s="241"/>
      <c r="N433" s="241"/>
      <c r="O433" s="241"/>
      <c r="P433" s="241"/>
      <c r="Q433" s="241"/>
      <c r="R433" s="241"/>
      <c r="S433" s="241"/>
      <c r="T433" s="241"/>
      <c r="U433" s="241"/>
      <c r="V433" s="241"/>
      <c r="W433" s="241"/>
      <c r="X433" s="241"/>
      <c r="Y433" s="241"/>
      <c r="Z433" s="241"/>
      <c r="AA433" s="241"/>
    </row>
    <row r="434">
      <c r="A434" s="243"/>
      <c r="B434" s="243"/>
      <c r="C434" s="241"/>
      <c r="D434" s="241"/>
      <c r="E434" s="241"/>
      <c r="F434" s="241"/>
      <c r="G434" s="241"/>
      <c r="H434" s="241"/>
      <c r="I434" s="241"/>
      <c r="J434" s="241"/>
      <c r="K434" s="241"/>
      <c r="L434" s="241"/>
      <c r="M434" s="241"/>
      <c r="N434" s="241"/>
      <c r="O434" s="241"/>
      <c r="P434" s="241"/>
      <c r="Q434" s="241"/>
      <c r="R434" s="241"/>
      <c r="S434" s="241"/>
      <c r="T434" s="241"/>
      <c r="U434" s="241"/>
      <c r="V434" s="241"/>
      <c r="W434" s="241"/>
      <c r="X434" s="241"/>
      <c r="Y434" s="241"/>
      <c r="Z434" s="241"/>
      <c r="AA434" s="241"/>
    </row>
    <row r="435">
      <c r="A435" s="243"/>
      <c r="B435" s="243"/>
      <c r="C435" s="241"/>
      <c r="D435" s="241"/>
      <c r="E435" s="241"/>
      <c r="F435" s="241"/>
      <c r="G435" s="241"/>
      <c r="H435" s="241"/>
      <c r="I435" s="241"/>
      <c r="J435" s="241"/>
      <c r="K435" s="241"/>
      <c r="L435" s="241"/>
      <c r="M435" s="241"/>
      <c r="N435" s="241"/>
      <c r="O435" s="241"/>
      <c r="P435" s="241"/>
      <c r="Q435" s="241"/>
      <c r="R435" s="241"/>
      <c r="S435" s="241"/>
      <c r="T435" s="241"/>
      <c r="U435" s="241"/>
      <c r="V435" s="241"/>
      <c r="W435" s="241"/>
      <c r="X435" s="241"/>
      <c r="Y435" s="241"/>
      <c r="Z435" s="241"/>
      <c r="AA435" s="241"/>
    </row>
    <row r="436">
      <c r="A436" s="243"/>
      <c r="B436" s="243"/>
      <c r="C436" s="241"/>
      <c r="D436" s="241"/>
      <c r="E436" s="241"/>
      <c r="F436" s="241"/>
      <c r="G436" s="241"/>
      <c r="H436" s="241"/>
      <c r="I436" s="241"/>
      <c r="J436" s="241"/>
      <c r="K436" s="241"/>
      <c r="L436" s="241"/>
      <c r="M436" s="241"/>
      <c r="N436" s="241"/>
      <c r="O436" s="241"/>
      <c r="P436" s="241"/>
      <c r="Q436" s="241"/>
      <c r="R436" s="241"/>
      <c r="S436" s="241"/>
      <c r="T436" s="241"/>
      <c r="U436" s="241"/>
      <c r="V436" s="241"/>
      <c r="W436" s="241"/>
      <c r="X436" s="241"/>
      <c r="Y436" s="241"/>
      <c r="Z436" s="241"/>
      <c r="AA436" s="241"/>
    </row>
    <row r="437">
      <c r="A437" s="243"/>
      <c r="B437" s="243"/>
      <c r="C437" s="241"/>
      <c r="D437" s="241"/>
      <c r="E437" s="241"/>
      <c r="F437" s="241"/>
      <c r="G437" s="241"/>
      <c r="H437" s="241"/>
      <c r="I437" s="241"/>
      <c r="J437" s="241"/>
      <c r="K437" s="241"/>
      <c r="L437" s="241"/>
      <c r="M437" s="241"/>
      <c r="N437" s="241"/>
      <c r="O437" s="241"/>
      <c r="P437" s="241"/>
      <c r="Q437" s="241"/>
      <c r="R437" s="241"/>
      <c r="S437" s="241"/>
      <c r="T437" s="241"/>
      <c r="U437" s="241"/>
      <c r="V437" s="241"/>
      <c r="W437" s="241"/>
      <c r="X437" s="241"/>
      <c r="Y437" s="241"/>
      <c r="Z437" s="241"/>
      <c r="AA437" s="241"/>
    </row>
    <row r="438">
      <c r="A438" s="243"/>
      <c r="B438" s="243"/>
      <c r="C438" s="241"/>
      <c r="D438" s="241"/>
      <c r="E438" s="241"/>
      <c r="F438" s="241"/>
      <c r="G438" s="241"/>
      <c r="H438" s="241"/>
      <c r="I438" s="241"/>
      <c r="J438" s="241"/>
      <c r="K438" s="241"/>
      <c r="L438" s="241"/>
      <c r="M438" s="241"/>
      <c r="N438" s="241"/>
      <c r="O438" s="241"/>
      <c r="P438" s="241"/>
      <c r="Q438" s="241"/>
      <c r="R438" s="241"/>
      <c r="S438" s="241"/>
      <c r="T438" s="241"/>
      <c r="U438" s="241"/>
      <c r="V438" s="241"/>
      <c r="W438" s="241"/>
      <c r="X438" s="241"/>
      <c r="Y438" s="241"/>
      <c r="Z438" s="241"/>
      <c r="AA438" s="241"/>
    </row>
    <row r="439">
      <c r="A439" s="243"/>
      <c r="B439" s="243"/>
      <c r="C439" s="241"/>
      <c r="D439" s="241"/>
      <c r="E439" s="241"/>
      <c r="F439" s="241"/>
      <c r="G439" s="241"/>
      <c r="H439" s="241"/>
      <c r="I439" s="241"/>
      <c r="J439" s="241"/>
      <c r="K439" s="241"/>
      <c r="L439" s="241"/>
      <c r="M439" s="241"/>
      <c r="N439" s="241"/>
      <c r="O439" s="241"/>
      <c r="P439" s="241"/>
      <c r="Q439" s="241"/>
      <c r="R439" s="241"/>
      <c r="S439" s="241"/>
      <c r="T439" s="241"/>
      <c r="U439" s="241"/>
      <c r="V439" s="241"/>
      <c r="W439" s="241"/>
      <c r="X439" s="241"/>
      <c r="Y439" s="241"/>
      <c r="Z439" s="241"/>
      <c r="AA439" s="241"/>
    </row>
    <row r="440">
      <c r="A440" s="243"/>
      <c r="B440" s="243"/>
      <c r="C440" s="241"/>
      <c r="D440" s="241"/>
      <c r="E440" s="241"/>
      <c r="F440" s="241"/>
      <c r="G440" s="241"/>
      <c r="H440" s="241"/>
      <c r="I440" s="241"/>
      <c r="J440" s="241"/>
      <c r="K440" s="241"/>
      <c r="L440" s="241"/>
      <c r="M440" s="241"/>
      <c r="N440" s="241"/>
      <c r="O440" s="241"/>
      <c r="P440" s="241"/>
      <c r="Q440" s="241"/>
      <c r="R440" s="241"/>
      <c r="S440" s="241"/>
      <c r="T440" s="241"/>
      <c r="U440" s="241"/>
      <c r="V440" s="241"/>
      <c r="W440" s="241"/>
      <c r="X440" s="241"/>
      <c r="Y440" s="241"/>
      <c r="Z440" s="241"/>
      <c r="AA440" s="241"/>
    </row>
    <row r="441">
      <c r="A441" s="243"/>
      <c r="B441" s="243"/>
      <c r="C441" s="241"/>
      <c r="D441" s="241"/>
      <c r="E441" s="241"/>
      <c r="F441" s="241"/>
      <c r="G441" s="241"/>
      <c r="H441" s="241"/>
      <c r="I441" s="241"/>
      <c r="J441" s="241"/>
      <c r="K441" s="241"/>
      <c r="L441" s="241"/>
      <c r="M441" s="241"/>
      <c r="N441" s="241"/>
      <c r="O441" s="241"/>
      <c r="P441" s="241"/>
      <c r="Q441" s="241"/>
      <c r="R441" s="241"/>
      <c r="S441" s="241"/>
      <c r="T441" s="241"/>
      <c r="U441" s="241"/>
      <c r="V441" s="241"/>
      <c r="W441" s="241"/>
      <c r="X441" s="241"/>
      <c r="Y441" s="241"/>
      <c r="Z441" s="241"/>
      <c r="AA441" s="241"/>
    </row>
    <row r="442">
      <c r="A442" s="243"/>
      <c r="B442" s="243"/>
      <c r="C442" s="241"/>
      <c r="D442" s="241"/>
      <c r="E442" s="241"/>
      <c r="F442" s="241"/>
      <c r="G442" s="241"/>
      <c r="H442" s="241"/>
      <c r="I442" s="241"/>
      <c r="J442" s="241"/>
      <c r="K442" s="241"/>
      <c r="L442" s="241"/>
      <c r="M442" s="241"/>
      <c r="N442" s="241"/>
      <c r="O442" s="241"/>
      <c r="P442" s="241"/>
      <c r="Q442" s="241"/>
      <c r="R442" s="241"/>
      <c r="S442" s="241"/>
      <c r="T442" s="241"/>
      <c r="U442" s="241"/>
      <c r="V442" s="241"/>
      <c r="W442" s="241"/>
      <c r="X442" s="241"/>
      <c r="Y442" s="241"/>
      <c r="Z442" s="241"/>
      <c r="AA442" s="241"/>
    </row>
    <row r="443">
      <c r="A443" s="243"/>
      <c r="B443" s="243"/>
      <c r="C443" s="241"/>
      <c r="D443" s="241"/>
      <c r="E443" s="241"/>
      <c r="F443" s="241"/>
      <c r="G443" s="241"/>
      <c r="H443" s="241"/>
      <c r="I443" s="241"/>
      <c r="J443" s="241"/>
      <c r="K443" s="241"/>
      <c r="L443" s="241"/>
      <c r="M443" s="241"/>
      <c r="N443" s="241"/>
      <c r="O443" s="241"/>
      <c r="P443" s="241"/>
      <c r="Q443" s="241"/>
      <c r="R443" s="241"/>
      <c r="S443" s="241"/>
      <c r="T443" s="241"/>
      <c r="U443" s="241"/>
      <c r="V443" s="241"/>
      <c r="W443" s="241"/>
      <c r="X443" s="241"/>
      <c r="Y443" s="241"/>
      <c r="Z443" s="241"/>
      <c r="AA443" s="241"/>
    </row>
    <row r="444">
      <c r="A444" s="243"/>
      <c r="B444" s="243"/>
      <c r="C444" s="241"/>
      <c r="D444" s="241"/>
      <c r="E444" s="241"/>
      <c r="F444" s="241"/>
      <c r="G444" s="241"/>
      <c r="H444" s="241"/>
      <c r="I444" s="241"/>
      <c r="J444" s="241"/>
      <c r="K444" s="241"/>
      <c r="L444" s="241"/>
      <c r="M444" s="241"/>
      <c r="N444" s="241"/>
      <c r="O444" s="241"/>
      <c r="P444" s="241"/>
      <c r="Q444" s="241"/>
      <c r="R444" s="241"/>
      <c r="S444" s="241"/>
      <c r="T444" s="241"/>
      <c r="U444" s="241"/>
      <c r="V444" s="241"/>
      <c r="W444" s="241"/>
      <c r="X444" s="241"/>
      <c r="Y444" s="241"/>
      <c r="Z444" s="241"/>
      <c r="AA444" s="241"/>
    </row>
    <row r="445">
      <c r="A445" s="243"/>
      <c r="B445" s="243"/>
      <c r="C445" s="241"/>
      <c r="D445" s="241"/>
      <c r="E445" s="241"/>
      <c r="F445" s="241"/>
      <c r="G445" s="241"/>
      <c r="H445" s="241"/>
      <c r="I445" s="241"/>
      <c r="J445" s="241"/>
      <c r="K445" s="241"/>
      <c r="L445" s="241"/>
      <c r="M445" s="241"/>
      <c r="N445" s="241"/>
      <c r="O445" s="241"/>
      <c r="P445" s="241"/>
      <c r="Q445" s="241"/>
      <c r="R445" s="241"/>
      <c r="S445" s="241"/>
      <c r="T445" s="241"/>
      <c r="U445" s="241"/>
      <c r="V445" s="241"/>
      <c r="W445" s="241"/>
      <c r="X445" s="241"/>
      <c r="Y445" s="241"/>
      <c r="Z445" s="241"/>
      <c r="AA445" s="241"/>
    </row>
    <row r="446">
      <c r="A446" s="243"/>
      <c r="B446" s="243"/>
      <c r="C446" s="241"/>
      <c r="D446" s="241"/>
      <c r="E446" s="241"/>
      <c r="F446" s="241"/>
      <c r="G446" s="241"/>
      <c r="H446" s="241"/>
      <c r="I446" s="241"/>
      <c r="J446" s="241"/>
      <c r="K446" s="241"/>
      <c r="L446" s="241"/>
      <c r="M446" s="241"/>
      <c r="N446" s="241"/>
      <c r="O446" s="241"/>
      <c r="P446" s="241"/>
      <c r="Q446" s="241"/>
      <c r="R446" s="241"/>
      <c r="S446" s="241"/>
      <c r="T446" s="241"/>
      <c r="U446" s="241"/>
      <c r="V446" s="241"/>
      <c r="W446" s="241"/>
      <c r="X446" s="241"/>
      <c r="Y446" s="241"/>
      <c r="Z446" s="241"/>
      <c r="AA446" s="241"/>
    </row>
    <row r="447">
      <c r="A447" s="243"/>
      <c r="B447" s="243"/>
      <c r="C447" s="241"/>
      <c r="D447" s="241"/>
      <c r="E447" s="241"/>
      <c r="F447" s="241"/>
      <c r="G447" s="241"/>
      <c r="H447" s="241"/>
      <c r="I447" s="241"/>
      <c r="J447" s="241"/>
      <c r="K447" s="241"/>
      <c r="L447" s="241"/>
      <c r="M447" s="241"/>
      <c r="N447" s="241"/>
      <c r="O447" s="241"/>
      <c r="P447" s="241"/>
      <c r="Q447" s="241"/>
      <c r="R447" s="241"/>
      <c r="S447" s="241"/>
      <c r="T447" s="241"/>
      <c r="U447" s="241"/>
      <c r="V447" s="241"/>
      <c r="W447" s="241"/>
      <c r="X447" s="241"/>
      <c r="Y447" s="241"/>
      <c r="Z447" s="241"/>
      <c r="AA447" s="241"/>
    </row>
    <row r="448">
      <c r="A448" s="243"/>
      <c r="B448" s="243"/>
      <c r="C448" s="241"/>
      <c r="D448" s="241"/>
      <c r="E448" s="241"/>
      <c r="F448" s="241"/>
      <c r="G448" s="241"/>
      <c r="H448" s="241"/>
      <c r="I448" s="241"/>
      <c r="J448" s="241"/>
      <c r="K448" s="241"/>
      <c r="L448" s="241"/>
      <c r="M448" s="241"/>
      <c r="N448" s="241"/>
      <c r="O448" s="241"/>
      <c r="P448" s="241"/>
      <c r="Q448" s="241"/>
      <c r="R448" s="241"/>
      <c r="S448" s="241"/>
      <c r="T448" s="241"/>
      <c r="U448" s="241"/>
      <c r="V448" s="241"/>
      <c r="W448" s="241"/>
      <c r="X448" s="241"/>
      <c r="Y448" s="241"/>
      <c r="Z448" s="241"/>
      <c r="AA448" s="241"/>
    </row>
    <row r="449">
      <c r="A449" s="243"/>
      <c r="B449" s="243"/>
      <c r="C449" s="241"/>
      <c r="D449" s="241"/>
      <c r="E449" s="241"/>
      <c r="F449" s="241"/>
      <c r="G449" s="241"/>
      <c r="H449" s="241"/>
      <c r="I449" s="241"/>
      <c r="J449" s="241"/>
      <c r="K449" s="241"/>
      <c r="L449" s="241"/>
      <c r="M449" s="241"/>
      <c r="N449" s="241"/>
      <c r="O449" s="241"/>
      <c r="P449" s="241"/>
      <c r="Q449" s="241"/>
      <c r="R449" s="241"/>
      <c r="S449" s="241"/>
      <c r="T449" s="241"/>
      <c r="U449" s="241"/>
      <c r="V449" s="241"/>
      <c r="W449" s="241"/>
      <c r="X449" s="241"/>
      <c r="Y449" s="241"/>
      <c r="Z449" s="241"/>
      <c r="AA449" s="241"/>
    </row>
    <row r="450">
      <c r="A450" s="243"/>
      <c r="B450" s="243"/>
      <c r="C450" s="241"/>
      <c r="D450" s="241"/>
      <c r="E450" s="241"/>
      <c r="F450" s="241"/>
      <c r="G450" s="241"/>
      <c r="H450" s="241"/>
      <c r="I450" s="241"/>
      <c r="J450" s="241"/>
      <c r="K450" s="241"/>
      <c r="L450" s="241"/>
      <c r="M450" s="241"/>
      <c r="N450" s="241"/>
      <c r="O450" s="241"/>
      <c r="P450" s="241"/>
      <c r="Q450" s="241"/>
      <c r="R450" s="241"/>
      <c r="S450" s="241"/>
      <c r="T450" s="241"/>
      <c r="U450" s="241"/>
      <c r="V450" s="241"/>
      <c r="W450" s="241"/>
      <c r="X450" s="241"/>
      <c r="Y450" s="241"/>
      <c r="Z450" s="241"/>
      <c r="AA450" s="241"/>
    </row>
    <row r="451">
      <c r="A451" s="243"/>
      <c r="B451" s="243"/>
      <c r="C451" s="241"/>
      <c r="D451" s="241"/>
      <c r="E451" s="241"/>
      <c r="F451" s="241"/>
      <c r="G451" s="241"/>
      <c r="H451" s="241"/>
      <c r="I451" s="241"/>
      <c r="J451" s="241"/>
      <c r="K451" s="241"/>
      <c r="L451" s="241"/>
      <c r="M451" s="241"/>
      <c r="N451" s="241"/>
      <c r="O451" s="241"/>
      <c r="P451" s="241"/>
      <c r="Q451" s="241"/>
      <c r="R451" s="241"/>
      <c r="S451" s="241"/>
      <c r="T451" s="241"/>
      <c r="U451" s="241"/>
      <c r="V451" s="241"/>
      <c r="W451" s="241"/>
      <c r="X451" s="241"/>
      <c r="Y451" s="241"/>
      <c r="Z451" s="241"/>
      <c r="AA451" s="241"/>
    </row>
    <row r="452">
      <c r="A452" s="243"/>
      <c r="B452" s="243"/>
      <c r="C452" s="241"/>
      <c r="D452" s="241"/>
      <c r="E452" s="241"/>
      <c r="F452" s="241"/>
      <c r="G452" s="241"/>
      <c r="H452" s="241"/>
      <c r="I452" s="241"/>
      <c r="J452" s="241"/>
      <c r="K452" s="241"/>
      <c r="L452" s="241"/>
      <c r="M452" s="241"/>
      <c r="N452" s="241"/>
      <c r="O452" s="241"/>
      <c r="P452" s="241"/>
      <c r="Q452" s="241"/>
      <c r="R452" s="241"/>
      <c r="S452" s="241"/>
      <c r="T452" s="241"/>
      <c r="U452" s="241"/>
      <c r="V452" s="241"/>
      <c r="W452" s="241"/>
      <c r="X452" s="241"/>
      <c r="Y452" s="241"/>
      <c r="Z452" s="241"/>
      <c r="AA452" s="241"/>
    </row>
    <row r="453">
      <c r="A453" s="243"/>
      <c r="B453" s="243"/>
      <c r="C453" s="241"/>
      <c r="D453" s="241"/>
      <c r="E453" s="241"/>
      <c r="F453" s="241"/>
      <c r="G453" s="241"/>
      <c r="H453" s="241"/>
      <c r="I453" s="241"/>
      <c r="J453" s="241"/>
      <c r="K453" s="241"/>
      <c r="L453" s="241"/>
      <c r="M453" s="241"/>
      <c r="N453" s="241"/>
      <c r="O453" s="241"/>
      <c r="P453" s="241"/>
      <c r="Q453" s="241"/>
      <c r="R453" s="241"/>
      <c r="S453" s="241"/>
      <c r="T453" s="241"/>
      <c r="U453" s="241"/>
      <c r="V453" s="241"/>
      <c r="W453" s="241"/>
      <c r="X453" s="241"/>
      <c r="Y453" s="241"/>
      <c r="Z453" s="241"/>
      <c r="AA453" s="241"/>
    </row>
    <row r="454">
      <c r="A454" s="243"/>
      <c r="B454" s="243"/>
      <c r="C454" s="241"/>
      <c r="D454" s="241"/>
      <c r="E454" s="241"/>
      <c r="F454" s="241"/>
      <c r="G454" s="241"/>
      <c r="H454" s="241"/>
      <c r="I454" s="241"/>
      <c r="J454" s="241"/>
      <c r="K454" s="241"/>
      <c r="L454" s="241"/>
      <c r="M454" s="241"/>
      <c r="N454" s="241"/>
      <c r="O454" s="241"/>
      <c r="P454" s="241"/>
      <c r="Q454" s="241"/>
      <c r="R454" s="241"/>
      <c r="S454" s="241"/>
      <c r="T454" s="241"/>
      <c r="U454" s="241"/>
      <c r="V454" s="241"/>
      <c r="W454" s="241"/>
      <c r="X454" s="241"/>
      <c r="Y454" s="241"/>
      <c r="Z454" s="241"/>
      <c r="AA454" s="241"/>
    </row>
    <row r="455">
      <c r="A455" s="243"/>
      <c r="B455" s="243"/>
      <c r="C455" s="241"/>
      <c r="D455" s="241"/>
      <c r="E455" s="241"/>
      <c r="F455" s="241"/>
      <c r="G455" s="241"/>
      <c r="H455" s="241"/>
      <c r="I455" s="241"/>
      <c r="J455" s="241"/>
      <c r="K455" s="241"/>
      <c r="L455" s="241"/>
      <c r="M455" s="241"/>
      <c r="N455" s="241"/>
      <c r="O455" s="241"/>
      <c r="P455" s="241"/>
      <c r="Q455" s="241"/>
      <c r="R455" s="241"/>
      <c r="S455" s="241"/>
      <c r="T455" s="241"/>
      <c r="U455" s="241"/>
      <c r="V455" s="241"/>
      <c r="W455" s="241"/>
      <c r="X455" s="241"/>
      <c r="Y455" s="241"/>
      <c r="Z455" s="241"/>
      <c r="AA455" s="241"/>
    </row>
    <row r="456">
      <c r="A456" s="243"/>
      <c r="B456" s="243"/>
      <c r="C456" s="241"/>
      <c r="D456" s="241"/>
      <c r="E456" s="241"/>
      <c r="F456" s="241"/>
      <c r="G456" s="241"/>
      <c r="H456" s="241"/>
      <c r="I456" s="241"/>
      <c r="J456" s="241"/>
      <c r="K456" s="241"/>
      <c r="L456" s="241"/>
      <c r="M456" s="241"/>
      <c r="N456" s="241"/>
      <c r="O456" s="241"/>
      <c r="P456" s="241"/>
      <c r="Q456" s="241"/>
      <c r="R456" s="241"/>
      <c r="S456" s="241"/>
      <c r="T456" s="241"/>
      <c r="U456" s="241"/>
      <c r="V456" s="241"/>
      <c r="W456" s="241"/>
      <c r="X456" s="241"/>
      <c r="Y456" s="241"/>
      <c r="Z456" s="241"/>
      <c r="AA456" s="241"/>
    </row>
    <row r="457">
      <c r="A457" s="243"/>
      <c r="B457" s="243"/>
      <c r="C457" s="241"/>
      <c r="D457" s="241"/>
      <c r="E457" s="241"/>
      <c r="F457" s="241"/>
      <c r="G457" s="241"/>
      <c r="H457" s="241"/>
      <c r="I457" s="241"/>
      <c r="J457" s="241"/>
      <c r="K457" s="241"/>
      <c r="L457" s="241"/>
      <c r="M457" s="241"/>
      <c r="N457" s="241"/>
      <c r="O457" s="241"/>
      <c r="P457" s="241"/>
      <c r="Q457" s="241"/>
      <c r="R457" s="241"/>
      <c r="S457" s="241"/>
      <c r="T457" s="241"/>
      <c r="U457" s="241"/>
      <c r="V457" s="241"/>
      <c r="W457" s="241"/>
      <c r="X457" s="241"/>
      <c r="Y457" s="241"/>
      <c r="Z457" s="241"/>
      <c r="AA457" s="241"/>
    </row>
    <row r="458">
      <c r="A458" s="243"/>
      <c r="B458" s="243"/>
      <c r="C458" s="241"/>
      <c r="D458" s="241"/>
      <c r="E458" s="241"/>
      <c r="F458" s="241"/>
      <c r="G458" s="241"/>
      <c r="H458" s="241"/>
      <c r="I458" s="241"/>
      <c r="J458" s="241"/>
      <c r="K458" s="241"/>
      <c r="L458" s="241"/>
      <c r="M458" s="241"/>
      <c r="N458" s="241"/>
      <c r="O458" s="241"/>
      <c r="P458" s="241"/>
      <c r="Q458" s="241"/>
      <c r="R458" s="241"/>
      <c r="S458" s="241"/>
      <c r="T458" s="241"/>
      <c r="U458" s="241"/>
      <c r="V458" s="241"/>
      <c r="W458" s="241"/>
      <c r="X458" s="241"/>
      <c r="Y458" s="241"/>
      <c r="Z458" s="241"/>
      <c r="AA458" s="241"/>
    </row>
    <row r="459">
      <c r="A459" s="243"/>
      <c r="B459" s="243"/>
      <c r="C459" s="241"/>
      <c r="D459" s="241"/>
      <c r="E459" s="241"/>
      <c r="F459" s="241"/>
      <c r="G459" s="241"/>
      <c r="H459" s="241"/>
      <c r="I459" s="241"/>
      <c r="J459" s="241"/>
      <c r="K459" s="241"/>
      <c r="L459" s="241"/>
      <c r="M459" s="241"/>
      <c r="N459" s="241"/>
      <c r="O459" s="241"/>
      <c r="P459" s="241"/>
      <c r="Q459" s="241"/>
      <c r="R459" s="241"/>
      <c r="S459" s="241"/>
      <c r="T459" s="241"/>
      <c r="U459" s="241"/>
      <c r="V459" s="241"/>
      <c r="W459" s="241"/>
      <c r="X459" s="241"/>
      <c r="Y459" s="241"/>
      <c r="Z459" s="241"/>
      <c r="AA459" s="241"/>
    </row>
    <row r="460">
      <c r="A460" s="243"/>
      <c r="B460" s="243"/>
      <c r="C460" s="241"/>
      <c r="D460" s="241"/>
      <c r="E460" s="241"/>
      <c r="F460" s="241"/>
      <c r="G460" s="241"/>
      <c r="H460" s="241"/>
      <c r="I460" s="241"/>
      <c r="J460" s="241"/>
      <c r="K460" s="241"/>
      <c r="L460" s="241"/>
      <c r="M460" s="241"/>
      <c r="N460" s="241"/>
      <c r="O460" s="241"/>
      <c r="P460" s="241"/>
      <c r="Q460" s="241"/>
      <c r="R460" s="241"/>
      <c r="S460" s="241"/>
      <c r="T460" s="241"/>
      <c r="U460" s="241"/>
      <c r="V460" s="241"/>
      <c r="W460" s="241"/>
      <c r="X460" s="241"/>
      <c r="Y460" s="241"/>
      <c r="Z460" s="241"/>
      <c r="AA460" s="241"/>
    </row>
    <row r="461">
      <c r="A461" s="243"/>
      <c r="B461" s="243"/>
      <c r="C461" s="241"/>
      <c r="D461" s="241"/>
      <c r="E461" s="241"/>
      <c r="F461" s="241"/>
      <c r="G461" s="241"/>
      <c r="H461" s="241"/>
      <c r="I461" s="241"/>
      <c r="J461" s="241"/>
      <c r="K461" s="241"/>
      <c r="L461" s="241"/>
      <c r="M461" s="241"/>
      <c r="N461" s="241"/>
      <c r="O461" s="241"/>
      <c r="P461" s="241"/>
      <c r="Q461" s="241"/>
      <c r="R461" s="241"/>
      <c r="S461" s="241"/>
      <c r="T461" s="241"/>
      <c r="U461" s="241"/>
      <c r="V461" s="241"/>
      <c r="W461" s="241"/>
      <c r="X461" s="241"/>
      <c r="Y461" s="241"/>
      <c r="Z461" s="241"/>
      <c r="AA461" s="241"/>
    </row>
    <row r="462">
      <c r="A462" s="243"/>
      <c r="B462" s="243"/>
      <c r="C462" s="241"/>
      <c r="D462" s="241"/>
      <c r="E462" s="241"/>
      <c r="F462" s="241"/>
      <c r="G462" s="241"/>
      <c r="H462" s="241"/>
      <c r="I462" s="241"/>
      <c r="J462" s="241"/>
      <c r="K462" s="241"/>
      <c r="L462" s="241"/>
      <c r="M462" s="241"/>
      <c r="N462" s="241"/>
      <c r="O462" s="241"/>
      <c r="P462" s="241"/>
      <c r="Q462" s="241"/>
      <c r="R462" s="241"/>
      <c r="S462" s="241"/>
      <c r="T462" s="241"/>
      <c r="U462" s="241"/>
      <c r="V462" s="241"/>
      <c r="W462" s="241"/>
      <c r="X462" s="241"/>
      <c r="Y462" s="241"/>
      <c r="Z462" s="241"/>
      <c r="AA462" s="241"/>
    </row>
    <row r="463">
      <c r="A463" s="243"/>
      <c r="B463" s="243"/>
      <c r="C463" s="241"/>
      <c r="D463" s="241"/>
      <c r="E463" s="241"/>
      <c r="F463" s="241"/>
      <c r="G463" s="241"/>
      <c r="H463" s="241"/>
      <c r="I463" s="241"/>
      <c r="J463" s="241"/>
      <c r="K463" s="241"/>
      <c r="L463" s="241"/>
      <c r="M463" s="241"/>
      <c r="N463" s="241"/>
      <c r="O463" s="241"/>
      <c r="P463" s="241"/>
      <c r="Q463" s="241"/>
      <c r="R463" s="241"/>
      <c r="S463" s="241"/>
      <c r="T463" s="241"/>
      <c r="U463" s="241"/>
      <c r="V463" s="241"/>
      <c r="W463" s="241"/>
      <c r="X463" s="241"/>
      <c r="Y463" s="241"/>
      <c r="Z463" s="241"/>
      <c r="AA463" s="241"/>
    </row>
    <row r="464">
      <c r="A464" s="243"/>
      <c r="B464" s="243"/>
      <c r="C464" s="241"/>
      <c r="D464" s="241"/>
      <c r="E464" s="241"/>
      <c r="F464" s="241"/>
      <c r="G464" s="241"/>
      <c r="H464" s="241"/>
      <c r="I464" s="241"/>
      <c r="J464" s="241"/>
      <c r="K464" s="241"/>
      <c r="L464" s="241"/>
      <c r="M464" s="241"/>
      <c r="N464" s="241"/>
      <c r="O464" s="241"/>
      <c r="P464" s="241"/>
      <c r="Q464" s="241"/>
      <c r="R464" s="241"/>
      <c r="S464" s="241"/>
      <c r="T464" s="241"/>
      <c r="U464" s="241"/>
      <c r="V464" s="241"/>
      <c r="W464" s="241"/>
      <c r="X464" s="241"/>
      <c r="Y464" s="241"/>
      <c r="Z464" s="241"/>
      <c r="AA464" s="241"/>
    </row>
    <row r="465">
      <c r="A465" s="243"/>
      <c r="B465" s="243"/>
      <c r="C465" s="241"/>
      <c r="D465" s="241"/>
      <c r="E465" s="241"/>
      <c r="F465" s="241"/>
      <c r="G465" s="241"/>
      <c r="H465" s="241"/>
      <c r="I465" s="241"/>
      <c r="J465" s="241"/>
      <c r="K465" s="241"/>
      <c r="L465" s="241"/>
      <c r="M465" s="241"/>
      <c r="N465" s="241"/>
      <c r="O465" s="241"/>
      <c r="P465" s="241"/>
      <c r="Q465" s="241"/>
      <c r="R465" s="241"/>
      <c r="S465" s="241"/>
      <c r="T465" s="241"/>
      <c r="U465" s="241"/>
      <c r="V465" s="241"/>
      <c r="W465" s="241"/>
      <c r="X465" s="241"/>
      <c r="Y465" s="241"/>
      <c r="Z465" s="241"/>
      <c r="AA465" s="241"/>
    </row>
    <row r="466">
      <c r="A466" s="243"/>
      <c r="B466" s="243"/>
      <c r="C466" s="241"/>
      <c r="D466" s="241"/>
      <c r="E466" s="241"/>
      <c r="F466" s="241"/>
      <c r="G466" s="241"/>
      <c r="H466" s="241"/>
      <c r="I466" s="241"/>
      <c r="J466" s="241"/>
      <c r="K466" s="241"/>
      <c r="L466" s="241"/>
      <c r="M466" s="241"/>
      <c r="N466" s="241"/>
      <c r="O466" s="241"/>
      <c r="P466" s="241"/>
      <c r="Q466" s="241"/>
      <c r="R466" s="241"/>
      <c r="S466" s="241"/>
      <c r="T466" s="241"/>
      <c r="U466" s="241"/>
      <c r="V466" s="241"/>
      <c r="W466" s="241"/>
      <c r="X466" s="241"/>
      <c r="Y466" s="241"/>
      <c r="Z466" s="241"/>
      <c r="AA466" s="241"/>
    </row>
    <row r="467">
      <c r="A467" s="243"/>
      <c r="B467" s="243"/>
      <c r="C467" s="241"/>
      <c r="D467" s="241"/>
      <c r="E467" s="241"/>
      <c r="F467" s="241"/>
      <c r="G467" s="241"/>
      <c r="H467" s="241"/>
      <c r="I467" s="241"/>
      <c r="J467" s="241"/>
      <c r="K467" s="241"/>
      <c r="L467" s="241"/>
      <c r="M467" s="241"/>
      <c r="N467" s="241"/>
      <c r="O467" s="241"/>
      <c r="P467" s="241"/>
      <c r="Q467" s="241"/>
      <c r="R467" s="241"/>
      <c r="S467" s="241"/>
      <c r="T467" s="241"/>
      <c r="U467" s="241"/>
      <c r="V467" s="241"/>
      <c r="W467" s="241"/>
      <c r="X467" s="241"/>
      <c r="Y467" s="241"/>
      <c r="Z467" s="241"/>
      <c r="AA467" s="241"/>
    </row>
    <row r="468">
      <c r="A468" s="243"/>
      <c r="B468" s="243"/>
      <c r="C468" s="241"/>
      <c r="D468" s="241"/>
      <c r="E468" s="241"/>
      <c r="F468" s="241"/>
      <c r="G468" s="241"/>
      <c r="H468" s="241"/>
      <c r="I468" s="241"/>
      <c r="J468" s="241"/>
      <c r="K468" s="241"/>
      <c r="L468" s="241"/>
      <c r="M468" s="241"/>
      <c r="N468" s="241"/>
      <c r="O468" s="241"/>
      <c r="P468" s="241"/>
      <c r="Q468" s="241"/>
      <c r="R468" s="241"/>
      <c r="S468" s="241"/>
      <c r="T468" s="241"/>
      <c r="U468" s="241"/>
      <c r="V468" s="241"/>
      <c r="W468" s="241"/>
      <c r="X468" s="241"/>
      <c r="Y468" s="241"/>
      <c r="Z468" s="241"/>
      <c r="AA468" s="241"/>
    </row>
    <row r="469">
      <c r="A469" s="243"/>
      <c r="B469" s="243"/>
      <c r="C469" s="241"/>
      <c r="D469" s="241"/>
      <c r="E469" s="241"/>
      <c r="F469" s="241"/>
      <c r="G469" s="241"/>
      <c r="H469" s="241"/>
      <c r="I469" s="241"/>
      <c r="J469" s="241"/>
      <c r="K469" s="241"/>
      <c r="L469" s="241"/>
      <c r="M469" s="241"/>
      <c r="N469" s="241"/>
      <c r="O469" s="241"/>
      <c r="P469" s="241"/>
      <c r="Q469" s="241"/>
      <c r="R469" s="241"/>
      <c r="S469" s="241"/>
      <c r="T469" s="241"/>
      <c r="U469" s="241"/>
      <c r="V469" s="241"/>
      <c r="W469" s="241"/>
      <c r="X469" s="241"/>
      <c r="Y469" s="241"/>
      <c r="Z469" s="241"/>
      <c r="AA469" s="241"/>
    </row>
    <row r="470">
      <c r="A470" s="243"/>
      <c r="B470" s="243"/>
      <c r="C470" s="241"/>
      <c r="D470" s="241"/>
      <c r="E470" s="241"/>
      <c r="F470" s="241"/>
      <c r="G470" s="241"/>
      <c r="H470" s="241"/>
      <c r="I470" s="241"/>
      <c r="J470" s="241"/>
      <c r="K470" s="241"/>
      <c r="L470" s="241"/>
      <c r="M470" s="241"/>
      <c r="N470" s="241"/>
      <c r="O470" s="241"/>
      <c r="P470" s="241"/>
      <c r="Q470" s="241"/>
      <c r="R470" s="241"/>
      <c r="S470" s="241"/>
      <c r="T470" s="241"/>
      <c r="U470" s="241"/>
      <c r="V470" s="241"/>
      <c r="W470" s="241"/>
      <c r="X470" s="241"/>
      <c r="Y470" s="241"/>
      <c r="Z470" s="241"/>
      <c r="AA470" s="241"/>
    </row>
    <row r="471">
      <c r="A471" s="243"/>
      <c r="B471" s="243"/>
      <c r="C471" s="241"/>
      <c r="D471" s="241"/>
      <c r="E471" s="241"/>
      <c r="F471" s="241"/>
      <c r="G471" s="241"/>
      <c r="H471" s="241"/>
      <c r="I471" s="241"/>
      <c r="J471" s="241"/>
      <c r="K471" s="241"/>
      <c r="L471" s="241"/>
      <c r="M471" s="241"/>
      <c r="N471" s="241"/>
      <c r="O471" s="241"/>
      <c r="P471" s="241"/>
      <c r="Q471" s="241"/>
      <c r="R471" s="241"/>
      <c r="S471" s="241"/>
      <c r="T471" s="241"/>
      <c r="U471" s="241"/>
      <c r="V471" s="241"/>
      <c r="W471" s="241"/>
      <c r="X471" s="241"/>
      <c r="Y471" s="241"/>
      <c r="Z471" s="241"/>
      <c r="AA471" s="241"/>
    </row>
    <row r="472">
      <c r="A472" s="243"/>
      <c r="B472" s="243"/>
      <c r="C472" s="241"/>
      <c r="D472" s="241"/>
      <c r="E472" s="241"/>
      <c r="F472" s="241"/>
      <c r="G472" s="241"/>
      <c r="H472" s="241"/>
      <c r="I472" s="241"/>
      <c r="J472" s="241"/>
      <c r="K472" s="241"/>
      <c r="L472" s="241"/>
      <c r="M472" s="241"/>
      <c r="N472" s="241"/>
      <c r="O472" s="241"/>
      <c r="P472" s="241"/>
      <c r="Q472" s="241"/>
      <c r="R472" s="241"/>
      <c r="S472" s="241"/>
      <c r="T472" s="241"/>
      <c r="U472" s="241"/>
      <c r="V472" s="241"/>
      <c r="W472" s="241"/>
      <c r="X472" s="241"/>
      <c r="Y472" s="241"/>
      <c r="Z472" s="241"/>
      <c r="AA472" s="241"/>
    </row>
    <row r="473">
      <c r="A473" s="243"/>
      <c r="B473" s="243"/>
      <c r="C473" s="241"/>
      <c r="D473" s="241"/>
      <c r="E473" s="241"/>
      <c r="F473" s="241"/>
      <c r="G473" s="241"/>
      <c r="H473" s="241"/>
      <c r="I473" s="241"/>
      <c r="J473" s="241"/>
      <c r="K473" s="241"/>
      <c r="L473" s="241"/>
      <c r="M473" s="241"/>
      <c r="N473" s="241"/>
      <c r="O473" s="241"/>
      <c r="P473" s="241"/>
      <c r="Q473" s="241"/>
      <c r="R473" s="241"/>
      <c r="S473" s="241"/>
      <c r="T473" s="241"/>
      <c r="U473" s="241"/>
      <c r="V473" s="241"/>
      <c r="W473" s="241"/>
      <c r="X473" s="241"/>
      <c r="Y473" s="241"/>
      <c r="Z473" s="241"/>
      <c r="AA473" s="241"/>
    </row>
    <row r="474">
      <c r="A474" s="243"/>
      <c r="B474" s="243"/>
      <c r="C474" s="241"/>
      <c r="D474" s="241"/>
      <c r="E474" s="241"/>
      <c r="F474" s="241"/>
      <c r="G474" s="241"/>
      <c r="H474" s="241"/>
      <c r="I474" s="241"/>
      <c r="J474" s="241"/>
      <c r="K474" s="241"/>
      <c r="L474" s="241"/>
      <c r="M474" s="241"/>
      <c r="N474" s="241"/>
      <c r="O474" s="241"/>
      <c r="P474" s="241"/>
      <c r="Q474" s="241"/>
      <c r="R474" s="241"/>
      <c r="S474" s="241"/>
      <c r="T474" s="241"/>
      <c r="U474" s="241"/>
      <c r="V474" s="241"/>
      <c r="W474" s="241"/>
      <c r="X474" s="241"/>
      <c r="Y474" s="241"/>
      <c r="Z474" s="241"/>
      <c r="AA474" s="241"/>
    </row>
    <row r="475">
      <c r="A475" s="243"/>
      <c r="B475" s="243"/>
      <c r="C475" s="241"/>
      <c r="D475" s="241"/>
      <c r="E475" s="241"/>
      <c r="F475" s="241"/>
      <c r="G475" s="241"/>
      <c r="H475" s="241"/>
      <c r="I475" s="241"/>
      <c r="J475" s="241"/>
      <c r="K475" s="241"/>
      <c r="L475" s="241"/>
      <c r="M475" s="241"/>
      <c r="N475" s="241"/>
      <c r="O475" s="241"/>
      <c r="P475" s="241"/>
      <c r="Q475" s="241"/>
      <c r="R475" s="241"/>
      <c r="S475" s="241"/>
      <c r="T475" s="241"/>
      <c r="U475" s="241"/>
      <c r="V475" s="241"/>
      <c r="W475" s="241"/>
      <c r="X475" s="241"/>
      <c r="Y475" s="241"/>
      <c r="Z475" s="241"/>
      <c r="AA475" s="241"/>
    </row>
    <row r="476">
      <c r="A476" s="243"/>
      <c r="B476" s="243"/>
      <c r="C476" s="241"/>
      <c r="D476" s="241"/>
      <c r="E476" s="241"/>
      <c r="F476" s="241"/>
      <c r="G476" s="241"/>
      <c r="H476" s="241"/>
      <c r="I476" s="241"/>
      <c r="J476" s="241"/>
      <c r="K476" s="241"/>
      <c r="L476" s="241"/>
      <c r="M476" s="241"/>
      <c r="N476" s="241"/>
      <c r="O476" s="241"/>
      <c r="P476" s="241"/>
      <c r="Q476" s="241"/>
      <c r="R476" s="241"/>
      <c r="S476" s="241"/>
      <c r="T476" s="241"/>
      <c r="U476" s="241"/>
      <c r="V476" s="241"/>
      <c r="W476" s="241"/>
      <c r="X476" s="241"/>
      <c r="Y476" s="241"/>
      <c r="Z476" s="241"/>
      <c r="AA476" s="241"/>
    </row>
    <row r="477">
      <c r="A477" s="243"/>
      <c r="B477" s="243"/>
      <c r="C477" s="241"/>
      <c r="D477" s="241"/>
      <c r="E477" s="241"/>
      <c r="F477" s="241"/>
      <c r="G477" s="241"/>
      <c r="H477" s="241"/>
      <c r="I477" s="241"/>
      <c r="J477" s="241"/>
      <c r="K477" s="241"/>
      <c r="L477" s="241"/>
      <c r="M477" s="241"/>
      <c r="N477" s="241"/>
      <c r="O477" s="241"/>
      <c r="P477" s="241"/>
      <c r="Q477" s="241"/>
      <c r="R477" s="241"/>
      <c r="S477" s="241"/>
      <c r="T477" s="241"/>
      <c r="U477" s="241"/>
      <c r="V477" s="241"/>
      <c r="W477" s="241"/>
      <c r="X477" s="241"/>
      <c r="Y477" s="241"/>
      <c r="Z477" s="241"/>
      <c r="AA477" s="241"/>
    </row>
    <row r="478">
      <c r="A478" s="243"/>
      <c r="B478" s="243"/>
      <c r="C478" s="241"/>
      <c r="D478" s="241"/>
      <c r="E478" s="241"/>
      <c r="F478" s="241"/>
      <c r="G478" s="241"/>
      <c r="H478" s="241"/>
      <c r="I478" s="241"/>
      <c r="J478" s="241"/>
      <c r="K478" s="241"/>
      <c r="L478" s="241"/>
      <c r="M478" s="241"/>
      <c r="N478" s="241"/>
      <c r="O478" s="241"/>
      <c r="P478" s="241"/>
      <c r="Q478" s="241"/>
      <c r="R478" s="241"/>
      <c r="S478" s="241"/>
      <c r="T478" s="241"/>
      <c r="U478" s="241"/>
      <c r="V478" s="241"/>
      <c r="W478" s="241"/>
      <c r="X478" s="241"/>
      <c r="Y478" s="241"/>
      <c r="Z478" s="241"/>
      <c r="AA478" s="241"/>
    </row>
    <row r="479">
      <c r="A479" s="243"/>
      <c r="B479" s="243"/>
      <c r="C479" s="241"/>
      <c r="D479" s="241"/>
      <c r="E479" s="241"/>
      <c r="F479" s="241"/>
      <c r="G479" s="241"/>
      <c r="H479" s="241"/>
      <c r="I479" s="241"/>
      <c r="J479" s="241"/>
      <c r="K479" s="241"/>
      <c r="L479" s="241"/>
      <c r="M479" s="241"/>
      <c r="N479" s="241"/>
      <c r="O479" s="241"/>
      <c r="P479" s="241"/>
      <c r="Q479" s="241"/>
      <c r="R479" s="241"/>
      <c r="S479" s="241"/>
      <c r="T479" s="241"/>
      <c r="U479" s="241"/>
      <c r="V479" s="241"/>
      <c r="W479" s="241"/>
      <c r="X479" s="241"/>
      <c r="Y479" s="241"/>
      <c r="Z479" s="241"/>
      <c r="AA479" s="241"/>
    </row>
    <row r="480">
      <c r="A480" s="243"/>
      <c r="B480" s="243"/>
      <c r="C480" s="241"/>
      <c r="D480" s="241"/>
      <c r="E480" s="241"/>
      <c r="F480" s="241"/>
      <c r="G480" s="241"/>
      <c r="H480" s="241"/>
      <c r="I480" s="241"/>
      <c r="J480" s="241"/>
      <c r="K480" s="241"/>
      <c r="L480" s="241"/>
      <c r="M480" s="241"/>
      <c r="N480" s="241"/>
      <c r="O480" s="241"/>
      <c r="P480" s="241"/>
      <c r="Q480" s="241"/>
      <c r="R480" s="241"/>
      <c r="S480" s="241"/>
      <c r="T480" s="241"/>
      <c r="U480" s="241"/>
      <c r="V480" s="241"/>
      <c r="W480" s="241"/>
      <c r="X480" s="241"/>
      <c r="Y480" s="241"/>
      <c r="Z480" s="241"/>
      <c r="AA480" s="241"/>
    </row>
    <row r="481">
      <c r="A481" s="243"/>
      <c r="B481" s="243"/>
      <c r="C481" s="241"/>
      <c r="D481" s="241"/>
      <c r="E481" s="241"/>
      <c r="F481" s="241"/>
      <c r="G481" s="241"/>
      <c r="H481" s="241"/>
      <c r="I481" s="241"/>
      <c r="J481" s="241"/>
      <c r="K481" s="241"/>
      <c r="L481" s="241"/>
      <c r="M481" s="241"/>
      <c r="N481" s="241"/>
      <c r="O481" s="241"/>
      <c r="P481" s="241"/>
      <c r="Q481" s="241"/>
      <c r="R481" s="241"/>
      <c r="S481" s="241"/>
      <c r="T481" s="241"/>
      <c r="U481" s="241"/>
      <c r="V481" s="241"/>
      <c r="W481" s="241"/>
      <c r="X481" s="241"/>
      <c r="Y481" s="241"/>
      <c r="Z481" s="241"/>
      <c r="AA481" s="241"/>
    </row>
    <row r="482">
      <c r="A482" s="243"/>
      <c r="B482" s="243"/>
      <c r="C482" s="241"/>
      <c r="D482" s="241"/>
      <c r="E482" s="241"/>
      <c r="F482" s="241"/>
      <c r="G482" s="241"/>
      <c r="H482" s="241"/>
      <c r="I482" s="241"/>
      <c r="J482" s="241"/>
      <c r="K482" s="241"/>
      <c r="L482" s="241"/>
      <c r="M482" s="241"/>
      <c r="N482" s="241"/>
      <c r="O482" s="241"/>
      <c r="P482" s="241"/>
      <c r="Q482" s="241"/>
      <c r="R482" s="241"/>
      <c r="S482" s="241"/>
      <c r="T482" s="241"/>
      <c r="U482" s="241"/>
      <c r="V482" s="241"/>
      <c r="W482" s="241"/>
      <c r="X482" s="241"/>
      <c r="Y482" s="241"/>
      <c r="Z482" s="241"/>
      <c r="AA482" s="241"/>
    </row>
    <row r="483">
      <c r="A483" s="243"/>
      <c r="B483" s="243"/>
      <c r="C483" s="241"/>
      <c r="D483" s="241"/>
      <c r="E483" s="241"/>
      <c r="F483" s="241"/>
      <c r="G483" s="241"/>
      <c r="H483" s="241"/>
      <c r="I483" s="241"/>
      <c r="J483" s="241"/>
      <c r="K483" s="241"/>
      <c r="L483" s="241"/>
      <c r="M483" s="241"/>
      <c r="N483" s="241"/>
      <c r="O483" s="241"/>
      <c r="P483" s="241"/>
      <c r="Q483" s="241"/>
      <c r="R483" s="241"/>
      <c r="S483" s="241"/>
      <c r="T483" s="241"/>
      <c r="U483" s="241"/>
      <c r="V483" s="241"/>
      <c r="W483" s="241"/>
      <c r="X483" s="241"/>
      <c r="Y483" s="241"/>
      <c r="Z483" s="241"/>
      <c r="AA483" s="241"/>
    </row>
    <row r="484">
      <c r="A484" s="243"/>
      <c r="B484" s="243"/>
      <c r="C484" s="241"/>
      <c r="D484" s="241"/>
      <c r="E484" s="241"/>
      <c r="F484" s="241"/>
      <c r="G484" s="241"/>
      <c r="H484" s="241"/>
      <c r="I484" s="241"/>
      <c r="J484" s="241"/>
      <c r="K484" s="241"/>
      <c r="L484" s="241"/>
      <c r="M484" s="241"/>
      <c r="N484" s="241"/>
      <c r="O484" s="241"/>
      <c r="P484" s="241"/>
      <c r="Q484" s="241"/>
      <c r="R484" s="241"/>
      <c r="S484" s="241"/>
      <c r="T484" s="241"/>
      <c r="U484" s="241"/>
      <c r="V484" s="241"/>
      <c r="W484" s="241"/>
      <c r="X484" s="241"/>
      <c r="Y484" s="241"/>
      <c r="Z484" s="241"/>
      <c r="AA484" s="241"/>
    </row>
    <row r="485">
      <c r="A485" s="243"/>
      <c r="B485" s="243"/>
      <c r="C485" s="241"/>
      <c r="D485" s="241"/>
      <c r="E485" s="241"/>
      <c r="F485" s="241"/>
      <c r="G485" s="241"/>
      <c r="H485" s="241"/>
      <c r="I485" s="241"/>
      <c r="J485" s="241"/>
      <c r="K485" s="241"/>
      <c r="L485" s="241"/>
      <c r="M485" s="241"/>
      <c r="N485" s="241"/>
      <c r="O485" s="241"/>
      <c r="P485" s="241"/>
      <c r="Q485" s="241"/>
      <c r="R485" s="241"/>
      <c r="S485" s="241"/>
      <c r="T485" s="241"/>
      <c r="U485" s="241"/>
      <c r="V485" s="241"/>
      <c r="W485" s="241"/>
      <c r="X485" s="241"/>
      <c r="Y485" s="241"/>
      <c r="Z485" s="241"/>
      <c r="AA485" s="241"/>
    </row>
    <row r="486">
      <c r="A486" s="243"/>
      <c r="B486" s="243"/>
      <c r="C486" s="241"/>
      <c r="D486" s="241"/>
      <c r="E486" s="241"/>
      <c r="F486" s="241"/>
      <c r="G486" s="241"/>
      <c r="H486" s="241"/>
      <c r="I486" s="241"/>
      <c r="J486" s="241"/>
      <c r="K486" s="241"/>
      <c r="L486" s="241"/>
      <c r="M486" s="241"/>
      <c r="N486" s="241"/>
      <c r="O486" s="241"/>
      <c r="P486" s="241"/>
      <c r="Q486" s="241"/>
      <c r="R486" s="241"/>
      <c r="S486" s="241"/>
      <c r="T486" s="241"/>
      <c r="U486" s="241"/>
      <c r="V486" s="241"/>
      <c r="W486" s="241"/>
      <c r="X486" s="241"/>
      <c r="Y486" s="241"/>
      <c r="Z486" s="241"/>
      <c r="AA486" s="241"/>
    </row>
    <row r="487">
      <c r="A487" s="243"/>
      <c r="B487" s="243"/>
      <c r="C487" s="241"/>
      <c r="D487" s="241"/>
      <c r="E487" s="241"/>
      <c r="F487" s="241"/>
      <c r="G487" s="241"/>
      <c r="H487" s="241"/>
      <c r="I487" s="241"/>
      <c r="J487" s="241"/>
      <c r="K487" s="241"/>
      <c r="L487" s="241"/>
      <c r="M487" s="241"/>
      <c r="N487" s="241"/>
      <c r="O487" s="241"/>
      <c r="P487" s="241"/>
      <c r="Q487" s="241"/>
      <c r="R487" s="241"/>
      <c r="S487" s="241"/>
      <c r="T487" s="241"/>
      <c r="U487" s="241"/>
      <c r="V487" s="241"/>
      <c r="W487" s="241"/>
      <c r="X487" s="241"/>
      <c r="Y487" s="241"/>
      <c r="Z487" s="241"/>
      <c r="AA487" s="241"/>
    </row>
    <row r="488">
      <c r="A488" s="243"/>
      <c r="B488" s="243"/>
      <c r="C488" s="241"/>
      <c r="D488" s="241"/>
      <c r="E488" s="241"/>
      <c r="F488" s="241"/>
      <c r="G488" s="241"/>
      <c r="H488" s="241"/>
      <c r="I488" s="241"/>
      <c r="J488" s="241"/>
      <c r="K488" s="241"/>
      <c r="L488" s="241"/>
      <c r="M488" s="241"/>
      <c r="N488" s="241"/>
      <c r="O488" s="241"/>
      <c r="P488" s="241"/>
      <c r="Q488" s="241"/>
      <c r="R488" s="241"/>
      <c r="S488" s="241"/>
      <c r="T488" s="241"/>
      <c r="U488" s="241"/>
      <c r="V488" s="241"/>
      <c r="W488" s="241"/>
      <c r="X488" s="241"/>
      <c r="Y488" s="241"/>
      <c r="Z488" s="241"/>
      <c r="AA488" s="241"/>
    </row>
    <row r="489">
      <c r="A489" s="243"/>
      <c r="B489" s="243"/>
      <c r="C489" s="241"/>
      <c r="D489" s="241"/>
      <c r="E489" s="241"/>
      <c r="F489" s="241"/>
      <c r="G489" s="241"/>
      <c r="H489" s="241"/>
      <c r="I489" s="241"/>
      <c r="J489" s="241"/>
      <c r="K489" s="241"/>
      <c r="L489" s="241"/>
      <c r="M489" s="241"/>
      <c r="N489" s="241"/>
      <c r="O489" s="241"/>
      <c r="P489" s="241"/>
      <c r="Q489" s="241"/>
      <c r="R489" s="241"/>
      <c r="S489" s="241"/>
      <c r="T489" s="241"/>
      <c r="U489" s="241"/>
      <c r="V489" s="241"/>
      <c r="W489" s="241"/>
      <c r="X489" s="241"/>
      <c r="Y489" s="241"/>
      <c r="Z489" s="241"/>
      <c r="AA489" s="241"/>
    </row>
    <row r="490">
      <c r="A490" s="243"/>
      <c r="B490" s="243"/>
      <c r="C490" s="241"/>
      <c r="D490" s="241"/>
      <c r="E490" s="241"/>
      <c r="F490" s="241"/>
      <c r="G490" s="241"/>
      <c r="H490" s="241"/>
      <c r="I490" s="241"/>
      <c r="J490" s="241"/>
      <c r="K490" s="241"/>
      <c r="L490" s="241"/>
      <c r="M490" s="241"/>
      <c r="N490" s="241"/>
      <c r="O490" s="241"/>
      <c r="P490" s="241"/>
      <c r="Q490" s="241"/>
      <c r="R490" s="241"/>
      <c r="S490" s="241"/>
      <c r="T490" s="241"/>
      <c r="U490" s="241"/>
      <c r="V490" s="241"/>
      <c r="W490" s="241"/>
      <c r="X490" s="241"/>
      <c r="Y490" s="241"/>
      <c r="Z490" s="241"/>
      <c r="AA490" s="241"/>
    </row>
    <row r="491">
      <c r="A491" s="243"/>
      <c r="B491" s="243"/>
      <c r="C491" s="241"/>
      <c r="D491" s="241"/>
      <c r="E491" s="241"/>
      <c r="F491" s="241"/>
      <c r="G491" s="241"/>
      <c r="H491" s="241"/>
      <c r="I491" s="241"/>
      <c r="J491" s="241"/>
      <c r="K491" s="241"/>
      <c r="L491" s="241"/>
      <c r="M491" s="241"/>
      <c r="N491" s="241"/>
      <c r="O491" s="241"/>
      <c r="P491" s="241"/>
      <c r="Q491" s="241"/>
      <c r="R491" s="241"/>
      <c r="S491" s="241"/>
      <c r="T491" s="241"/>
      <c r="U491" s="241"/>
      <c r="V491" s="241"/>
      <c r="W491" s="241"/>
      <c r="X491" s="241"/>
      <c r="Y491" s="241"/>
      <c r="Z491" s="241"/>
      <c r="AA491" s="241"/>
    </row>
    <row r="492">
      <c r="A492" s="243"/>
      <c r="B492" s="243"/>
      <c r="C492" s="241"/>
      <c r="D492" s="241"/>
      <c r="E492" s="241"/>
      <c r="F492" s="241"/>
      <c r="G492" s="241"/>
      <c r="H492" s="241"/>
      <c r="I492" s="241"/>
      <c r="J492" s="241"/>
      <c r="K492" s="241"/>
      <c r="L492" s="241"/>
      <c r="M492" s="241"/>
      <c r="N492" s="241"/>
      <c r="O492" s="241"/>
      <c r="P492" s="241"/>
      <c r="Q492" s="241"/>
      <c r="R492" s="241"/>
      <c r="S492" s="241"/>
      <c r="T492" s="241"/>
      <c r="U492" s="241"/>
      <c r="V492" s="241"/>
      <c r="W492" s="241"/>
      <c r="X492" s="241"/>
      <c r="Y492" s="241"/>
      <c r="Z492" s="241"/>
      <c r="AA492" s="241"/>
    </row>
    <row r="493">
      <c r="A493" s="243"/>
      <c r="B493" s="243"/>
      <c r="C493" s="241"/>
      <c r="D493" s="241"/>
      <c r="E493" s="241"/>
      <c r="F493" s="241"/>
      <c r="G493" s="241"/>
      <c r="H493" s="241"/>
      <c r="I493" s="241"/>
      <c r="J493" s="241"/>
      <c r="K493" s="241"/>
      <c r="L493" s="241"/>
      <c r="M493" s="241"/>
      <c r="N493" s="241"/>
      <c r="O493" s="241"/>
      <c r="P493" s="241"/>
      <c r="Q493" s="241"/>
      <c r="R493" s="241"/>
      <c r="S493" s="241"/>
      <c r="T493" s="241"/>
      <c r="U493" s="241"/>
      <c r="V493" s="241"/>
      <c r="W493" s="241"/>
      <c r="X493" s="241"/>
      <c r="Y493" s="241"/>
      <c r="Z493" s="241"/>
      <c r="AA493" s="241"/>
    </row>
    <row r="494">
      <c r="A494" s="243"/>
      <c r="B494" s="243"/>
      <c r="C494" s="241"/>
      <c r="D494" s="241"/>
      <c r="E494" s="241"/>
      <c r="F494" s="241"/>
      <c r="G494" s="241"/>
      <c r="H494" s="241"/>
      <c r="I494" s="241"/>
      <c r="J494" s="241"/>
      <c r="K494" s="241"/>
      <c r="L494" s="241"/>
      <c r="M494" s="241"/>
      <c r="N494" s="241"/>
      <c r="O494" s="241"/>
      <c r="P494" s="241"/>
      <c r="Q494" s="241"/>
      <c r="R494" s="241"/>
      <c r="S494" s="241"/>
      <c r="T494" s="241"/>
      <c r="U494" s="241"/>
      <c r="V494" s="241"/>
      <c r="W494" s="241"/>
      <c r="X494" s="241"/>
      <c r="Y494" s="241"/>
      <c r="Z494" s="241"/>
      <c r="AA494" s="241"/>
    </row>
    <row r="495">
      <c r="A495" s="243"/>
      <c r="B495" s="243"/>
      <c r="C495" s="241"/>
      <c r="D495" s="241"/>
      <c r="E495" s="241"/>
      <c r="F495" s="241"/>
      <c r="G495" s="241"/>
      <c r="H495" s="241"/>
      <c r="I495" s="241"/>
      <c r="J495" s="241"/>
      <c r="K495" s="241"/>
      <c r="L495" s="241"/>
      <c r="M495" s="241"/>
      <c r="N495" s="241"/>
      <c r="O495" s="241"/>
      <c r="P495" s="241"/>
      <c r="Q495" s="241"/>
      <c r="R495" s="241"/>
      <c r="S495" s="241"/>
      <c r="T495" s="241"/>
      <c r="U495" s="241"/>
      <c r="V495" s="241"/>
      <c r="W495" s="241"/>
      <c r="X495" s="241"/>
      <c r="Y495" s="241"/>
      <c r="Z495" s="241"/>
      <c r="AA495" s="241"/>
    </row>
    <row r="496">
      <c r="A496" s="243"/>
      <c r="B496" s="243"/>
      <c r="C496" s="241"/>
      <c r="D496" s="241"/>
      <c r="E496" s="241"/>
      <c r="F496" s="241"/>
      <c r="G496" s="241"/>
      <c r="H496" s="241"/>
      <c r="I496" s="241"/>
      <c r="J496" s="241"/>
      <c r="K496" s="241"/>
      <c r="L496" s="241"/>
      <c r="M496" s="241"/>
      <c r="N496" s="241"/>
      <c r="O496" s="241"/>
      <c r="P496" s="241"/>
      <c r="Q496" s="241"/>
      <c r="R496" s="241"/>
      <c r="S496" s="241"/>
      <c r="T496" s="241"/>
      <c r="U496" s="241"/>
      <c r="V496" s="241"/>
      <c r="W496" s="241"/>
      <c r="X496" s="241"/>
      <c r="Y496" s="241"/>
      <c r="Z496" s="241"/>
      <c r="AA496" s="241"/>
    </row>
    <row r="497">
      <c r="A497" s="243"/>
      <c r="B497" s="243"/>
      <c r="C497" s="241"/>
      <c r="D497" s="241"/>
      <c r="E497" s="241"/>
      <c r="F497" s="241"/>
      <c r="G497" s="241"/>
      <c r="H497" s="241"/>
      <c r="I497" s="241"/>
      <c r="J497" s="241"/>
      <c r="K497" s="241"/>
      <c r="L497" s="241"/>
      <c r="M497" s="241"/>
      <c r="N497" s="241"/>
      <c r="O497" s="241"/>
      <c r="P497" s="241"/>
      <c r="Q497" s="241"/>
      <c r="R497" s="241"/>
      <c r="S497" s="241"/>
      <c r="T497" s="241"/>
      <c r="U497" s="241"/>
      <c r="V497" s="241"/>
      <c r="W497" s="241"/>
      <c r="X497" s="241"/>
      <c r="Y497" s="241"/>
      <c r="Z497" s="241"/>
      <c r="AA497" s="241"/>
    </row>
    <row r="498">
      <c r="A498" s="243"/>
      <c r="B498" s="243"/>
      <c r="C498" s="241"/>
      <c r="D498" s="241"/>
      <c r="E498" s="241"/>
      <c r="F498" s="241"/>
      <c r="G498" s="241"/>
      <c r="H498" s="241"/>
      <c r="I498" s="241"/>
      <c r="J498" s="241"/>
      <c r="K498" s="241"/>
      <c r="L498" s="241"/>
      <c r="M498" s="241"/>
      <c r="N498" s="241"/>
      <c r="O498" s="241"/>
      <c r="P498" s="241"/>
      <c r="Q498" s="241"/>
      <c r="R498" s="241"/>
      <c r="S498" s="241"/>
      <c r="T498" s="241"/>
      <c r="U498" s="241"/>
      <c r="V498" s="241"/>
      <c r="W498" s="241"/>
      <c r="X498" s="241"/>
      <c r="Y498" s="241"/>
      <c r="Z498" s="241"/>
      <c r="AA498" s="241"/>
    </row>
    <row r="499">
      <c r="A499" s="243"/>
      <c r="B499" s="243"/>
      <c r="C499" s="241"/>
      <c r="D499" s="241"/>
      <c r="E499" s="241"/>
      <c r="F499" s="241"/>
      <c r="G499" s="241"/>
      <c r="H499" s="241"/>
      <c r="I499" s="241"/>
      <c r="J499" s="241"/>
      <c r="K499" s="241"/>
      <c r="L499" s="241"/>
      <c r="M499" s="241"/>
      <c r="N499" s="241"/>
      <c r="O499" s="241"/>
      <c r="P499" s="241"/>
      <c r="Q499" s="241"/>
      <c r="R499" s="241"/>
      <c r="S499" s="241"/>
      <c r="T499" s="241"/>
      <c r="U499" s="241"/>
      <c r="V499" s="241"/>
      <c r="W499" s="241"/>
      <c r="X499" s="241"/>
      <c r="Y499" s="241"/>
      <c r="Z499" s="241"/>
      <c r="AA499" s="241"/>
    </row>
    <row r="500">
      <c r="A500" s="243"/>
      <c r="B500" s="243"/>
      <c r="C500" s="241"/>
      <c r="D500" s="241"/>
      <c r="E500" s="241"/>
      <c r="F500" s="241"/>
      <c r="G500" s="241"/>
      <c r="H500" s="241"/>
      <c r="I500" s="241"/>
      <c r="J500" s="241"/>
      <c r="K500" s="241"/>
      <c r="L500" s="241"/>
      <c r="M500" s="241"/>
      <c r="N500" s="241"/>
      <c r="O500" s="241"/>
      <c r="P500" s="241"/>
      <c r="Q500" s="241"/>
      <c r="R500" s="241"/>
      <c r="S500" s="241"/>
      <c r="T500" s="241"/>
      <c r="U500" s="241"/>
      <c r="V500" s="241"/>
      <c r="W500" s="241"/>
      <c r="X500" s="241"/>
      <c r="Y500" s="241"/>
      <c r="Z500" s="241"/>
      <c r="AA500" s="241"/>
    </row>
    <row r="501">
      <c r="A501" s="243"/>
      <c r="B501" s="243"/>
      <c r="C501" s="241"/>
      <c r="D501" s="241"/>
      <c r="E501" s="241"/>
      <c r="F501" s="241"/>
      <c r="G501" s="241"/>
      <c r="H501" s="241"/>
      <c r="I501" s="241"/>
      <c r="J501" s="241"/>
      <c r="K501" s="241"/>
      <c r="L501" s="241"/>
      <c r="M501" s="241"/>
      <c r="N501" s="241"/>
      <c r="O501" s="241"/>
      <c r="P501" s="241"/>
      <c r="Q501" s="241"/>
      <c r="R501" s="241"/>
      <c r="S501" s="241"/>
      <c r="T501" s="241"/>
      <c r="U501" s="241"/>
      <c r="V501" s="241"/>
      <c r="W501" s="241"/>
      <c r="X501" s="241"/>
      <c r="Y501" s="241"/>
      <c r="Z501" s="241"/>
      <c r="AA501" s="241"/>
    </row>
    <row r="502">
      <c r="A502" s="243"/>
      <c r="B502" s="243"/>
      <c r="C502" s="241"/>
      <c r="D502" s="241"/>
      <c r="E502" s="241"/>
      <c r="F502" s="241"/>
      <c r="G502" s="241"/>
      <c r="H502" s="241"/>
      <c r="I502" s="241"/>
      <c r="J502" s="241"/>
      <c r="K502" s="241"/>
      <c r="L502" s="241"/>
      <c r="M502" s="241"/>
      <c r="N502" s="241"/>
      <c r="O502" s="241"/>
      <c r="P502" s="241"/>
      <c r="Q502" s="241"/>
      <c r="R502" s="241"/>
      <c r="S502" s="241"/>
      <c r="T502" s="241"/>
      <c r="U502" s="241"/>
      <c r="V502" s="241"/>
      <c r="W502" s="241"/>
      <c r="X502" s="241"/>
      <c r="Y502" s="241"/>
      <c r="Z502" s="241"/>
      <c r="AA502" s="241"/>
    </row>
    <row r="503">
      <c r="A503" s="243"/>
      <c r="B503" s="243"/>
      <c r="C503" s="241"/>
      <c r="D503" s="241"/>
      <c r="E503" s="241"/>
      <c r="F503" s="241"/>
      <c r="G503" s="241"/>
      <c r="H503" s="241"/>
      <c r="I503" s="241"/>
      <c r="J503" s="241"/>
      <c r="K503" s="241"/>
      <c r="L503" s="241"/>
      <c r="M503" s="241"/>
      <c r="N503" s="241"/>
      <c r="O503" s="241"/>
      <c r="P503" s="241"/>
      <c r="Q503" s="241"/>
      <c r="R503" s="241"/>
      <c r="S503" s="241"/>
      <c r="T503" s="241"/>
      <c r="U503" s="241"/>
      <c r="V503" s="241"/>
      <c r="W503" s="241"/>
      <c r="X503" s="241"/>
      <c r="Y503" s="241"/>
      <c r="Z503" s="241"/>
      <c r="AA503" s="241"/>
    </row>
    <row r="504">
      <c r="A504" s="243"/>
      <c r="B504" s="243"/>
      <c r="C504" s="241"/>
      <c r="D504" s="241"/>
      <c r="E504" s="241"/>
      <c r="F504" s="241"/>
      <c r="G504" s="241"/>
      <c r="H504" s="241"/>
      <c r="I504" s="241"/>
      <c r="J504" s="241"/>
      <c r="K504" s="241"/>
      <c r="L504" s="241"/>
      <c r="M504" s="241"/>
      <c r="N504" s="241"/>
      <c r="O504" s="241"/>
      <c r="P504" s="241"/>
      <c r="Q504" s="241"/>
      <c r="R504" s="241"/>
      <c r="S504" s="241"/>
      <c r="T504" s="241"/>
      <c r="U504" s="241"/>
      <c r="V504" s="241"/>
      <c r="W504" s="241"/>
      <c r="X504" s="241"/>
      <c r="Y504" s="241"/>
      <c r="Z504" s="241"/>
      <c r="AA504" s="241"/>
    </row>
    <row r="505">
      <c r="A505" s="243"/>
      <c r="B505" s="243"/>
      <c r="C505" s="241"/>
      <c r="D505" s="241"/>
      <c r="E505" s="241"/>
      <c r="F505" s="241"/>
      <c r="G505" s="241"/>
      <c r="H505" s="241"/>
      <c r="I505" s="241"/>
      <c r="J505" s="241"/>
      <c r="K505" s="241"/>
      <c r="L505" s="241"/>
      <c r="M505" s="241"/>
      <c r="N505" s="241"/>
      <c r="O505" s="241"/>
      <c r="P505" s="241"/>
      <c r="Q505" s="241"/>
      <c r="R505" s="241"/>
      <c r="S505" s="241"/>
      <c r="T505" s="241"/>
      <c r="U505" s="241"/>
      <c r="V505" s="241"/>
      <c r="W505" s="241"/>
      <c r="X505" s="241"/>
      <c r="Y505" s="241"/>
      <c r="Z505" s="241"/>
      <c r="AA505" s="241"/>
    </row>
    <row r="506">
      <c r="A506" s="243"/>
      <c r="B506" s="243"/>
      <c r="C506" s="241"/>
      <c r="D506" s="241"/>
      <c r="E506" s="241"/>
      <c r="F506" s="241"/>
      <c r="G506" s="241"/>
      <c r="H506" s="241"/>
      <c r="I506" s="241"/>
      <c r="J506" s="241"/>
      <c r="K506" s="241"/>
      <c r="L506" s="241"/>
      <c r="M506" s="241"/>
      <c r="N506" s="241"/>
      <c r="O506" s="241"/>
      <c r="P506" s="241"/>
      <c r="Q506" s="241"/>
      <c r="R506" s="241"/>
      <c r="S506" s="241"/>
      <c r="T506" s="241"/>
      <c r="U506" s="241"/>
      <c r="V506" s="241"/>
      <c r="W506" s="241"/>
      <c r="X506" s="241"/>
      <c r="Y506" s="241"/>
      <c r="Z506" s="241"/>
      <c r="AA506" s="241"/>
    </row>
    <row r="507">
      <c r="A507" s="243"/>
      <c r="B507" s="243"/>
      <c r="C507" s="241"/>
      <c r="D507" s="241"/>
      <c r="E507" s="241"/>
      <c r="F507" s="241"/>
      <c r="G507" s="241"/>
      <c r="H507" s="241"/>
      <c r="I507" s="241"/>
      <c r="J507" s="241"/>
      <c r="K507" s="241"/>
      <c r="L507" s="241"/>
      <c r="M507" s="241"/>
      <c r="N507" s="241"/>
      <c r="O507" s="241"/>
      <c r="P507" s="241"/>
      <c r="Q507" s="241"/>
      <c r="R507" s="241"/>
      <c r="S507" s="241"/>
      <c r="T507" s="241"/>
      <c r="U507" s="241"/>
      <c r="V507" s="241"/>
      <c r="W507" s="241"/>
      <c r="X507" s="241"/>
      <c r="Y507" s="241"/>
      <c r="Z507" s="241"/>
      <c r="AA507" s="241"/>
    </row>
    <row r="508">
      <c r="A508" s="243"/>
      <c r="B508" s="243"/>
      <c r="C508" s="241"/>
      <c r="D508" s="241"/>
      <c r="E508" s="241"/>
      <c r="F508" s="241"/>
      <c r="G508" s="241"/>
      <c r="H508" s="241"/>
      <c r="I508" s="241"/>
      <c r="J508" s="241"/>
      <c r="K508" s="241"/>
      <c r="L508" s="241"/>
      <c r="M508" s="241"/>
      <c r="N508" s="241"/>
      <c r="O508" s="241"/>
      <c r="P508" s="241"/>
      <c r="Q508" s="241"/>
      <c r="R508" s="241"/>
      <c r="S508" s="241"/>
      <c r="T508" s="241"/>
      <c r="U508" s="241"/>
      <c r="V508" s="241"/>
      <c r="W508" s="241"/>
      <c r="X508" s="241"/>
      <c r="Y508" s="241"/>
      <c r="Z508" s="241"/>
      <c r="AA508" s="241"/>
    </row>
    <row r="509">
      <c r="A509" s="243"/>
      <c r="B509" s="243"/>
      <c r="C509" s="241"/>
      <c r="D509" s="241"/>
      <c r="E509" s="241"/>
      <c r="F509" s="241"/>
      <c r="G509" s="241"/>
      <c r="H509" s="241"/>
      <c r="I509" s="241"/>
      <c r="J509" s="241"/>
      <c r="K509" s="241"/>
      <c r="L509" s="241"/>
      <c r="M509" s="241"/>
      <c r="N509" s="241"/>
      <c r="O509" s="241"/>
      <c r="P509" s="241"/>
      <c r="Q509" s="241"/>
      <c r="R509" s="241"/>
      <c r="S509" s="241"/>
      <c r="T509" s="241"/>
      <c r="U509" s="241"/>
      <c r="V509" s="241"/>
      <c r="W509" s="241"/>
      <c r="X509" s="241"/>
      <c r="Y509" s="241"/>
      <c r="Z509" s="241"/>
      <c r="AA509" s="241"/>
    </row>
    <row r="510">
      <c r="A510" s="243"/>
      <c r="B510" s="243"/>
      <c r="C510" s="241"/>
      <c r="D510" s="241"/>
      <c r="E510" s="241"/>
      <c r="F510" s="241"/>
      <c r="G510" s="241"/>
      <c r="H510" s="241"/>
      <c r="I510" s="241"/>
      <c r="J510" s="241"/>
      <c r="K510" s="241"/>
      <c r="L510" s="241"/>
      <c r="M510" s="241"/>
      <c r="N510" s="241"/>
      <c r="O510" s="241"/>
      <c r="P510" s="241"/>
      <c r="Q510" s="241"/>
      <c r="R510" s="241"/>
      <c r="S510" s="241"/>
      <c r="T510" s="241"/>
      <c r="U510" s="241"/>
      <c r="V510" s="241"/>
      <c r="W510" s="241"/>
      <c r="X510" s="241"/>
      <c r="Y510" s="241"/>
      <c r="Z510" s="241"/>
      <c r="AA510" s="241"/>
    </row>
    <row r="511">
      <c r="A511" s="243"/>
      <c r="B511" s="243"/>
      <c r="C511" s="241"/>
      <c r="D511" s="241"/>
      <c r="E511" s="241"/>
      <c r="F511" s="241"/>
      <c r="G511" s="241"/>
      <c r="H511" s="241"/>
      <c r="I511" s="241"/>
      <c r="J511" s="241"/>
      <c r="K511" s="241"/>
      <c r="L511" s="241"/>
      <c r="M511" s="241"/>
      <c r="N511" s="241"/>
      <c r="O511" s="241"/>
      <c r="P511" s="241"/>
      <c r="Q511" s="241"/>
      <c r="R511" s="241"/>
      <c r="S511" s="241"/>
      <c r="T511" s="241"/>
      <c r="U511" s="241"/>
      <c r="V511" s="241"/>
      <c r="W511" s="241"/>
      <c r="X511" s="241"/>
      <c r="Y511" s="241"/>
      <c r="Z511" s="241"/>
      <c r="AA511" s="241"/>
    </row>
    <row r="512">
      <c r="A512" s="243"/>
      <c r="B512" s="243"/>
      <c r="C512" s="241"/>
      <c r="D512" s="241"/>
      <c r="E512" s="241"/>
      <c r="F512" s="241"/>
      <c r="G512" s="241"/>
      <c r="H512" s="241"/>
      <c r="I512" s="241"/>
      <c r="J512" s="241"/>
      <c r="K512" s="241"/>
      <c r="L512" s="241"/>
      <c r="M512" s="241"/>
      <c r="N512" s="241"/>
      <c r="O512" s="241"/>
      <c r="P512" s="241"/>
      <c r="Q512" s="241"/>
      <c r="R512" s="241"/>
      <c r="S512" s="241"/>
      <c r="T512" s="241"/>
      <c r="U512" s="241"/>
      <c r="V512" s="241"/>
      <c r="W512" s="241"/>
      <c r="X512" s="241"/>
      <c r="Y512" s="241"/>
      <c r="Z512" s="241"/>
      <c r="AA512" s="241"/>
    </row>
    <row r="513">
      <c r="A513" s="243"/>
      <c r="B513" s="243"/>
      <c r="C513" s="241"/>
      <c r="D513" s="241"/>
      <c r="E513" s="241"/>
      <c r="F513" s="241"/>
      <c r="G513" s="241"/>
      <c r="H513" s="241"/>
      <c r="I513" s="241"/>
      <c r="J513" s="241"/>
      <c r="K513" s="241"/>
      <c r="L513" s="241"/>
      <c r="M513" s="241"/>
      <c r="N513" s="241"/>
      <c r="O513" s="241"/>
      <c r="P513" s="241"/>
      <c r="Q513" s="241"/>
      <c r="R513" s="241"/>
      <c r="S513" s="241"/>
      <c r="T513" s="241"/>
      <c r="U513" s="241"/>
      <c r="V513" s="241"/>
      <c r="W513" s="241"/>
      <c r="X513" s="241"/>
      <c r="Y513" s="241"/>
      <c r="Z513" s="241"/>
      <c r="AA513" s="241"/>
    </row>
    <row r="514">
      <c r="A514" s="243"/>
      <c r="B514" s="243"/>
      <c r="C514" s="241"/>
      <c r="D514" s="241"/>
      <c r="E514" s="241"/>
      <c r="F514" s="241"/>
      <c r="G514" s="241"/>
      <c r="H514" s="241"/>
      <c r="I514" s="241"/>
      <c r="J514" s="241"/>
      <c r="K514" s="241"/>
      <c r="L514" s="241"/>
      <c r="M514" s="241"/>
      <c r="N514" s="241"/>
      <c r="O514" s="241"/>
      <c r="P514" s="241"/>
      <c r="Q514" s="241"/>
      <c r="R514" s="241"/>
      <c r="S514" s="241"/>
      <c r="T514" s="241"/>
      <c r="U514" s="241"/>
      <c r="V514" s="241"/>
      <c r="W514" s="241"/>
      <c r="X514" s="241"/>
      <c r="Y514" s="241"/>
      <c r="Z514" s="241"/>
      <c r="AA514" s="241"/>
    </row>
    <row r="515">
      <c r="A515" s="243"/>
      <c r="B515" s="243"/>
      <c r="C515" s="241"/>
      <c r="D515" s="241"/>
      <c r="E515" s="241"/>
      <c r="F515" s="241"/>
      <c r="G515" s="241"/>
      <c r="H515" s="241"/>
      <c r="I515" s="241"/>
      <c r="J515" s="241"/>
      <c r="K515" s="241"/>
      <c r="L515" s="241"/>
      <c r="M515" s="241"/>
      <c r="N515" s="241"/>
      <c r="O515" s="241"/>
      <c r="P515" s="241"/>
      <c r="Q515" s="241"/>
      <c r="R515" s="241"/>
      <c r="S515" s="241"/>
      <c r="T515" s="241"/>
      <c r="U515" s="241"/>
      <c r="V515" s="241"/>
      <c r="W515" s="241"/>
      <c r="X515" s="241"/>
      <c r="Y515" s="241"/>
      <c r="Z515" s="241"/>
      <c r="AA515" s="241"/>
    </row>
    <row r="516">
      <c r="A516" s="243"/>
      <c r="B516" s="243"/>
      <c r="C516" s="241"/>
      <c r="D516" s="241"/>
      <c r="E516" s="241"/>
      <c r="F516" s="241"/>
      <c r="G516" s="241"/>
      <c r="H516" s="241"/>
      <c r="I516" s="241"/>
      <c r="J516" s="241"/>
      <c r="K516" s="241"/>
      <c r="L516" s="241"/>
      <c r="M516" s="241"/>
      <c r="N516" s="241"/>
      <c r="O516" s="241"/>
      <c r="P516" s="241"/>
      <c r="Q516" s="241"/>
      <c r="R516" s="241"/>
      <c r="S516" s="241"/>
      <c r="T516" s="241"/>
      <c r="U516" s="241"/>
      <c r="V516" s="241"/>
      <c r="W516" s="241"/>
      <c r="X516" s="241"/>
      <c r="Y516" s="241"/>
      <c r="Z516" s="241"/>
      <c r="AA516" s="241"/>
    </row>
    <row r="517">
      <c r="A517" s="243"/>
      <c r="B517" s="243"/>
      <c r="C517" s="241"/>
      <c r="D517" s="241"/>
      <c r="E517" s="241"/>
      <c r="F517" s="241"/>
      <c r="G517" s="241"/>
      <c r="H517" s="241"/>
      <c r="I517" s="241"/>
      <c r="J517" s="241"/>
      <c r="K517" s="241"/>
      <c r="L517" s="241"/>
      <c r="M517" s="241"/>
      <c r="N517" s="241"/>
      <c r="O517" s="241"/>
      <c r="P517" s="241"/>
      <c r="Q517" s="241"/>
      <c r="R517" s="241"/>
      <c r="S517" s="241"/>
      <c r="T517" s="241"/>
      <c r="U517" s="241"/>
      <c r="V517" s="241"/>
      <c r="W517" s="241"/>
      <c r="X517" s="241"/>
      <c r="Y517" s="241"/>
      <c r="Z517" s="241"/>
      <c r="AA517" s="241"/>
    </row>
    <row r="518">
      <c r="A518" s="243"/>
      <c r="B518" s="243"/>
      <c r="C518" s="241"/>
      <c r="D518" s="241"/>
      <c r="E518" s="241"/>
      <c r="F518" s="241"/>
      <c r="G518" s="241"/>
      <c r="H518" s="241"/>
      <c r="I518" s="241"/>
      <c r="J518" s="241"/>
      <c r="K518" s="241"/>
      <c r="L518" s="241"/>
      <c r="M518" s="241"/>
      <c r="N518" s="241"/>
      <c r="O518" s="241"/>
      <c r="P518" s="241"/>
      <c r="Q518" s="241"/>
      <c r="R518" s="241"/>
      <c r="S518" s="241"/>
      <c r="T518" s="241"/>
      <c r="U518" s="241"/>
      <c r="V518" s="241"/>
      <c r="W518" s="241"/>
      <c r="X518" s="241"/>
      <c r="Y518" s="241"/>
      <c r="Z518" s="241"/>
      <c r="AA518" s="241"/>
    </row>
    <row r="519">
      <c r="A519" s="243"/>
      <c r="B519" s="243"/>
      <c r="C519" s="241"/>
      <c r="D519" s="241"/>
      <c r="E519" s="241"/>
      <c r="F519" s="241"/>
      <c r="G519" s="241"/>
      <c r="H519" s="241"/>
      <c r="I519" s="241"/>
      <c r="J519" s="241"/>
      <c r="K519" s="241"/>
      <c r="L519" s="241"/>
      <c r="M519" s="241"/>
      <c r="N519" s="241"/>
      <c r="O519" s="241"/>
      <c r="P519" s="241"/>
      <c r="Q519" s="241"/>
      <c r="R519" s="241"/>
      <c r="S519" s="241"/>
      <c r="T519" s="241"/>
      <c r="U519" s="241"/>
      <c r="V519" s="241"/>
      <c r="W519" s="241"/>
      <c r="X519" s="241"/>
      <c r="Y519" s="241"/>
      <c r="Z519" s="241"/>
      <c r="AA519" s="241"/>
    </row>
    <row r="520">
      <c r="A520" s="243"/>
      <c r="B520" s="243"/>
      <c r="C520" s="241"/>
      <c r="D520" s="241"/>
      <c r="E520" s="241"/>
      <c r="F520" s="241"/>
      <c r="G520" s="241"/>
      <c r="H520" s="241"/>
      <c r="I520" s="241"/>
      <c r="J520" s="241"/>
      <c r="K520" s="241"/>
      <c r="L520" s="241"/>
      <c r="M520" s="241"/>
      <c r="N520" s="241"/>
      <c r="O520" s="241"/>
      <c r="P520" s="241"/>
      <c r="Q520" s="241"/>
      <c r="R520" s="241"/>
      <c r="S520" s="241"/>
      <c r="T520" s="241"/>
      <c r="U520" s="241"/>
      <c r="V520" s="241"/>
      <c r="W520" s="241"/>
      <c r="X520" s="241"/>
      <c r="Y520" s="241"/>
      <c r="Z520" s="241"/>
      <c r="AA520" s="241"/>
    </row>
    <row r="521">
      <c r="A521" s="243"/>
      <c r="B521" s="243"/>
      <c r="C521" s="241"/>
      <c r="D521" s="241"/>
      <c r="E521" s="241"/>
      <c r="F521" s="241"/>
      <c r="G521" s="241"/>
      <c r="H521" s="241"/>
      <c r="I521" s="241"/>
      <c r="J521" s="241"/>
      <c r="K521" s="241"/>
      <c r="L521" s="241"/>
      <c r="M521" s="241"/>
      <c r="N521" s="241"/>
      <c r="O521" s="241"/>
      <c r="P521" s="241"/>
      <c r="Q521" s="241"/>
      <c r="R521" s="241"/>
      <c r="S521" s="241"/>
      <c r="T521" s="241"/>
      <c r="U521" s="241"/>
      <c r="V521" s="241"/>
      <c r="W521" s="241"/>
      <c r="X521" s="241"/>
      <c r="Y521" s="241"/>
      <c r="Z521" s="241"/>
      <c r="AA521" s="241"/>
    </row>
    <row r="522">
      <c r="A522" s="243"/>
      <c r="B522" s="243"/>
      <c r="C522" s="241"/>
      <c r="D522" s="241"/>
      <c r="E522" s="241"/>
      <c r="F522" s="241"/>
      <c r="G522" s="241"/>
      <c r="H522" s="241"/>
      <c r="I522" s="241"/>
      <c r="J522" s="241"/>
      <c r="K522" s="241"/>
      <c r="L522" s="241"/>
      <c r="M522" s="241"/>
      <c r="N522" s="241"/>
      <c r="O522" s="241"/>
      <c r="P522" s="241"/>
      <c r="Q522" s="241"/>
      <c r="R522" s="241"/>
      <c r="S522" s="241"/>
      <c r="T522" s="241"/>
      <c r="U522" s="241"/>
      <c r="V522" s="241"/>
      <c r="W522" s="241"/>
      <c r="X522" s="241"/>
      <c r="Y522" s="241"/>
      <c r="Z522" s="241"/>
      <c r="AA522" s="241"/>
    </row>
    <row r="523">
      <c r="A523" s="243"/>
      <c r="B523" s="243"/>
      <c r="C523" s="241"/>
      <c r="D523" s="241"/>
      <c r="E523" s="241"/>
      <c r="F523" s="241"/>
      <c r="G523" s="241"/>
      <c r="H523" s="241"/>
      <c r="I523" s="241"/>
      <c r="J523" s="241"/>
      <c r="K523" s="241"/>
      <c r="L523" s="241"/>
      <c r="M523" s="241"/>
      <c r="N523" s="241"/>
      <c r="O523" s="241"/>
      <c r="P523" s="241"/>
      <c r="Q523" s="241"/>
      <c r="R523" s="241"/>
      <c r="S523" s="241"/>
      <c r="T523" s="241"/>
      <c r="U523" s="241"/>
      <c r="V523" s="241"/>
      <c r="W523" s="241"/>
      <c r="X523" s="241"/>
      <c r="Y523" s="241"/>
      <c r="Z523" s="241"/>
      <c r="AA523" s="241"/>
    </row>
    <row r="524">
      <c r="A524" s="243"/>
      <c r="B524" s="243"/>
      <c r="C524" s="241"/>
      <c r="D524" s="241"/>
      <c r="E524" s="241"/>
      <c r="F524" s="241"/>
      <c r="G524" s="241"/>
      <c r="H524" s="241"/>
      <c r="I524" s="241"/>
      <c r="J524" s="241"/>
      <c r="K524" s="241"/>
      <c r="L524" s="241"/>
      <c r="M524" s="241"/>
      <c r="N524" s="241"/>
      <c r="O524" s="241"/>
      <c r="P524" s="241"/>
      <c r="Q524" s="241"/>
      <c r="R524" s="241"/>
      <c r="S524" s="241"/>
      <c r="T524" s="241"/>
      <c r="U524" s="241"/>
      <c r="V524" s="241"/>
      <c r="W524" s="241"/>
      <c r="X524" s="241"/>
      <c r="Y524" s="241"/>
      <c r="Z524" s="241"/>
      <c r="AA524" s="241"/>
    </row>
    <row r="525">
      <c r="A525" s="243"/>
      <c r="B525" s="243"/>
      <c r="C525" s="241"/>
      <c r="D525" s="241"/>
      <c r="E525" s="241"/>
      <c r="F525" s="241"/>
      <c r="G525" s="241"/>
      <c r="H525" s="241"/>
      <c r="I525" s="241"/>
      <c r="J525" s="241"/>
      <c r="K525" s="241"/>
      <c r="L525" s="241"/>
      <c r="M525" s="241"/>
      <c r="N525" s="241"/>
      <c r="O525" s="241"/>
      <c r="P525" s="241"/>
      <c r="Q525" s="241"/>
      <c r="R525" s="241"/>
      <c r="S525" s="241"/>
      <c r="T525" s="241"/>
      <c r="U525" s="241"/>
      <c r="V525" s="241"/>
      <c r="W525" s="241"/>
      <c r="X525" s="241"/>
      <c r="Y525" s="241"/>
      <c r="Z525" s="241"/>
      <c r="AA525" s="241"/>
    </row>
    <row r="526">
      <c r="A526" s="243"/>
      <c r="B526" s="243"/>
      <c r="C526" s="241"/>
      <c r="D526" s="241"/>
      <c r="E526" s="241"/>
      <c r="F526" s="241"/>
      <c r="G526" s="241"/>
      <c r="H526" s="241"/>
      <c r="I526" s="241"/>
      <c r="J526" s="241"/>
      <c r="K526" s="241"/>
      <c r="L526" s="241"/>
      <c r="M526" s="241"/>
      <c r="N526" s="241"/>
      <c r="O526" s="241"/>
      <c r="P526" s="241"/>
      <c r="Q526" s="241"/>
      <c r="R526" s="241"/>
      <c r="S526" s="241"/>
      <c r="T526" s="241"/>
      <c r="U526" s="241"/>
      <c r="V526" s="241"/>
      <c r="W526" s="241"/>
      <c r="X526" s="241"/>
      <c r="Y526" s="241"/>
      <c r="Z526" s="241"/>
      <c r="AA526" s="241"/>
    </row>
    <row r="527">
      <c r="A527" s="243"/>
      <c r="B527" s="243"/>
      <c r="C527" s="241"/>
      <c r="D527" s="241"/>
      <c r="E527" s="241"/>
      <c r="F527" s="241"/>
      <c r="G527" s="241"/>
      <c r="H527" s="241"/>
      <c r="I527" s="241"/>
      <c r="J527" s="241"/>
      <c r="K527" s="241"/>
      <c r="L527" s="241"/>
      <c r="M527" s="241"/>
      <c r="N527" s="241"/>
      <c r="O527" s="241"/>
      <c r="P527" s="241"/>
      <c r="Q527" s="241"/>
      <c r="R527" s="241"/>
      <c r="S527" s="241"/>
      <c r="T527" s="241"/>
      <c r="U527" s="241"/>
      <c r="V527" s="241"/>
      <c r="W527" s="241"/>
      <c r="X527" s="241"/>
      <c r="Y527" s="241"/>
      <c r="Z527" s="241"/>
      <c r="AA527" s="241"/>
    </row>
    <row r="528">
      <c r="A528" s="243"/>
      <c r="B528" s="243"/>
      <c r="C528" s="241"/>
      <c r="D528" s="241"/>
      <c r="E528" s="241"/>
      <c r="F528" s="241"/>
      <c r="G528" s="241"/>
      <c r="H528" s="241"/>
      <c r="I528" s="241"/>
      <c r="J528" s="241"/>
      <c r="K528" s="241"/>
      <c r="L528" s="241"/>
      <c r="M528" s="241"/>
      <c r="N528" s="241"/>
      <c r="O528" s="241"/>
      <c r="P528" s="241"/>
      <c r="Q528" s="241"/>
      <c r="R528" s="241"/>
      <c r="S528" s="241"/>
      <c r="T528" s="241"/>
      <c r="U528" s="241"/>
      <c r="V528" s="241"/>
      <c r="W528" s="241"/>
      <c r="X528" s="241"/>
      <c r="Y528" s="241"/>
      <c r="Z528" s="241"/>
      <c r="AA528" s="241"/>
    </row>
    <row r="529">
      <c r="A529" s="243"/>
      <c r="B529" s="243"/>
      <c r="C529" s="241"/>
      <c r="D529" s="241"/>
      <c r="E529" s="241"/>
      <c r="F529" s="241"/>
      <c r="G529" s="241"/>
      <c r="H529" s="241"/>
      <c r="I529" s="241"/>
      <c r="J529" s="241"/>
      <c r="K529" s="241"/>
      <c r="L529" s="241"/>
      <c r="M529" s="241"/>
      <c r="N529" s="241"/>
      <c r="O529" s="241"/>
      <c r="P529" s="241"/>
      <c r="Q529" s="241"/>
      <c r="R529" s="241"/>
      <c r="S529" s="241"/>
      <c r="T529" s="241"/>
      <c r="U529" s="241"/>
      <c r="V529" s="241"/>
      <c r="W529" s="241"/>
      <c r="X529" s="241"/>
      <c r="Y529" s="241"/>
      <c r="Z529" s="241"/>
      <c r="AA529" s="241"/>
    </row>
    <row r="530">
      <c r="A530" s="243"/>
      <c r="B530" s="243"/>
      <c r="C530" s="241"/>
      <c r="D530" s="241"/>
      <c r="E530" s="241"/>
      <c r="F530" s="241"/>
      <c r="G530" s="241"/>
      <c r="H530" s="241"/>
      <c r="I530" s="241"/>
      <c r="J530" s="241"/>
      <c r="K530" s="241"/>
      <c r="L530" s="241"/>
      <c r="M530" s="241"/>
      <c r="N530" s="241"/>
      <c r="O530" s="241"/>
      <c r="P530" s="241"/>
      <c r="Q530" s="241"/>
      <c r="R530" s="241"/>
      <c r="S530" s="241"/>
      <c r="T530" s="241"/>
      <c r="U530" s="241"/>
      <c r="V530" s="241"/>
      <c r="W530" s="241"/>
      <c r="X530" s="241"/>
      <c r="Y530" s="241"/>
      <c r="Z530" s="241"/>
      <c r="AA530" s="241"/>
    </row>
    <row r="531">
      <c r="A531" s="243"/>
      <c r="B531" s="243"/>
      <c r="C531" s="241"/>
      <c r="D531" s="241"/>
      <c r="E531" s="241"/>
      <c r="F531" s="241"/>
      <c r="G531" s="241"/>
      <c r="H531" s="241"/>
      <c r="I531" s="241"/>
      <c r="J531" s="241"/>
      <c r="K531" s="241"/>
      <c r="L531" s="241"/>
      <c r="M531" s="241"/>
      <c r="N531" s="241"/>
      <c r="O531" s="241"/>
      <c r="P531" s="241"/>
      <c r="Q531" s="241"/>
      <c r="R531" s="241"/>
      <c r="S531" s="241"/>
      <c r="T531" s="241"/>
      <c r="U531" s="241"/>
      <c r="V531" s="241"/>
      <c r="W531" s="241"/>
      <c r="X531" s="241"/>
      <c r="Y531" s="241"/>
      <c r="Z531" s="241"/>
      <c r="AA531" s="241"/>
    </row>
    <row r="532">
      <c r="A532" s="243"/>
      <c r="B532" s="243"/>
      <c r="C532" s="241"/>
      <c r="D532" s="241"/>
      <c r="E532" s="241"/>
      <c r="F532" s="241"/>
      <c r="G532" s="241"/>
      <c r="H532" s="241"/>
      <c r="I532" s="241"/>
      <c r="J532" s="241"/>
      <c r="K532" s="241"/>
      <c r="L532" s="241"/>
      <c r="M532" s="241"/>
      <c r="N532" s="241"/>
      <c r="O532" s="241"/>
      <c r="P532" s="241"/>
      <c r="Q532" s="241"/>
      <c r="R532" s="241"/>
      <c r="S532" s="241"/>
      <c r="T532" s="241"/>
      <c r="U532" s="241"/>
      <c r="V532" s="241"/>
      <c r="W532" s="241"/>
      <c r="X532" s="241"/>
      <c r="Y532" s="241"/>
      <c r="Z532" s="241"/>
      <c r="AA532" s="241"/>
    </row>
    <row r="533">
      <c r="A533" s="243"/>
      <c r="B533" s="243"/>
      <c r="C533" s="241"/>
      <c r="D533" s="241"/>
      <c r="E533" s="241"/>
      <c r="F533" s="241"/>
      <c r="G533" s="241"/>
      <c r="H533" s="241"/>
      <c r="I533" s="241"/>
      <c r="J533" s="241"/>
      <c r="K533" s="241"/>
      <c r="L533" s="241"/>
      <c r="M533" s="241"/>
      <c r="N533" s="241"/>
      <c r="O533" s="241"/>
      <c r="P533" s="241"/>
      <c r="Q533" s="241"/>
      <c r="R533" s="241"/>
      <c r="S533" s="241"/>
      <c r="T533" s="241"/>
      <c r="U533" s="241"/>
      <c r="V533" s="241"/>
      <c r="W533" s="241"/>
      <c r="X533" s="241"/>
      <c r="Y533" s="241"/>
      <c r="Z533" s="241"/>
      <c r="AA533" s="241"/>
    </row>
    <row r="534">
      <c r="A534" s="243"/>
      <c r="B534" s="243"/>
      <c r="C534" s="241"/>
      <c r="D534" s="241"/>
      <c r="E534" s="241"/>
      <c r="F534" s="241"/>
      <c r="G534" s="241"/>
      <c r="H534" s="241"/>
      <c r="I534" s="241"/>
      <c r="J534" s="241"/>
      <c r="K534" s="241"/>
      <c r="L534" s="241"/>
      <c r="M534" s="241"/>
      <c r="N534" s="241"/>
      <c r="O534" s="241"/>
      <c r="P534" s="241"/>
      <c r="Q534" s="241"/>
      <c r="R534" s="241"/>
      <c r="S534" s="241"/>
      <c r="T534" s="241"/>
      <c r="U534" s="241"/>
      <c r="V534" s="241"/>
      <c r="W534" s="241"/>
      <c r="X534" s="241"/>
      <c r="Y534" s="241"/>
      <c r="Z534" s="241"/>
      <c r="AA534" s="241"/>
    </row>
    <row r="535">
      <c r="A535" s="243"/>
      <c r="B535" s="243"/>
      <c r="C535" s="241"/>
      <c r="D535" s="241"/>
      <c r="E535" s="241"/>
      <c r="F535" s="241"/>
      <c r="G535" s="241"/>
      <c r="H535" s="241"/>
      <c r="I535" s="241"/>
      <c r="J535" s="241"/>
      <c r="K535" s="241"/>
      <c r="L535" s="241"/>
      <c r="M535" s="241"/>
      <c r="N535" s="241"/>
      <c r="O535" s="241"/>
      <c r="P535" s="241"/>
      <c r="Q535" s="241"/>
      <c r="R535" s="241"/>
      <c r="S535" s="241"/>
      <c r="T535" s="241"/>
      <c r="U535" s="241"/>
      <c r="V535" s="241"/>
      <c r="W535" s="241"/>
      <c r="X535" s="241"/>
      <c r="Y535" s="241"/>
      <c r="Z535" s="241"/>
      <c r="AA535" s="241"/>
    </row>
    <row r="536">
      <c r="A536" s="243"/>
      <c r="B536" s="243"/>
      <c r="C536" s="241"/>
      <c r="D536" s="241"/>
      <c r="E536" s="241"/>
      <c r="F536" s="241"/>
      <c r="G536" s="241"/>
      <c r="H536" s="241"/>
      <c r="I536" s="241"/>
      <c r="J536" s="241"/>
      <c r="K536" s="241"/>
      <c r="L536" s="241"/>
      <c r="M536" s="241"/>
      <c r="N536" s="241"/>
      <c r="O536" s="241"/>
      <c r="P536" s="241"/>
      <c r="Q536" s="241"/>
      <c r="R536" s="241"/>
      <c r="S536" s="241"/>
      <c r="T536" s="241"/>
      <c r="U536" s="241"/>
      <c r="V536" s="241"/>
      <c r="W536" s="241"/>
      <c r="X536" s="241"/>
      <c r="Y536" s="241"/>
      <c r="Z536" s="241"/>
      <c r="AA536" s="241"/>
    </row>
    <row r="537">
      <c r="A537" s="243"/>
      <c r="B537" s="243"/>
      <c r="C537" s="241"/>
      <c r="D537" s="241"/>
      <c r="E537" s="241"/>
      <c r="F537" s="241"/>
      <c r="G537" s="241"/>
      <c r="H537" s="241"/>
      <c r="I537" s="241"/>
      <c r="J537" s="241"/>
      <c r="K537" s="241"/>
      <c r="L537" s="241"/>
      <c r="M537" s="241"/>
      <c r="N537" s="241"/>
      <c r="O537" s="241"/>
      <c r="P537" s="241"/>
      <c r="Q537" s="241"/>
      <c r="R537" s="241"/>
      <c r="S537" s="241"/>
      <c r="T537" s="241"/>
      <c r="U537" s="241"/>
      <c r="V537" s="241"/>
      <c r="W537" s="241"/>
      <c r="X537" s="241"/>
      <c r="Y537" s="241"/>
      <c r="Z537" s="241"/>
      <c r="AA537" s="241"/>
    </row>
    <row r="538">
      <c r="A538" s="243"/>
      <c r="B538" s="243"/>
      <c r="C538" s="241"/>
      <c r="D538" s="241"/>
      <c r="E538" s="241"/>
      <c r="F538" s="241"/>
      <c r="G538" s="241"/>
      <c r="H538" s="241"/>
      <c r="I538" s="241"/>
      <c r="J538" s="241"/>
      <c r="K538" s="241"/>
      <c r="L538" s="241"/>
      <c r="M538" s="241"/>
      <c r="N538" s="241"/>
      <c r="O538" s="241"/>
      <c r="P538" s="241"/>
      <c r="Q538" s="241"/>
      <c r="R538" s="241"/>
      <c r="S538" s="241"/>
      <c r="T538" s="241"/>
      <c r="U538" s="241"/>
      <c r="V538" s="241"/>
      <c r="W538" s="241"/>
      <c r="X538" s="241"/>
      <c r="Y538" s="241"/>
      <c r="Z538" s="241"/>
      <c r="AA538" s="241"/>
    </row>
    <row r="539">
      <c r="A539" s="243"/>
      <c r="B539" s="243"/>
      <c r="C539" s="241"/>
      <c r="D539" s="241"/>
      <c r="E539" s="241"/>
      <c r="F539" s="241"/>
      <c r="G539" s="241"/>
      <c r="H539" s="241"/>
      <c r="I539" s="241"/>
      <c r="J539" s="241"/>
      <c r="K539" s="241"/>
      <c r="L539" s="241"/>
      <c r="M539" s="241"/>
      <c r="N539" s="241"/>
      <c r="O539" s="241"/>
      <c r="P539" s="241"/>
      <c r="Q539" s="241"/>
      <c r="R539" s="241"/>
      <c r="S539" s="241"/>
      <c r="T539" s="241"/>
      <c r="U539" s="241"/>
      <c r="V539" s="241"/>
      <c r="W539" s="241"/>
      <c r="X539" s="241"/>
      <c r="Y539" s="241"/>
      <c r="Z539" s="241"/>
      <c r="AA539" s="241"/>
    </row>
    <row r="540">
      <c r="A540" s="243"/>
      <c r="B540" s="243"/>
      <c r="C540" s="241"/>
      <c r="D540" s="241"/>
      <c r="E540" s="241"/>
      <c r="F540" s="241"/>
      <c r="G540" s="241"/>
      <c r="H540" s="241"/>
      <c r="I540" s="241"/>
      <c r="J540" s="241"/>
      <c r="K540" s="241"/>
      <c r="L540" s="241"/>
      <c r="M540" s="241"/>
      <c r="N540" s="241"/>
      <c r="O540" s="241"/>
      <c r="P540" s="241"/>
      <c r="Q540" s="241"/>
      <c r="R540" s="241"/>
      <c r="S540" s="241"/>
      <c r="T540" s="241"/>
      <c r="U540" s="241"/>
      <c r="V540" s="241"/>
      <c r="W540" s="241"/>
      <c r="X540" s="241"/>
      <c r="Y540" s="241"/>
      <c r="Z540" s="241"/>
      <c r="AA540" s="241"/>
    </row>
    <row r="541">
      <c r="A541" s="243"/>
      <c r="B541" s="243"/>
      <c r="C541" s="241"/>
      <c r="D541" s="241"/>
      <c r="E541" s="241"/>
      <c r="F541" s="241"/>
      <c r="G541" s="241"/>
      <c r="H541" s="241"/>
      <c r="I541" s="241"/>
      <c r="J541" s="241"/>
      <c r="K541" s="241"/>
      <c r="L541" s="241"/>
      <c r="M541" s="241"/>
      <c r="N541" s="241"/>
      <c r="O541" s="241"/>
      <c r="P541" s="241"/>
      <c r="Q541" s="241"/>
      <c r="R541" s="241"/>
      <c r="S541" s="241"/>
      <c r="T541" s="241"/>
      <c r="U541" s="241"/>
      <c r="V541" s="241"/>
      <c r="W541" s="241"/>
      <c r="X541" s="241"/>
      <c r="Y541" s="241"/>
      <c r="Z541" s="241"/>
      <c r="AA541" s="241"/>
    </row>
    <row r="542">
      <c r="A542" s="243"/>
      <c r="B542" s="243"/>
      <c r="C542" s="241"/>
      <c r="D542" s="241"/>
      <c r="E542" s="241"/>
      <c r="F542" s="241"/>
      <c r="G542" s="241"/>
      <c r="H542" s="241"/>
      <c r="I542" s="241"/>
      <c r="J542" s="241"/>
      <c r="K542" s="241"/>
      <c r="L542" s="241"/>
      <c r="M542" s="241"/>
      <c r="N542" s="241"/>
      <c r="O542" s="241"/>
      <c r="P542" s="241"/>
      <c r="Q542" s="241"/>
      <c r="R542" s="241"/>
      <c r="S542" s="241"/>
      <c r="T542" s="241"/>
      <c r="U542" s="241"/>
      <c r="V542" s="241"/>
      <c r="W542" s="241"/>
      <c r="X542" s="241"/>
      <c r="Y542" s="241"/>
      <c r="Z542" s="241"/>
      <c r="AA542" s="241"/>
    </row>
    <row r="543">
      <c r="A543" s="243"/>
      <c r="B543" s="243"/>
      <c r="C543" s="241"/>
      <c r="D543" s="241"/>
      <c r="E543" s="241"/>
      <c r="F543" s="241"/>
      <c r="G543" s="241"/>
      <c r="H543" s="241"/>
      <c r="I543" s="241"/>
      <c r="J543" s="241"/>
      <c r="K543" s="241"/>
      <c r="L543" s="241"/>
      <c r="M543" s="241"/>
      <c r="N543" s="241"/>
      <c r="O543" s="241"/>
      <c r="P543" s="241"/>
      <c r="Q543" s="241"/>
      <c r="R543" s="241"/>
      <c r="S543" s="241"/>
      <c r="T543" s="241"/>
      <c r="U543" s="241"/>
      <c r="V543" s="241"/>
      <c r="W543" s="241"/>
      <c r="X543" s="241"/>
      <c r="Y543" s="241"/>
      <c r="Z543" s="241"/>
      <c r="AA543" s="241"/>
    </row>
    <row r="544">
      <c r="A544" s="243"/>
      <c r="B544" s="243"/>
      <c r="C544" s="241"/>
      <c r="D544" s="241"/>
      <c r="E544" s="241"/>
      <c r="F544" s="241"/>
      <c r="G544" s="241"/>
      <c r="H544" s="241"/>
      <c r="I544" s="241"/>
      <c r="J544" s="241"/>
      <c r="K544" s="241"/>
      <c r="L544" s="241"/>
      <c r="M544" s="241"/>
      <c r="N544" s="241"/>
      <c r="O544" s="241"/>
      <c r="P544" s="241"/>
      <c r="Q544" s="241"/>
      <c r="R544" s="241"/>
      <c r="S544" s="241"/>
      <c r="T544" s="241"/>
      <c r="U544" s="241"/>
      <c r="V544" s="241"/>
      <c r="W544" s="241"/>
      <c r="X544" s="241"/>
      <c r="Y544" s="241"/>
      <c r="Z544" s="241"/>
      <c r="AA544" s="241"/>
    </row>
    <row r="545">
      <c r="A545" s="243"/>
      <c r="B545" s="243"/>
      <c r="C545" s="241"/>
      <c r="D545" s="241"/>
      <c r="E545" s="241"/>
      <c r="F545" s="241"/>
      <c r="G545" s="241"/>
      <c r="H545" s="241"/>
      <c r="I545" s="241"/>
      <c r="J545" s="241"/>
      <c r="K545" s="241"/>
      <c r="L545" s="241"/>
      <c r="M545" s="241"/>
      <c r="N545" s="241"/>
      <c r="O545" s="241"/>
      <c r="P545" s="241"/>
      <c r="Q545" s="241"/>
      <c r="R545" s="241"/>
      <c r="S545" s="241"/>
      <c r="T545" s="241"/>
      <c r="U545" s="241"/>
      <c r="V545" s="241"/>
      <c r="W545" s="241"/>
      <c r="X545" s="241"/>
      <c r="Y545" s="241"/>
      <c r="Z545" s="241"/>
      <c r="AA545" s="241"/>
    </row>
    <row r="546">
      <c r="A546" s="243"/>
      <c r="B546" s="243"/>
      <c r="C546" s="241"/>
      <c r="D546" s="241"/>
      <c r="E546" s="241"/>
      <c r="F546" s="241"/>
      <c r="G546" s="241"/>
      <c r="H546" s="241"/>
      <c r="I546" s="241"/>
      <c r="J546" s="241"/>
      <c r="K546" s="241"/>
      <c r="L546" s="241"/>
      <c r="M546" s="241"/>
      <c r="N546" s="241"/>
      <c r="O546" s="241"/>
      <c r="P546" s="241"/>
      <c r="Q546" s="241"/>
      <c r="R546" s="241"/>
      <c r="S546" s="241"/>
      <c r="T546" s="241"/>
      <c r="U546" s="241"/>
      <c r="V546" s="241"/>
      <c r="W546" s="241"/>
      <c r="X546" s="241"/>
      <c r="Y546" s="241"/>
      <c r="Z546" s="241"/>
      <c r="AA546" s="241"/>
    </row>
    <row r="547">
      <c r="A547" s="243"/>
      <c r="B547" s="243"/>
      <c r="C547" s="241"/>
      <c r="D547" s="241"/>
      <c r="E547" s="241"/>
      <c r="F547" s="241"/>
      <c r="G547" s="241"/>
      <c r="H547" s="241"/>
      <c r="I547" s="241"/>
      <c r="J547" s="241"/>
      <c r="K547" s="241"/>
      <c r="L547" s="241"/>
      <c r="M547" s="241"/>
      <c r="N547" s="241"/>
      <c r="O547" s="241"/>
      <c r="P547" s="241"/>
      <c r="Q547" s="241"/>
      <c r="R547" s="241"/>
      <c r="S547" s="241"/>
      <c r="T547" s="241"/>
      <c r="U547" s="241"/>
      <c r="V547" s="241"/>
      <c r="W547" s="241"/>
      <c r="X547" s="241"/>
      <c r="Y547" s="241"/>
      <c r="Z547" s="241"/>
      <c r="AA547" s="241"/>
    </row>
    <row r="548">
      <c r="A548" s="243"/>
      <c r="B548" s="243"/>
      <c r="C548" s="241"/>
      <c r="D548" s="241"/>
      <c r="E548" s="241"/>
      <c r="F548" s="241"/>
      <c r="G548" s="241"/>
      <c r="H548" s="241"/>
      <c r="I548" s="241"/>
      <c r="J548" s="241"/>
      <c r="K548" s="241"/>
      <c r="L548" s="241"/>
      <c r="M548" s="241"/>
      <c r="N548" s="241"/>
      <c r="O548" s="241"/>
      <c r="P548" s="241"/>
      <c r="Q548" s="241"/>
      <c r="R548" s="241"/>
      <c r="S548" s="241"/>
      <c r="T548" s="241"/>
      <c r="U548" s="241"/>
      <c r="V548" s="241"/>
      <c r="W548" s="241"/>
      <c r="X548" s="241"/>
      <c r="Y548" s="241"/>
      <c r="Z548" s="241"/>
      <c r="AA548" s="241"/>
    </row>
    <row r="549">
      <c r="A549" s="243"/>
      <c r="B549" s="243"/>
      <c r="C549" s="241"/>
      <c r="D549" s="241"/>
      <c r="E549" s="241"/>
      <c r="F549" s="241"/>
      <c r="G549" s="241"/>
      <c r="H549" s="241"/>
      <c r="I549" s="241"/>
      <c r="J549" s="241"/>
      <c r="K549" s="241"/>
      <c r="L549" s="241"/>
      <c r="M549" s="241"/>
      <c r="N549" s="241"/>
      <c r="O549" s="241"/>
      <c r="P549" s="241"/>
      <c r="Q549" s="241"/>
      <c r="R549" s="241"/>
      <c r="S549" s="241"/>
      <c r="T549" s="241"/>
      <c r="U549" s="241"/>
      <c r="V549" s="241"/>
      <c r="W549" s="241"/>
      <c r="X549" s="241"/>
      <c r="Y549" s="241"/>
      <c r="Z549" s="241"/>
      <c r="AA549" s="241"/>
    </row>
    <row r="550">
      <c r="A550" s="243"/>
      <c r="B550" s="243"/>
      <c r="C550" s="241"/>
      <c r="D550" s="241"/>
      <c r="E550" s="241"/>
      <c r="F550" s="241"/>
      <c r="G550" s="241"/>
      <c r="H550" s="241"/>
      <c r="I550" s="241"/>
      <c r="J550" s="241"/>
      <c r="K550" s="241"/>
      <c r="L550" s="241"/>
      <c r="M550" s="241"/>
      <c r="N550" s="241"/>
      <c r="O550" s="241"/>
      <c r="P550" s="241"/>
      <c r="Q550" s="241"/>
      <c r="R550" s="241"/>
      <c r="S550" s="241"/>
      <c r="T550" s="241"/>
      <c r="U550" s="241"/>
      <c r="V550" s="241"/>
      <c r="W550" s="241"/>
      <c r="X550" s="241"/>
      <c r="Y550" s="241"/>
      <c r="Z550" s="241"/>
      <c r="AA550" s="241"/>
    </row>
    <row r="551">
      <c r="A551" s="243"/>
      <c r="B551" s="243"/>
      <c r="C551" s="241"/>
      <c r="D551" s="241"/>
      <c r="E551" s="241"/>
      <c r="F551" s="241"/>
      <c r="G551" s="241"/>
      <c r="H551" s="241"/>
      <c r="I551" s="241"/>
      <c r="J551" s="241"/>
      <c r="K551" s="241"/>
      <c r="L551" s="241"/>
      <c r="M551" s="241"/>
      <c r="N551" s="241"/>
      <c r="O551" s="241"/>
      <c r="P551" s="241"/>
      <c r="Q551" s="241"/>
      <c r="R551" s="241"/>
      <c r="S551" s="241"/>
      <c r="T551" s="241"/>
      <c r="U551" s="241"/>
      <c r="V551" s="241"/>
      <c r="W551" s="241"/>
      <c r="X551" s="241"/>
      <c r="Y551" s="241"/>
      <c r="Z551" s="241"/>
      <c r="AA551" s="241"/>
    </row>
    <row r="552">
      <c r="A552" s="243"/>
      <c r="B552" s="243"/>
      <c r="C552" s="241"/>
      <c r="D552" s="241"/>
      <c r="E552" s="241"/>
      <c r="F552" s="241"/>
      <c r="G552" s="241"/>
      <c r="H552" s="241"/>
      <c r="I552" s="241"/>
      <c r="J552" s="241"/>
      <c r="K552" s="241"/>
      <c r="L552" s="241"/>
      <c r="M552" s="241"/>
      <c r="N552" s="241"/>
      <c r="O552" s="241"/>
      <c r="P552" s="241"/>
      <c r="Q552" s="241"/>
      <c r="R552" s="241"/>
      <c r="S552" s="241"/>
      <c r="T552" s="241"/>
      <c r="U552" s="241"/>
      <c r="V552" s="241"/>
      <c r="W552" s="241"/>
      <c r="X552" s="241"/>
      <c r="Y552" s="241"/>
      <c r="Z552" s="241"/>
      <c r="AA552" s="241"/>
    </row>
    <row r="553">
      <c r="A553" s="243"/>
      <c r="B553" s="243"/>
      <c r="C553" s="241"/>
      <c r="D553" s="241"/>
      <c r="E553" s="241"/>
      <c r="F553" s="241"/>
      <c r="G553" s="241"/>
      <c r="H553" s="241"/>
      <c r="I553" s="241"/>
      <c r="J553" s="241"/>
      <c r="K553" s="241"/>
      <c r="L553" s="241"/>
      <c r="M553" s="241"/>
      <c r="N553" s="241"/>
      <c r="O553" s="241"/>
      <c r="P553" s="241"/>
      <c r="Q553" s="241"/>
      <c r="R553" s="241"/>
      <c r="S553" s="241"/>
      <c r="T553" s="241"/>
      <c r="U553" s="241"/>
      <c r="V553" s="241"/>
      <c r="W553" s="241"/>
      <c r="X553" s="241"/>
      <c r="Y553" s="241"/>
      <c r="Z553" s="241"/>
      <c r="AA553" s="241"/>
    </row>
    <row r="554">
      <c r="A554" s="243"/>
      <c r="B554" s="243"/>
      <c r="C554" s="241"/>
      <c r="D554" s="241"/>
      <c r="E554" s="241"/>
      <c r="F554" s="241"/>
      <c r="G554" s="241"/>
      <c r="H554" s="241"/>
      <c r="I554" s="241"/>
      <c r="J554" s="241"/>
      <c r="K554" s="241"/>
      <c r="L554" s="241"/>
      <c r="M554" s="241"/>
      <c r="N554" s="241"/>
      <c r="O554" s="241"/>
      <c r="P554" s="241"/>
      <c r="Q554" s="241"/>
      <c r="R554" s="241"/>
      <c r="S554" s="241"/>
      <c r="T554" s="241"/>
      <c r="U554" s="241"/>
      <c r="V554" s="241"/>
      <c r="W554" s="241"/>
      <c r="X554" s="241"/>
      <c r="Y554" s="241"/>
      <c r="Z554" s="241"/>
      <c r="AA554" s="241"/>
    </row>
    <row r="555">
      <c r="A555" s="243"/>
      <c r="B555" s="243"/>
      <c r="C555" s="241"/>
      <c r="D555" s="241"/>
      <c r="E555" s="241"/>
      <c r="F555" s="241"/>
      <c r="G555" s="241"/>
      <c r="H555" s="241"/>
      <c r="I555" s="241"/>
      <c r="J555" s="241"/>
      <c r="K555" s="241"/>
      <c r="L555" s="241"/>
      <c r="M555" s="241"/>
      <c r="N555" s="241"/>
      <c r="O555" s="241"/>
      <c r="P555" s="241"/>
      <c r="Q555" s="241"/>
      <c r="R555" s="241"/>
      <c r="S555" s="241"/>
      <c r="T555" s="241"/>
      <c r="U555" s="241"/>
      <c r="V555" s="241"/>
      <c r="W555" s="241"/>
      <c r="X555" s="241"/>
      <c r="Y555" s="241"/>
      <c r="Z555" s="241"/>
      <c r="AA555" s="241"/>
    </row>
    <row r="556">
      <c r="A556" s="243"/>
      <c r="B556" s="243"/>
      <c r="C556" s="241"/>
      <c r="D556" s="241"/>
      <c r="E556" s="241"/>
      <c r="F556" s="241"/>
      <c r="G556" s="241"/>
      <c r="H556" s="241"/>
      <c r="I556" s="241"/>
      <c r="J556" s="241"/>
      <c r="K556" s="241"/>
      <c r="L556" s="241"/>
      <c r="M556" s="241"/>
      <c r="N556" s="241"/>
      <c r="O556" s="241"/>
      <c r="P556" s="241"/>
      <c r="Q556" s="241"/>
      <c r="R556" s="241"/>
      <c r="S556" s="241"/>
      <c r="T556" s="241"/>
      <c r="U556" s="241"/>
      <c r="V556" s="241"/>
      <c r="W556" s="241"/>
      <c r="X556" s="241"/>
      <c r="Y556" s="241"/>
      <c r="Z556" s="241"/>
      <c r="AA556" s="241"/>
    </row>
    <row r="557">
      <c r="A557" s="243"/>
      <c r="B557" s="243"/>
      <c r="C557" s="241"/>
      <c r="D557" s="241"/>
      <c r="E557" s="241"/>
      <c r="F557" s="241"/>
      <c r="G557" s="241"/>
      <c r="H557" s="241"/>
      <c r="I557" s="241"/>
      <c r="J557" s="241"/>
      <c r="K557" s="241"/>
      <c r="L557" s="241"/>
      <c r="M557" s="241"/>
      <c r="N557" s="241"/>
      <c r="O557" s="241"/>
      <c r="P557" s="241"/>
      <c r="Q557" s="241"/>
      <c r="R557" s="241"/>
      <c r="S557" s="241"/>
      <c r="T557" s="241"/>
      <c r="U557" s="241"/>
      <c r="V557" s="241"/>
      <c r="W557" s="241"/>
      <c r="X557" s="241"/>
      <c r="Y557" s="241"/>
      <c r="Z557" s="241"/>
      <c r="AA557" s="241"/>
    </row>
    <row r="558">
      <c r="A558" s="243"/>
      <c r="B558" s="243"/>
      <c r="C558" s="241"/>
      <c r="D558" s="241"/>
      <c r="E558" s="241"/>
      <c r="F558" s="241"/>
      <c r="G558" s="241"/>
      <c r="H558" s="241"/>
      <c r="I558" s="241"/>
      <c r="J558" s="241"/>
      <c r="K558" s="241"/>
      <c r="L558" s="241"/>
      <c r="M558" s="241"/>
      <c r="N558" s="241"/>
      <c r="O558" s="241"/>
      <c r="P558" s="241"/>
      <c r="Q558" s="241"/>
      <c r="R558" s="241"/>
      <c r="S558" s="241"/>
      <c r="T558" s="241"/>
      <c r="U558" s="241"/>
      <c r="V558" s="241"/>
      <c r="W558" s="241"/>
      <c r="X558" s="241"/>
      <c r="Y558" s="241"/>
      <c r="Z558" s="241"/>
      <c r="AA558" s="241"/>
    </row>
    <row r="559">
      <c r="A559" s="243"/>
      <c r="B559" s="243"/>
      <c r="C559" s="241"/>
      <c r="D559" s="241"/>
      <c r="E559" s="241"/>
      <c r="F559" s="241"/>
      <c r="G559" s="241"/>
      <c r="H559" s="241"/>
      <c r="I559" s="241"/>
      <c r="J559" s="241"/>
      <c r="K559" s="241"/>
      <c r="L559" s="241"/>
      <c r="M559" s="241"/>
      <c r="N559" s="241"/>
      <c r="O559" s="241"/>
      <c r="P559" s="241"/>
      <c r="Q559" s="241"/>
      <c r="R559" s="241"/>
      <c r="S559" s="241"/>
      <c r="T559" s="241"/>
      <c r="U559" s="241"/>
      <c r="V559" s="241"/>
      <c r="W559" s="241"/>
      <c r="X559" s="241"/>
      <c r="Y559" s="241"/>
      <c r="Z559" s="241"/>
      <c r="AA559" s="241"/>
    </row>
    <row r="560">
      <c r="A560" s="243"/>
      <c r="B560" s="243"/>
      <c r="C560" s="241"/>
      <c r="D560" s="241"/>
      <c r="E560" s="241"/>
      <c r="F560" s="241"/>
      <c r="G560" s="241"/>
      <c r="H560" s="241"/>
      <c r="I560" s="241"/>
      <c r="J560" s="241"/>
      <c r="K560" s="241"/>
      <c r="L560" s="241"/>
      <c r="M560" s="241"/>
      <c r="N560" s="241"/>
      <c r="O560" s="241"/>
      <c r="P560" s="241"/>
      <c r="Q560" s="241"/>
      <c r="R560" s="241"/>
      <c r="S560" s="241"/>
      <c r="T560" s="241"/>
      <c r="U560" s="241"/>
      <c r="V560" s="241"/>
      <c r="W560" s="241"/>
      <c r="X560" s="241"/>
      <c r="Y560" s="241"/>
      <c r="Z560" s="241"/>
      <c r="AA560" s="241"/>
    </row>
    <row r="561">
      <c r="A561" s="243"/>
      <c r="B561" s="243"/>
      <c r="C561" s="241"/>
      <c r="D561" s="241"/>
      <c r="E561" s="241"/>
      <c r="F561" s="241"/>
      <c r="G561" s="241"/>
      <c r="H561" s="241"/>
      <c r="I561" s="241"/>
      <c r="J561" s="241"/>
      <c r="K561" s="241"/>
      <c r="L561" s="241"/>
      <c r="M561" s="241"/>
      <c r="N561" s="241"/>
      <c r="O561" s="241"/>
      <c r="P561" s="241"/>
      <c r="Q561" s="241"/>
      <c r="R561" s="241"/>
      <c r="S561" s="241"/>
      <c r="T561" s="241"/>
      <c r="U561" s="241"/>
      <c r="V561" s="241"/>
      <c r="W561" s="241"/>
      <c r="X561" s="241"/>
      <c r="Y561" s="241"/>
      <c r="Z561" s="241"/>
      <c r="AA561" s="241"/>
    </row>
    <row r="562">
      <c r="A562" s="243"/>
      <c r="B562" s="243"/>
      <c r="C562" s="241"/>
      <c r="D562" s="241"/>
      <c r="E562" s="241"/>
      <c r="F562" s="241"/>
      <c r="G562" s="241"/>
      <c r="H562" s="241"/>
      <c r="I562" s="241"/>
      <c r="J562" s="241"/>
      <c r="K562" s="241"/>
      <c r="L562" s="241"/>
      <c r="M562" s="241"/>
      <c r="N562" s="241"/>
      <c r="O562" s="241"/>
      <c r="P562" s="241"/>
      <c r="Q562" s="241"/>
      <c r="R562" s="241"/>
      <c r="S562" s="241"/>
      <c r="T562" s="241"/>
      <c r="U562" s="241"/>
      <c r="V562" s="241"/>
      <c r="W562" s="241"/>
      <c r="X562" s="241"/>
      <c r="Y562" s="241"/>
      <c r="Z562" s="241"/>
      <c r="AA562" s="241"/>
    </row>
    <row r="563">
      <c r="A563" s="243"/>
      <c r="B563" s="243"/>
      <c r="C563" s="241"/>
      <c r="D563" s="241"/>
      <c r="E563" s="241"/>
      <c r="F563" s="241"/>
      <c r="G563" s="241"/>
      <c r="H563" s="241"/>
      <c r="I563" s="241"/>
      <c r="J563" s="241"/>
      <c r="K563" s="241"/>
      <c r="L563" s="241"/>
      <c r="M563" s="241"/>
      <c r="N563" s="241"/>
      <c r="O563" s="241"/>
      <c r="P563" s="241"/>
      <c r="Q563" s="241"/>
      <c r="R563" s="241"/>
      <c r="S563" s="241"/>
      <c r="T563" s="241"/>
      <c r="U563" s="241"/>
      <c r="V563" s="241"/>
      <c r="W563" s="241"/>
      <c r="X563" s="241"/>
      <c r="Y563" s="241"/>
      <c r="Z563" s="241"/>
      <c r="AA563" s="241"/>
    </row>
    <row r="564">
      <c r="A564" s="243"/>
      <c r="B564" s="243"/>
      <c r="C564" s="241"/>
      <c r="D564" s="241"/>
      <c r="E564" s="241"/>
      <c r="F564" s="241"/>
      <c r="G564" s="241"/>
      <c r="H564" s="241"/>
      <c r="I564" s="241"/>
      <c r="J564" s="241"/>
      <c r="K564" s="241"/>
      <c r="L564" s="241"/>
      <c r="M564" s="241"/>
      <c r="N564" s="241"/>
      <c r="O564" s="241"/>
      <c r="P564" s="241"/>
      <c r="Q564" s="241"/>
      <c r="R564" s="241"/>
      <c r="S564" s="241"/>
      <c r="T564" s="241"/>
      <c r="U564" s="241"/>
      <c r="V564" s="241"/>
      <c r="W564" s="241"/>
      <c r="X564" s="241"/>
      <c r="Y564" s="241"/>
      <c r="Z564" s="241"/>
      <c r="AA564" s="241"/>
    </row>
    <row r="565">
      <c r="A565" s="243"/>
      <c r="B565" s="243"/>
      <c r="C565" s="241"/>
      <c r="D565" s="241"/>
      <c r="E565" s="241"/>
      <c r="F565" s="241"/>
      <c r="G565" s="241"/>
      <c r="H565" s="241"/>
      <c r="I565" s="241"/>
      <c r="J565" s="241"/>
      <c r="K565" s="241"/>
      <c r="L565" s="241"/>
      <c r="M565" s="241"/>
      <c r="N565" s="241"/>
      <c r="O565" s="241"/>
      <c r="P565" s="241"/>
      <c r="Q565" s="241"/>
      <c r="R565" s="241"/>
      <c r="S565" s="241"/>
      <c r="T565" s="241"/>
      <c r="U565" s="241"/>
      <c r="V565" s="241"/>
      <c r="W565" s="241"/>
      <c r="X565" s="241"/>
      <c r="Y565" s="241"/>
      <c r="Z565" s="241"/>
      <c r="AA565" s="241"/>
    </row>
    <row r="566">
      <c r="A566" s="243"/>
      <c r="B566" s="243"/>
      <c r="C566" s="241"/>
      <c r="D566" s="241"/>
      <c r="E566" s="241"/>
      <c r="F566" s="241"/>
      <c r="G566" s="241"/>
      <c r="H566" s="241"/>
      <c r="I566" s="241"/>
      <c r="J566" s="241"/>
      <c r="K566" s="241"/>
      <c r="L566" s="241"/>
      <c r="M566" s="241"/>
      <c r="N566" s="241"/>
      <c r="O566" s="241"/>
      <c r="P566" s="241"/>
      <c r="Q566" s="241"/>
      <c r="R566" s="241"/>
      <c r="S566" s="241"/>
      <c r="T566" s="241"/>
      <c r="U566" s="241"/>
      <c r="V566" s="241"/>
      <c r="W566" s="241"/>
      <c r="X566" s="241"/>
      <c r="Y566" s="241"/>
      <c r="Z566" s="241"/>
      <c r="AA566" s="241"/>
    </row>
    <row r="567">
      <c r="A567" s="243"/>
      <c r="B567" s="243"/>
      <c r="C567" s="241"/>
      <c r="D567" s="241"/>
      <c r="E567" s="241"/>
      <c r="F567" s="241"/>
      <c r="G567" s="241"/>
      <c r="H567" s="241"/>
      <c r="I567" s="241"/>
      <c r="J567" s="241"/>
      <c r="K567" s="241"/>
      <c r="L567" s="241"/>
      <c r="M567" s="241"/>
      <c r="N567" s="241"/>
      <c r="O567" s="241"/>
      <c r="P567" s="241"/>
      <c r="Q567" s="241"/>
      <c r="R567" s="241"/>
      <c r="S567" s="241"/>
      <c r="T567" s="241"/>
      <c r="U567" s="241"/>
      <c r="V567" s="241"/>
      <c r="W567" s="241"/>
      <c r="X567" s="241"/>
      <c r="Y567" s="241"/>
      <c r="Z567" s="241"/>
      <c r="AA567" s="241"/>
    </row>
    <row r="568">
      <c r="A568" s="243"/>
      <c r="B568" s="243"/>
      <c r="C568" s="241"/>
      <c r="D568" s="241"/>
      <c r="E568" s="241"/>
      <c r="F568" s="241"/>
      <c r="G568" s="241"/>
      <c r="H568" s="241"/>
      <c r="I568" s="241"/>
      <c r="J568" s="241"/>
      <c r="K568" s="241"/>
      <c r="L568" s="241"/>
      <c r="M568" s="241"/>
      <c r="N568" s="241"/>
      <c r="O568" s="241"/>
      <c r="P568" s="241"/>
      <c r="Q568" s="241"/>
      <c r="R568" s="241"/>
      <c r="S568" s="241"/>
      <c r="T568" s="241"/>
      <c r="U568" s="241"/>
      <c r="V568" s="241"/>
      <c r="W568" s="241"/>
      <c r="X568" s="241"/>
      <c r="Y568" s="241"/>
      <c r="Z568" s="241"/>
      <c r="AA568" s="241"/>
    </row>
    <row r="569">
      <c r="A569" s="243"/>
      <c r="B569" s="243"/>
      <c r="C569" s="241"/>
      <c r="D569" s="241"/>
      <c r="E569" s="241"/>
      <c r="F569" s="241"/>
      <c r="G569" s="241"/>
      <c r="H569" s="241"/>
      <c r="I569" s="241"/>
      <c r="J569" s="241"/>
      <c r="K569" s="241"/>
      <c r="L569" s="241"/>
      <c r="M569" s="241"/>
      <c r="N569" s="241"/>
      <c r="O569" s="241"/>
      <c r="P569" s="241"/>
      <c r="Q569" s="241"/>
      <c r="R569" s="241"/>
      <c r="S569" s="241"/>
      <c r="T569" s="241"/>
      <c r="U569" s="241"/>
      <c r="V569" s="241"/>
      <c r="W569" s="241"/>
      <c r="X569" s="241"/>
      <c r="Y569" s="241"/>
      <c r="Z569" s="241"/>
      <c r="AA569" s="241"/>
    </row>
    <row r="570">
      <c r="A570" s="243"/>
      <c r="B570" s="243"/>
      <c r="C570" s="241"/>
      <c r="D570" s="241"/>
      <c r="E570" s="241"/>
      <c r="F570" s="241"/>
      <c r="G570" s="241"/>
      <c r="H570" s="241"/>
      <c r="I570" s="241"/>
      <c r="J570" s="241"/>
      <c r="K570" s="241"/>
      <c r="L570" s="241"/>
      <c r="M570" s="241"/>
      <c r="N570" s="241"/>
      <c r="O570" s="241"/>
      <c r="P570" s="241"/>
      <c r="Q570" s="241"/>
      <c r="R570" s="241"/>
      <c r="S570" s="241"/>
      <c r="T570" s="241"/>
      <c r="U570" s="241"/>
      <c r="V570" s="241"/>
      <c r="W570" s="241"/>
      <c r="X570" s="241"/>
      <c r="Y570" s="241"/>
      <c r="Z570" s="241"/>
      <c r="AA570" s="241"/>
    </row>
    <row r="571">
      <c r="A571" s="243"/>
      <c r="B571" s="243"/>
      <c r="C571" s="241"/>
      <c r="D571" s="241"/>
      <c r="E571" s="241"/>
      <c r="F571" s="241"/>
      <c r="G571" s="241"/>
      <c r="H571" s="241"/>
      <c r="I571" s="241"/>
      <c r="J571" s="241"/>
      <c r="K571" s="241"/>
      <c r="L571" s="241"/>
      <c r="M571" s="241"/>
      <c r="N571" s="241"/>
      <c r="O571" s="241"/>
      <c r="P571" s="241"/>
      <c r="Q571" s="241"/>
      <c r="R571" s="241"/>
      <c r="S571" s="241"/>
      <c r="T571" s="241"/>
      <c r="U571" s="241"/>
      <c r="V571" s="241"/>
      <c r="W571" s="241"/>
      <c r="X571" s="241"/>
      <c r="Y571" s="241"/>
      <c r="Z571" s="241"/>
      <c r="AA571" s="241"/>
    </row>
    <row r="572">
      <c r="A572" s="243"/>
      <c r="B572" s="243"/>
      <c r="C572" s="241"/>
      <c r="D572" s="241"/>
      <c r="E572" s="241"/>
      <c r="F572" s="241"/>
      <c r="G572" s="241"/>
      <c r="H572" s="241"/>
      <c r="I572" s="241"/>
      <c r="J572" s="241"/>
      <c r="K572" s="241"/>
      <c r="L572" s="241"/>
      <c r="M572" s="241"/>
      <c r="N572" s="241"/>
      <c r="O572" s="241"/>
      <c r="P572" s="241"/>
      <c r="Q572" s="241"/>
      <c r="R572" s="241"/>
      <c r="S572" s="241"/>
      <c r="T572" s="241"/>
      <c r="U572" s="241"/>
      <c r="V572" s="241"/>
      <c r="W572" s="241"/>
      <c r="X572" s="241"/>
      <c r="Y572" s="241"/>
      <c r="Z572" s="241"/>
      <c r="AA572" s="241"/>
    </row>
    <row r="573">
      <c r="A573" s="243"/>
      <c r="B573" s="243"/>
      <c r="C573" s="241"/>
      <c r="D573" s="241"/>
      <c r="E573" s="241"/>
      <c r="F573" s="241"/>
      <c r="G573" s="241"/>
      <c r="H573" s="241"/>
      <c r="I573" s="241"/>
      <c r="J573" s="241"/>
      <c r="K573" s="241"/>
      <c r="L573" s="241"/>
      <c r="M573" s="241"/>
      <c r="N573" s="241"/>
      <c r="O573" s="241"/>
      <c r="P573" s="241"/>
      <c r="Q573" s="241"/>
      <c r="R573" s="241"/>
      <c r="S573" s="241"/>
      <c r="T573" s="241"/>
      <c r="U573" s="241"/>
      <c r="V573" s="241"/>
      <c r="W573" s="241"/>
      <c r="X573" s="241"/>
      <c r="Y573" s="241"/>
      <c r="Z573" s="241"/>
      <c r="AA573" s="241"/>
    </row>
    <row r="574">
      <c r="A574" s="243"/>
      <c r="B574" s="243"/>
      <c r="C574" s="241"/>
      <c r="D574" s="241"/>
      <c r="E574" s="241"/>
      <c r="F574" s="241"/>
      <c r="G574" s="241"/>
      <c r="H574" s="241"/>
      <c r="I574" s="241"/>
      <c r="J574" s="241"/>
      <c r="K574" s="241"/>
      <c r="L574" s="241"/>
      <c r="M574" s="241"/>
      <c r="N574" s="241"/>
      <c r="O574" s="241"/>
      <c r="P574" s="241"/>
      <c r="Q574" s="241"/>
      <c r="R574" s="241"/>
      <c r="S574" s="241"/>
      <c r="T574" s="241"/>
      <c r="U574" s="241"/>
      <c r="V574" s="241"/>
      <c r="W574" s="241"/>
      <c r="X574" s="241"/>
      <c r="Y574" s="241"/>
      <c r="Z574" s="241"/>
      <c r="AA574" s="241"/>
    </row>
    <row r="575">
      <c r="A575" s="243"/>
      <c r="B575" s="243"/>
      <c r="C575" s="241"/>
      <c r="D575" s="241"/>
      <c r="E575" s="241"/>
      <c r="F575" s="241"/>
      <c r="G575" s="241"/>
      <c r="H575" s="241"/>
      <c r="I575" s="241"/>
      <c r="J575" s="241"/>
      <c r="K575" s="241"/>
      <c r="L575" s="241"/>
      <c r="M575" s="241"/>
      <c r="N575" s="241"/>
      <c r="O575" s="241"/>
      <c r="P575" s="241"/>
      <c r="Q575" s="241"/>
      <c r="R575" s="241"/>
      <c r="S575" s="241"/>
      <c r="T575" s="241"/>
      <c r="U575" s="241"/>
      <c r="V575" s="241"/>
      <c r="W575" s="241"/>
      <c r="X575" s="241"/>
      <c r="Y575" s="241"/>
      <c r="Z575" s="241"/>
      <c r="AA575" s="241"/>
    </row>
    <row r="576">
      <c r="A576" s="243"/>
      <c r="B576" s="243"/>
      <c r="C576" s="241"/>
      <c r="D576" s="241"/>
      <c r="E576" s="241"/>
      <c r="F576" s="241"/>
      <c r="G576" s="241"/>
      <c r="H576" s="241"/>
      <c r="I576" s="241"/>
      <c r="J576" s="241"/>
      <c r="K576" s="241"/>
      <c r="L576" s="241"/>
      <c r="M576" s="241"/>
      <c r="N576" s="241"/>
      <c r="O576" s="241"/>
      <c r="P576" s="241"/>
      <c r="Q576" s="241"/>
      <c r="R576" s="241"/>
      <c r="S576" s="241"/>
      <c r="T576" s="241"/>
      <c r="U576" s="241"/>
      <c r="V576" s="241"/>
      <c r="W576" s="241"/>
      <c r="X576" s="241"/>
      <c r="Y576" s="241"/>
      <c r="Z576" s="241"/>
      <c r="AA576" s="241"/>
    </row>
    <row r="577">
      <c r="A577" s="243"/>
      <c r="B577" s="243"/>
      <c r="C577" s="241"/>
      <c r="D577" s="241"/>
      <c r="E577" s="241"/>
      <c r="F577" s="241"/>
      <c r="G577" s="241"/>
      <c r="H577" s="241"/>
      <c r="I577" s="241"/>
      <c r="J577" s="241"/>
      <c r="K577" s="241"/>
      <c r="L577" s="241"/>
      <c r="M577" s="241"/>
      <c r="N577" s="241"/>
      <c r="O577" s="241"/>
      <c r="P577" s="241"/>
      <c r="Q577" s="241"/>
      <c r="R577" s="241"/>
      <c r="S577" s="241"/>
      <c r="T577" s="241"/>
      <c r="U577" s="241"/>
      <c r="V577" s="241"/>
      <c r="W577" s="241"/>
      <c r="X577" s="241"/>
      <c r="Y577" s="241"/>
      <c r="Z577" s="241"/>
      <c r="AA577" s="241"/>
    </row>
    <row r="578">
      <c r="A578" s="243"/>
      <c r="B578" s="243"/>
      <c r="C578" s="241"/>
      <c r="D578" s="241"/>
      <c r="E578" s="241"/>
      <c r="F578" s="241"/>
      <c r="G578" s="241"/>
      <c r="H578" s="241"/>
      <c r="I578" s="241"/>
      <c r="J578" s="241"/>
      <c r="K578" s="241"/>
      <c r="L578" s="241"/>
      <c r="M578" s="241"/>
      <c r="N578" s="241"/>
      <c r="O578" s="241"/>
      <c r="P578" s="241"/>
      <c r="Q578" s="241"/>
      <c r="R578" s="241"/>
      <c r="S578" s="241"/>
      <c r="T578" s="241"/>
      <c r="U578" s="241"/>
      <c r="V578" s="241"/>
      <c r="W578" s="241"/>
      <c r="X578" s="241"/>
      <c r="Y578" s="241"/>
      <c r="Z578" s="241"/>
      <c r="AA578" s="241"/>
    </row>
    <row r="579">
      <c r="A579" s="243"/>
      <c r="B579" s="243"/>
      <c r="C579" s="241"/>
      <c r="D579" s="241"/>
      <c r="E579" s="241"/>
      <c r="F579" s="241"/>
      <c r="G579" s="241"/>
      <c r="H579" s="241"/>
      <c r="I579" s="241"/>
      <c r="J579" s="241"/>
      <c r="K579" s="241"/>
      <c r="L579" s="241"/>
      <c r="M579" s="241"/>
      <c r="N579" s="241"/>
      <c r="O579" s="241"/>
      <c r="P579" s="241"/>
      <c r="Q579" s="241"/>
      <c r="R579" s="241"/>
      <c r="S579" s="241"/>
      <c r="T579" s="241"/>
      <c r="U579" s="241"/>
      <c r="V579" s="241"/>
      <c r="W579" s="241"/>
      <c r="X579" s="241"/>
      <c r="Y579" s="241"/>
      <c r="Z579" s="241"/>
      <c r="AA579" s="241"/>
    </row>
    <row r="580">
      <c r="A580" s="243"/>
      <c r="B580" s="243"/>
      <c r="C580" s="241"/>
      <c r="D580" s="241"/>
      <c r="E580" s="241"/>
      <c r="F580" s="241"/>
      <c r="G580" s="241"/>
      <c r="H580" s="241"/>
      <c r="I580" s="241"/>
      <c r="J580" s="241"/>
      <c r="K580" s="241"/>
      <c r="L580" s="241"/>
      <c r="M580" s="241"/>
      <c r="N580" s="241"/>
      <c r="O580" s="241"/>
      <c r="P580" s="241"/>
      <c r="Q580" s="241"/>
      <c r="R580" s="241"/>
      <c r="S580" s="241"/>
      <c r="T580" s="241"/>
      <c r="U580" s="241"/>
      <c r="V580" s="241"/>
      <c r="W580" s="241"/>
      <c r="X580" s="241"/>
      <c r="Y580" s="241"/>
      <c r="Z580" s="241"/>
      <c r="AA580" s="241"/>
    </row>
    <row r="581">
      <c r="A581" s="243"/>
      <c r="B581" s="243"/>
      <c r="C581" s="241"/>
      <c r="D581" s="241"/>
      <c r="E581" s="241"/>
      <c r="F581" s="241"/>
      <c r="G581" s="241"/>
      <c r="H581" s="241"/>
      <c r="I581" s="241"/>
      <c r="J581" s="241"/>
      <c r="K581" s="241"/>
      <c r="L581" s="241"/>
      <c r="M581" s="241"/>
      <c r="N581" s="241"/>
      <c r="O581" s="241"/>
      <c r="P581" s="241"/>
      <c r="Q581" s="241"/>
      <c r="R581" s="241"/>
      <c r="S581" s="241"/>
      <c r="T581" s="241"/>
      <c r="U581" s="241"/>
      <c r="V581" s="241"/>
      <c r="W581" s="241"/>
      <c r="X581" s="241"/>
      <c r="Y581" s="241"/>
      <c r="Z581" s="241"/>
      <c r="AA581" s="241"/>
    </row>
    <row r="582">
      <c r="A582" s="243"/>
      <c r="B582" s="243"/>
      <c r="C582" s="241"/>
      <c r="D582" s="241"/>
      <c r="E582" s="241"/>
      <c r="F582" s="241"/>
      <c r="G582" s="241"/>
      <c r="H582" s="241"/>
      <c r="I582" s="241"/>
      <c r="J582" s="241"/>
      <c r="K582" s="241"/>
      <c r="L582" s="241"/>
      <c r="M582" s="241"/>
      <c r="N582" s="241"/>
      <c r="O582" s="241"/>
      <c r="P582" s="241"/>
      <c r="Q582" s="241"/>
      <c r="R582" s="241"/>
      <c r="S582" s="241"/>
      <c r="T582" s="241"/>
      <c r="U582" s="241"/>
      <c r="V582" s="241"/>
      <c r="W582" s="241"/>
      <c r="X582" s="241"/>
      <c r="Y582" s="241"/>
      <c r="Z582" s="241"/>
      <c r="AA582" s="241"/>
    </row>
    <row r="583">
      <c r="A583" s="243"/>
      <c r="B583" s="243"/>
      <c r="C583" s="241"/>
      <c r="D583" s="241"/>
      <c r="E583" s="241"/>
      <c r="F583" s="241"/>
      <c r="G583" s="241"/>
      <c r="H583" s="241"/>
      <c r="I583" s="241"/>
      <c r="J583" s="241"/>
      <c r="K583" s="241"/>
      <c r="L583" s="241"/>
      <c r="M583" s="241"/>
      <c r="N583" s="241"/>
      <c r="O583" s="241"/>
      <c r="P583" s="241"/>
      <c r="Q583" s="241"/>
      <c r="R583" s="241"/>
      <c r="S583" s="241"/>
      <c r="T583" s="241"/>
      <c r="U583" s="241"/>
      <c r="V583" s="241"/>
      <c r="W583" s="241"/>
      <c r="X583" s="241"/>
      <c r="Y583" s="241"/>
      <c r="Z583" s="241"/>
      <c r="AA583" s="241"/>
    </row>
    <row r="584">
      <c r="A584" s="243"/>
      <c r="B584" s="243"/>
      <c r="C584" s="241"/>
      <c r="D584" s="241"/>
      <c r="E584" s="241"/>
      <c r="F584" s="241"/>
      <c r="G584" s="241"/>
      <c r="H584" s="241"/>
      <c r="I584" s="241"/>
      <c r="J584" s="241"/>
      <c r="K584" s="241"/>
      <c r="L584" s="241"/>
      <c r="M584" s="241"/>
      <c r="N584" s="241"/>
      <c r="O584" s="241"/>
      <c r="P584" s="241"/>
      <c r="Q584" s="241"/>
      <c r="R584" s="241"/>
      <c r="S584" s="241"/>
      <c r="T584" s="241"/>
      <c r="U584" s="241"/>
      <c r="V584" s="241"/>
      <c r="W584" s="241"/>
      <c r="X584" s="241"/>
      <c r="Y584" s="241"/>
      <c r="Z584" s="241"/>
      <c r="AA584" s="241"/>
    </row>
    <row r="585">
      <c r="A585" s="243"/>
      <c r="B585" s="243"/>
      <c r="C585" s="241"/>
      <c r="D585" s="241"/>
      <c r="E585" s="241"/>
      <c r="F585" s="241"/>
      <c r="G585" s="241"/>
      <c r="H585" s="241"/>
      <c r="I585" s="241"/>
      <c r="J585" s="241"/>
      <c r="K585" s="241"/>
      <c r="L585" s="241"/>
      <c r="M585" s="241"/>
      <c r="N585" s="241"/>
      <c r="O585" s="241"/>
      <c r="P585" s="241"/>
      <c r="Q585" s="241"/>
      <c r="R585" s="241"/>
      <c r="S585" s="241"/>
      <c r="T585" s="241"/>
      <c r="U585" s="241"/>
      <c r="V585" s="241"/>
      <c r="W585" s="241"/>
      <c r="X585" s="241"/>
      <c r="Y585" s="241"/>
      <c r="Z585" s="241"/>
      <c r="AA585" s="241"/>
    </row>
    <row r="586">
      <c r="A586" s="243"/>
      <c r="B586" s="243"/>
      <c r="C586" s="241"/>
      <c r="D586" s="241"/>
      <c r="E586" s="241"/>
      <c r="F586" s="241"/>
      <c r="G586" s="241"/>
      <c r="H586" s="241"/>
      <c r="I586" s="241"/>
      <c r="J586" s="241"/>
      <c r="K586" s="241"/>
      <c r="L586" s="241"/>
      <c r="M586" s="241"/>
      <c r="N586" s="241"/>
      <c r="O586" s="241"/>
      <c r="P586" s="241"/>
      <c r="Q586" s="241"/>
      <c r="R586" s="241"/>
      <c r="S586" s="241"/>
      <c r="T586" s="241"/>
      <c r="U586" s="241"/>
      <c r="V586" s="241"/>
      <c r="W586" s="241"/>
      <c r="X586" s="241"/>
      <c r="Y586" s="241"/>
      <c r="Z586" s="241"/>
      <c r="AA586" s="241"/>
    </row>
    <row r="587">
      <c r="A587" s="243"/>
      <c r="B587" s="243"/>
      <c r="C587" s="241"/>
      <c r="D587" s="241"/>
      <c r="E587" s="241"/>
      <c r="F587" s="241"/>
      <c r="G587" s="241"/>
      <c r="H587" s="241"/>
      <c r="I587" s="241"/>
      <c r="J587" s="241"/>
      <c r="K587" s="241"/>
      <c r="L587" s="241"/>
      <c r="M587" s="241"/>
      <c r="N587" s="241"/>
      <c r="O587" s="241"/>
      <c r="P587" s="241"/>
      <c r="Q587" s="241"/>
      <c r="R587" s="241"/>
      <c r="S587" s="241"/>
      <c r="T587" s="241"/>
      <c r="U587" s="241"/>
      <c r="V587" s="241"/>
      <c r="W587" s="241"/>
      <c r="X587" s="241"/>
      <c r="Y587" s="241"/>
      <c r="Z587" s="241"/>
      <c r="AA587" s="241"/>
    </row>
    <row r="588">
      <c r="A588" s="243"/>
      <c r="B588" s="243"/>
      <c r="C588" s="241"/>
      <c r="D588" s="241"/>
      <c r="E588" s="241"/>
      <c r="F588" s="241"/>
      <c r="G588" s="241"/>
      <c r="H588" s="241"/>
      <c r="I588" s="241"/>
      <c r="J588" s="241"/>
      <c r="K588" s="241"/>
      <c r="L588" s="241"/>
      <c r="M588" s="241"/>
      <c r="N588" s="241"/>
      <c r="O588" s="241"/>
      <c r="P588" s="241"/>
      <c r="Q588" s="241"/>
      <c r="R588" s="241"/>
      <c r="S588" s="241"/>
      <c r="T588" s="241"/>
      <c r="U588" s="241"/>
      <c r="V588" s="241"/>
      <c r="W588" s="241"/>
      <c r="X588" s="241"/>
      <c r="Y588" s="241"/>
      <c r="Z588" s="241"/>
      <c r="AA588" s="241"/>
    </row>
    <row r="589">
      <c r="A589" s="243"/>
      <c r="B589" s="243"/>
      <c r="C589" s="241"/>
      <c r="D589" s="241"/>
      <c r="E589" s="241"/>
      <c r="F589" s="241"/>
      <c r="G589" s="241"/>
      <c r="H589" s="241"/>
      <c r="I589" s="241"/>
      <c r="J589" s="241"/>
      <c r="K589" s="241"/>
      <c r="L589" s="241"/>
      <c r="M589" s="241"/>
      <c r="N589" s="241"/>
      <c r="O589" s="241"/>
      <c r="P589" s="241"/>
      <c r="Q589" s="241"/>
      <c r="R589" s="241"/>
      <c r="S589" s="241"/>
      <c r="T589" s="241"/>
      <c r="U589" s="241"/>
      <c r="V589" s="241"/>
      <c r="W589" s="241"/>
      <c r="X589" s="241"/>
      <c r="Y589" s="241"/>
      <c r="Z589" s="241"/>
      <c r="AA589" s="241"/>
    </row>
    <row r="590">
      <c r="A590" s="243"/>
      <c r="B590" s="243"/>
      <c r="C590" s="241"/>
      <c r="D590" s="241"/>
      <c r="E590" s="241"/>
      <c r="F590" s="241"/>
      <c r="G590" s="241"/>
      <c r="H590" s="241"/>
      <c r="I590" s="241"/>
      <c r="J590" s="241"/>
      <c r="K590" s="241"/>
      <c r="L590" s="241"/>
      <c r="M590" s="241"/>
      <c r="N590" s="241"/>
      <c r="O590" s="241"/>
      <c r="P590" s="241"/>
      <c r="Q590" s="241"/>
      <c r="R590" s="241"/>
      <c r="S590" s="241"/>
      <c r="T590" s="241"/>
      <c r="U590" s="241"/>
      <c r="V590" s="241"/>
      <c r="W590" s="241"/>
      <c r="X590" s="241"/>
      <c r="Y590" s="241"/>
      <c r="Z590" s="241"/>
      <c r="AA590" s="241"/>
    </row>
    <row r="591">
      <c r="A591" s="243"/>
      <c r="B591" s="243"/>
      <c r="C591" s="241"/>
      <c r="D591" s="241"/>
      <c r="E591" s="241"/>
      <c r="F591" s="241"/>
      <c r="G591" s="241"/>
      <c r="H591" s="241"/>
      <c r="I591" s="241"/>
      <c r="J591" s="241"/>
      <c r="K591" s="241"/>
      <c r="L591" s="241"/>
      <c r="M591" s="241"/>
      <c r="N591" s="241"/>
      <c r="O591" s="241"/>
      <c r="P591" s="241"/>
      <c r="Q591" s="241"/>
      <c r="R591" s="241"/>
      <c r="S591" s="241"/>
      <c r="T591" s="241"/>
      <c r="U591" s="241"/>
      <c r="V591" s="241"/>
      <c r="W591" s="241"/>
      <c r="X591" s="241"/>
      <c r="Y591" s="241"/>
      <c r="Z591" s="241"/>
      <c r="AA591" s="241"/>
    </row>
    <row r="592">
      <c r="A592" s="243"/>
      <c r="B592" s="243"/>
      <c r="C592" s="241"/>
      <c r="D592" s="241"/>
      <c r="E592" s="241"/>
      <c r="F592" s="241"/>
      <c r="G592" s="241"/>
      <c r="H592" s="241"/>
      <c r="I592" s="241"/>
      <c r="J592" s="241"/>
      <c r="K592" s="241"/>
      <c r="L592" s="241"/>
      <c r="M592" s="241"/>
      <c r="N592" s="241"/>
      <c r="O592" s="241"/>
      <c r="P592" s="241"/>
      <c r="Q592" s="241"/>
      <c r="R592" s="241"/>
      <c r="S592" s="241"/>
      <c r="T592" s="241"/>
      <c r="U592" s="241"/>
      <c r="V592" s="241"/>
      <c r="W592" s="241"/>
      <c r="X592" s="241"/>
      <c r="Y592" s="241"/>
      <c r="Z592" s="241"/>
      <c r="AA592" s="241"/>
    </row>
    <row r="593">
      <c r="A593" s="243"/>
      <c r="B593" s="243"/>
      <c r="C593" s="241"/>
      <c r="D593" s="241"/>
      <c r="E593" s="241"/>
      <c r="F593" s="241"/>
      <c r="G593" s="241"/>
      <c r="H593" s="241"/>
      <c r="I593" s="241"/>
      <c r="J593" s="241"/>
      <c r="K593" s="241"/>
      <c r="L593" s="241"/>
      <c r="M593" s="241"/>
      <c r="N593" s="241"/>
      <c r="O593" s="241"/>
      <c r="P593" s="241"/>
      <c r="Q593" s="241"/>
      <c r="R593" s="241"/>
      <c r="S593" s="241"/>
      <c r="T593" s="241"/>
      <c r="U593" s="241"/>
      <c r="V593" s="241"/>
      <c r="W593" s="241"/>
      <c r="X593" s="241"/>
      <c r="Y593" s="241"/>
      <c r="Z593" s="241"/>
      <c r="AA593" s="241"/>
    </row>
    <row r="594">
      <c r="A594" s="243"/>
      <c r="B594" s="243"/>
      <c r="C594" s="241"/>
      <c r="D594" s="241"/>
      <c r="E594" s="241"/>
      <c r="F594" s="241"/>
      <c r="G594" s="241"/>
      <c r="H594" s="241"/>
      <c r="I594" s="241"/>
      <c r="J594" s="241"/>
      <c r="K594" s="241"/>
      <c r="L594" s="241"/>
      <c r="M594" s="241"/>
      <c r="N594" s="241"/>
      <c r="O594" s="241"/>
      <c r="P594" s="241"/>
      <c r="Q594" s="241"/>
      <c r="R594" s="241"/>
      <c r="S594" s="241"/>
      <c r="T594" s="241"/>
      <c r="U594" s="241"/>
      <c r="V594" s="241"/>
      <c r="W594" s="241"/>
      <c r="X594" s="241"/>
      <c r="Y594" s="241"/>
      <c r="Z594" s="241"/>
      <c r="AA594" s="241"/>
    </row>
    <row r="595">
      <c r="A595" s="243"/>
      <c r="B595" s="243"/>
      <c r="C595" s="241"/>
      <c r="D595" s="241"/>
      <c r="E595" s="241"/>
      <c r="F595" s="241"/>
      <c r="G595" s="241"/>
      <c r="H595" s="241"/>
      <c r="I595" s="241"/>
      <c r="J595" s="241"/>
      <c r="K595" s="241"/>
      <c r="L595" s="241"/>
      <c r="M595" s="241"/>
      <c r="N595" s="241"/>
      <c r="O595" s="241"/>
      <c r="P595" s="241"/>
      <c r="Q595" s="241"/>
      <c r="R595" s="241"/>
      <c r="S595" s="241"/>
      <c r="T595" s="241"/>
      <c r="U595" s="241"/>
      <c r="V595" s="241"/>
      <c r="W595" s="241"/>
      <c r="X595" s="241"/>
      <c r="Y595" s="241"/>
      <c r="Z595" s="241"/>
      <c r="AA595" s="241"/>
    </row>
    <row r="596">
      <c r="A596" s="243"/>
      <c r="B596" s="243"/>
      <c r="C596" s="241"/>
      <c r="D596" s="241"/>
      <c r="E596" s="241"/>
      <c r="F596" s="241"/>
      <c r="G596" s="241"/>
      <c r="H596" s="241"/>
      <c r="I596" s="241"/>
      <c r="J596" s="241"/>
      <c r="K596" s="241"/>
      <c r="L596" s="241"/>
      <c r="M596" s="241"/>
      <c r="N596" s="241"/>
      <c r="O596" s="241"/>
      <c r="P596" s="241"/>
      <c r="Q596" s="241"/>
      <c r="R596" s="241"/>
      <c r="S596" s="241"/>
      <c r="T596" s="241"/>
      <c r="U596" s="241"/>
      <c r="V596" s="241"/>
      <c r="W596" s="241"/>
      <c r="X596" s="241"/>
      <c r="Y596" s="241"/>
      <c r="Z596" s="241"/>
      <c r="AA596" s="241"/>
    </row>
    <row r="597">
      <c r="A597" s="243"/>
      <c r="B597" s="243"/>
      <c r="C597" s="241"/>
      <c r="D597" s="241"/>
      <c r="E597" s="241"/>
      <c r="F597" s="241"/>
      <c r="G597" s="241"/>
      <c r="H597" s="241"/>
      <c r="I597" s="241"/>
      <c r="J597" s="241"/>
      <c r="K597" s="241"/>
      <c r="L597" s="241"/>
      <c r="M597" s="241"/>
      <c r="N597" s="241"/>
      <c r="O597" s="241"/>
      <c r="P597" s="241"/>
      <c r="Q597" s="241"/>
      <c r="R597" s="241"/>
      <c r="S597" s="241"/>
      <c r="T597" s="241"/>
      <c r="U597" s="241"/>
      <c r="V597" s="241"/>
      <c r="W597" s="241"/>
      <c r="X597" s="241"/>
      <c r="Y597" s="241"/>
      <c r="Z597" s="241"/>
      <c r="AA597" s="241"/>
    </row>
    <row r="598">
      <c r="A598" s="243"/>
      <c r="B598" s="243"/>
      <c r="C598" s="241"/>
      <c r="D598" s="241"/>
      <c r="E598" s="241"/>
      <c r="F598" s="241"/>
      <c r="G598" s="241"/>
      <c r="H598" s="241"/>
      <c r="I598" s="241"/>
      <c r="J598" s="241"/>
      <c r="K598" s="241"/>
      <c r="L598" s="241"/>
      <c r="M598" s="241"/>
      <c r="N598" s="241"/>
      <c r="O598" s="241"/>
      <c r="P598" s="241"/>
      <c r="Q598" s="241"/>
      <c r="R598" s="241"/>
      <c r="S598" s="241"/>
      <c r="T598" s="241"/>
      <c r="U598" s="241"/>
      <c r="V598" s="241"/>
      <c r="W598" s="241"/>
      <c r="X598" s="241"/>
      <c r="Y598" s="241"/>
      <c r="Z598" s="241"/>
      <c r="AA598" s="241"/>
    </row>
    <row r="599">
      <c r="A599" s="243"/>
      <c r="B599" s="243"/>
      <c r="C599" s="241"/>
      <c r="D599" s="241"/>
      <c r="E599" s="241"/>
      <c r="F599" s="241"/>
      <c r="G599" s="241"/>
      <c r="H599" s="241"/>
      <c r="I599" s="241"/>
      <c r="J599" s="241"/>
      <c r="K599" s="241"/>
      <c r="L599" s="241"/>
      <c r="M599" s="241"/>
      <c r="N599" s="241"/>
      <c r="O599" s="241"/>
      <c r="P599" s="241"/>
      <c r="Q599" s="241"/>
      <c r="R599" s="241"/>
      <c r="S599" s="241"/>
      <c r="T599" s="241"/>
      <c r="U599" s="241"/>
      <c r="V599" s="241"/>
      <c r="W599" s="241"/>
      <c r="X599" s="241"/>
      <c r="Y599" s="241"/>
      <c r="Z599" s="241"/>
      <c r="AA599" s="241"/>
    </row>
    <row r="600">
      <c r="A600" s="243"/>
      <c r="B600" s="243"/>
      <c r="C600" s="241"/>
      <c r="D600" s="241"/>
      <c r="E600" s="241"/>
      <c r="F600" s="241"/>
      <c r="G600" s="241"/>
      <c r="H600" s="241"/>
      <c r="I600" s="241"/>
      <c r="J600" s="241"/>
      <c r="K600" s="241"/>
      <c r="L600" s="241"/>
      <c r="M600" s="241"/>
      <c r="N600" s="241"/>
      <c r="O600" s="241"/>
      <c r="P600" s="241"/>
      <c r="Q600" s="241"/>
      <c r="R600" s="241"/>
      <c r="S600" s="241"/>
      <c r="T600" s="241"/>
      <c r="U600" s="241"/>
      <c r="V600" s="241"/>
      <c r="W600" s="241"/>
      <c r="X600" s="241"/>
      <c r="Y600" s="241"/>
      <c r="Z600" s="241"/>
      <c r="AA600" s="241"/>
    </row>
    <row r="601">
      <c r="A601" s="243"/>
      <c r="B601" s="243"/>
      <c r="C601" s="241"/>
      <c r="D601" s="241"/>
      <c r="E601" s="241"/>
      <c r="F601" s="241"/>
      <c r="G601" s="241"/>
      <c r="H601" s="241"/>
      <c r="I601" s="241"/>
      <c r="J601" s="241"/>
      <c r="K601" s="241"/>
      <c r="L601" s="241"/>
      <c r="M601" s="241"/>
      <c r="N601" s="241"/>
      <c r="O601" s="241"/>
      <c r="P601" s="241"/>
      <c r="Q601" s="241"/>
      <c r="R601" s="241"/>
      <c r="S601" s="241"/>
      <c r="T601" s="241"/>
      <c r="U601" s="241"/>
      <c r="V601" s="241"/>
      <c r="W601" s="241"/>
      <c r="X601" s="241"/>
      <c r="Y601" s="241"/>
      <c r="Z601" s="241"/>
      <c r="AA601" s="241"/>
    </row>
    <row r="602">
      <c r="A602" s="243"/>
      <c r="B602" s="243"/>
      <c r="C602" s="241"/>
      <c r="D602" s="241"/>
      <c r="E602" s="241"/>
      <c r="F602" s="241"/>
      <c r="G602" s="241"/>
      <c r="H602" s="241"/>
      <c r="I602" s="241"/>
      <c r="J602" s="241"/>
      <c r="K602" s="241"/>
      <c r="L602" s="241"/>
      <c r="M602" s="241"/>
      <c r="N602" s="241"/>
      <c r="O602" s="241"/>
      <c r="P602" s="241"/>
      <c r="Q602" s="241"/>
      <c r="R602" s="241"/>
      <c r="S602" s="241"/>
      <c r="T602" s="241"/>
      <c r="U602" s="241"/>
      <c r="V602" s="241"/>
      <c r="W602" s="241"/>
      <c r="X602" s="241"/>
      <c r="Y602" s="241"/>
      <c r="Z602" s="241"/>
      <c r="AA602" s="241"/>
    </row>
    <row r="603">
      <c r="A603" s="243"/>
      <c r="B603" s="243"/>
      <c r="C603" s="241"/>
      <c r="D603" s="241"/>
      <c r="E603" s="241"/>
      <c r="F603" s="241"/>
      <c r="G603" s="241"/>
      <c r="H603" s="241"/>
      <c r="I603" s="241"/>
      <c r="J603" s="241"/>
      <c r="K603" s="241"/>
      <c r="L603" s="241"/>
      <c r="M603" s="241"/>
      <c r="N603" s="241"/>
      <c r="O603" s="241"/>
      <c r="P603" s="241"/>
      <c r="Q603" s="241"/>
      <c r="R603" s="241"/>
      <c r="S603" s="241"/>
      <c r="T603" s="241"/>
      <c r="U603" s="241"/>
      <c r="V603" s="241"/>
      <c r="W603" s="241"/>
      <c r="X603" s="241"/>
      <c r="Y603" s="241"/>
      <c r="Z603" s="241"/>
      <c r="AA603" s="241"/>
    </row>
    <row r="604">
      <c r="A604" s="243"/>
      <c r="B604" s="243"/>
      <c r="C604" s="241"/>
      <c r="D604" s="241"/>
      <c r="E604" s="241"/>
      <c r="F604" s="241"/>
      <c r="G604" s="241"/>
      <c r="H604" s="241"/>
      <c r="I604" s="241"/>
      <c r="J604" s="241"/>
      <c r="K604" s="241"/>
      <c r="L604" s="241"/>
      <c r="M604" s="241"/>
      <c r="N604" s="241"/>
      <c r="O604" s="241"/>
      <c r="P604" s="241"/>
      <c r="Q604" s="241"/>
      <c r="R604" s="241"/>
      <c r="S604" s="241"/>
      <c r="T604" s="241"/>
      <c r="U604" s="241"/>
      <c r="V604" s="241"/>
      <c r="W604" s="241"/>
      <c r="X604" s="241"/>
      <c r="Y604" s="241"/>
      <c r="Z604" s="241"/>
      <c r="AA604" s="241"/>
    </row>
    <row r="605">
      <c r="A605" s="243"/>
      <c r="B605" s="243"/>
      <c r="C605" s="241"/>
      <c r="D605" s="241"/>
      <c r="E605" s="241"/>
      <c r="F605" s="241"/>
      <c r="G605" s="241"/>
      <c r="H605" s="241"/>
      <c r="I605" s="241"/>
      <c r="J605" s="241"/>
      <c r="K605" s="241"/>
      <c r="L605" s="241"/>
      <c r="M605" s="241"/>
      <c r="N605" s="241"/>
      <c r="O605" s="241"/>
      <c r="P605" s="241"/>
      <c r="Q605" s="241"/>
      <c r="R605" s="241"/>
      <c r="S605" s="241"/>
      <c r="T605" s="241"/>
      <c r="U605" s="241"/>
      <c r="V605" s="241"/>
      <c r="W605" s="241"/>
      <c r="X605" s="241"/>
      <c r="Y605" s="241"/>
      <c r="Z605" s="241"/>
      <c r="AA605" s="241"/>
    </row>
    <row r="606">
      <c r="A606" s="243"/>
      <c r="B606" s="243"/>
      <c r="C606" s="241"/>
      <c r="D606" s="241"/>
      <c r="E606" s="241"/>
      <c r="F606" s="241"/>
      <c r="G606" s="241"/>
      <c r="H606" s="241"/>
      <c r="I606" s="241"/>
      <c r="J606" s="241"/>
      <c r="K606" s="241"/>
      <c r="L606" s="241"/>
      <c r="M606" s="241"/>
      <c r="N606" s="241"/>
      <c r="O606" s="241"/>
      <c r="P606" s="241"/>
      <c r="Q606" s="241"/>
      <c r="R606" s="241"/>
      <c r="S606" s="241"/>
      <c r="T606" s="241"/>
      <c r="U606" s="241"/>
      <c r="V606" s="241"/>
      <c r="W606" s="241"/>
      <c r="X606" s="241"/>
      <c r="Y606" s="241"/>
      <c r="Z606" s="241"/>
      <c r="AA606" s="241"/>
    </row>
    <row r="607">
      <c r="A607" s="243"/>
      <c r="B607" s="243"/>
      <c r="C607" s="241"/>
      <c r="D607" s="241"/>
      <c r="E607" s="241"/>
      <c r="F607" s="241"/>
      <c r="G607" s="241"/>
      <c r="H607" s="241"/>
      <c r="I607" s="241"/>
      <c r="J607" s="241"/>
      <c r="K607" s="241"/>
      <c r="L607" s="241"/>
      <c r="M607" s="241"/>
      <c r="N607" s="241"/>
      <c r="O607" s="241"/>
      <c r="P607" s="241"/>
      <c r="Q607" s="241"/>
      <c r="R607" s="241"/>
      <c r="S607" s="241"/>
      <c r="T607" s="241"/>
      <c r="U607" s="241"/>
      <c r="V607" s="241"/>
      <c r="W607" s="241"/>
      <c r="X607" s="241"/>
      <c r="Y607" s="241"/>
      <c r="Z607" s="241"/>
      <c r="AA607" s="241"/>
    </row>
    <row r="608">
      <c r="A608" s="243"/>
      <c r="B608" s="243"/>
      <c r="C608" s="241"/>
      <c r="D608" s="241"/>
      <c r="E608" s="241"/>
      <c r="F608" s="241"/>
      <c r="G608" s="241"/>
      <c r="H608" s="241"/>
      <c r="I608" s="241"/>
      <c r="J608" s="241"/>
      <c r="K608" s="241"/>
      <c r="L608" s="241"/>
      <c r="M608" s="241"/>
      <c r="N608" s="241"/>
      <c r="O608" s="241"/>
      <c r="P608" s="241"/>
      <c r="Q608" s="241"/>
      <c r="R608" s="241"/>
      <c r="S608" s="241"/>
      <c r="T608" s="241"/>
      <c r="U608" s="241"/>
      <c r="V608" s="241"/>
      <c r="W608" s="241"/>
      <c r="X608" s="241"/>
      <c r="Y608" s="241"/>
      <c r="Z608" s="241"/>
      <c r="AA608" s="241"/>
    </row>
    <row r="609">
      <c r="A609" s="243"/>
      <c r="B609" s="243"/>
      <c r="C609" s="241"/>
      <c r="D609" s="241"/>
      <c r="E609" s="241"/>
      <c r="F609" s="241"/>
      <c r="G609" s="241"/>
      <c r="H609" s="241"/>
      <c r="I609" s="241"/>
      <c r="J609" s="241"/>
      <c r="K609" s="241"/>
      <c r="L609" s="241"/>
      <c r="M609" s="241"/>
      <c r="N609" s="241"/>
      <c r="O609" s="241"/>
      <c r="P609" s="241"/>
      <c r="Q609" s="241"/>
      <c r="R609" s="241"/>
      <c r="S609" s="241"/>
      <c r="T609" s="241"/>
      <c r="U609" s="241"/>
      <c r="V609" s="241"/>
      <c r="W609" s="241"/>
      <c r="X609" s="241"/>
      <c r="Y609" s="241"/>
      <c r="Z609" s="241"/>
      <c r="AA609" s="241"/>
    </row>
    <row r="610">
      <c r="A610" s="243"/>
      <c r="B610" s="243"/>
      <c r="C610" s="241"/>
      <c r="D610" s="241"/>
      <c r="E610" s="241"/>
      <c r="F610" s="241"/>
      <c r="G610" s="241"/>
      <c r="H610" s="241"/>
      <c r="I610" s="241"/>
      <c r="J610" s="241"/>
      <c r="K610" s="241"/>
      <c r="L610" s="241"/>
      <c r="M610" s="241"/>
      <c r="N610" s="241"/>
      <c r="O610" s="241"/>
      <c r="P610" s="241"/>
      <c r="Q610" s="241"/>
      <c r="R610" s="241"/>
      <c r="S610" s="241"/>
      <c r="T610" s="241"/>
      <c r="U610" s="241"/>
      <c r="V610" s="241"/>
      <c r="W610" s="241"/>
      <c r="X610" s="241"/>
      <c r="Y610" s="241"/>
      <c r="Z610" s="241"/>
      <c r="AA610" s="241"/>
    </row>
    <row r="611">
      <c r="A611" s="243"/>
      <c r="B611" s="243"/>
      <c r="C611" s="241"/>
      <c r="D611" s="241"/>
      <c r="E611" s="241"/>
      <c r="F611" s="241"/>
      <c r="G611" s="241"/>
      <c r="H611" s="241"/>
      <c r="I611" s="241"/>
      <c r="J611" s="241"/>
      <c r="K611" s="241"/>
      <c r="L611" s="241"/>
      <c r="M611" s="241"/>
      <c r="N611" s="241"/>
      <c r="O611" s="241"/>
      <c r="P611" s="241"/>
      <c r="Q611" s="241"/>
      <c r="R611" s="241"/>
      <c r="S611" s="241"/>
      <c r="T611" s="241"/>
      <c r="U611" s="241"/>
      <c r="V611" s="241"/>
      <c r="W611" s="241"/>
      <c r="X611" s="241"/>
      <c r="Y611" s="241"/>
      <c r="Z611" s="241"/>
      <c r="AA611" s="241"/>
    </row>
    <row r="612">
      <c r="A612" s="243"/>
      <c r="B612" s="243"/>
      <c r="C612" s="241"/>
      <c r="D612" s="241"/>
      <c r="E612" s="241"/>
      <c r="F612" s="241"/>
      <c r="G612" s="241"/>
      <c r="H612" s="241"/>
      <c r="I612" s="241"/>
      <c r="J612" s="241"/>
      <c r="K612" s="241"/>
      <c r="L612" s="241"/>
      <c r="M612" s="241"/>
      <c r="N612" s="241"/>
      <c r="O612" s="241"/>
      <c r="P612" s="241"/>
      <c r="Q612" s="241"/>
      <c r="R612" s="241"/>
      <c r="S612" s="241"/>
      <c r="T612" s="241"/>
      <c r="U612" s="241"/>
      <c r="V612" s="241"/>
      <c r="W612" s="241"/>
      <c r="X612" s="241"/>
      <c r="Y612" s="241"/>
      <c r="Z612" s="241"/>
      <c r="AA612" s="241"/>
    </row>
    <row r="613">
      <c r="A613" s="243"/>
      <c r="B613" s="243"/>
      <c r="C613" s="241"/>
      <c r="D613" s="241"/>
      <c r="E613" s="241"/>
      <c r="F613" s="241"/>
      <c r="G613" s="241"/>
      <c r="H613" s="241"/>
      <c r="I613" s="241"/>
      <c r="J613" s="241"/>
      <c r="K613" s="241"/>
      <c r="L613" s="241"/>
      <c r="M613" s="241"/>
      <c r="N613" s="241"/>
      <c r="O613" s="241"/>
      <c r="P613" s="241"/>
      <c r="Q613" s="241"/>
      <c r="R613" s="241"/>
      <c r="S613" s="241"/>
      <c r="T613" s="241"/>
      <c r="U613" s="241"/>
      <c r="V613" s="241"/>
      <c r="W613" s="241"/>
      <c r="X613" s="241"/>
      <c r="Y613" s="241"/>
      <c r="Z613" s="241"/>
      <c r="AA613" s="241"/>
    </row>
    <row r="614">
      <c r="A614" s="243"/>
      <c r="B614" s="243"/>
      <c r="C614" s="241"/>
      <c r="D614" s="241"/>
      <c r="E614" s="241"/>
      <c r="F614" s="241"/>
      <c r="G614" s="241"/>
      <c r="H614" s="241"/>
      <c r="I614" s="241"/>
      <c r="J614" s="241"/>
      <c r="K614" s="241"/>
      <c r="L614" s="241"/>
      <c r="M614" s="241"/>
      <c r="N614" s="241"/>
      <c r="O614" s="241"/>
      <c r="P614" s="241"/>
      <c r="Q614" s="241"/>
      <c r="R614" s="241"/>
      <c r="S614" s="241"/>
      <c r="T614" s="241"/>
      <c r="U614" s="241"/>
      <c r="V614" s="241"/>
      <c r="W614" s="241"/>
      <c r="X614" s="241"/>
      <c r="Y614" s="241"/>
      <c r="Z614" s="241"/>
      <c r="AA614" s="241"/>
    </row>
    <row r="615">
      <c r="A615" s="243"/>
      <c r="B615" s="243"/>
      <c r="C615" s="241"/>
      <c r="D615" s="241"/>
      <c r="E615" s="241"/>
      <c r="F615" s="241"/>
      <c r="G615" s="241"/>
      <c r="H615" s="241"/>
      <c r="I615" s="241"/>
      <c r="J615" s="241"/>
      <c r="K615" s="241"/>
      <c r="L615" s="241"/>
      <c r="M615" s="241"/>
      <c r="N615" s="241"/>
      <c r="O615" s="241"/>
      <c r="P615" s="241"/>
      <c r="Q615" s="241"/>
      <c r="R615" s="241"/>
      <c r="S615" s="241"/>
      <c r="T615" s="241"/>
      <c r="U615" s="241"/>
      <c r="V615" s="241"/>
      <c r="W615" s="241"/>
      <c r="X615" s="241"/>
      <c r="Y615" s="241"/>
      <c r="Z615" s="241"/>
      <c r="AA615" s="241"/>
    </row>
    <row r="616">
      <c r="A616" s="243"/>
      <c r="B616" s="243"/>
      <c r="C616" s="241"/>
      <c r="D616" s="241"/>
      <c r="E616" s="241"/>
      <c r="F616" s="241"/>
      <c r="G616" s="241"/>
      <c r="H616" s="241"/>
      <c r="I616" s="241"/>
      <c r="J616" s="241"/>
      <c r="K616" s="241"/>
      <c r="L616" s="241"/>
      <c r="M616" s="241"/>
      <c r="N616" s="241"/>
      <c r="O616" s="241"/>
      <c r="P616" s="241"/>
      <c r="Q616" s="241"/>
      <c r="R616" s="241"/>
      <c r="S616" s="241"/>
      <c r="T616" s="241"/>
      <c r="U616" s="241"/>
      <c r="V616" s="241"/>
      <c r="W616" s="241"/>
      <c r="X616" s="241"/>
      <c r="Y616" s="241"/>
      <c r="Z616" s="241"/>
      <c r="AA616" s="241"/>
    </row>
    <row r="617">
      <c r="A617" s="243"/>
      <c r="B617" s="243"/>
      <c r="C617" s="241"/>
      <c r="D617" s="241"/>
      <c r="E617" s="241"/>
      <c r="F617" s="241"/>
      <c r="G617" s="241"/>
      <c r="H617" s="241"/>
      <c r="I617" s="241"/>
      <c r="J617" s="241"/>
      <c r="K617" s="241"/>
      <c r="L617" s="241"/>
      <c r="M617" s="241"/>
      <c r="N617" s="241"/>
      <c r="O617" s="241"/>
      <c r="P617" s="241"/>
      <c r="Q617" s="241"/>
      <c r="R617" s="241"/>
      <c r="S617" s="241"/>
      <c r="T617" s="241"/>
      <c r="U617" s="241"/>
      <c r="V617" s="241"/>
      <c r="W617" s="241"/>
      <c r="X617" s="241"/>
      <c r="Y617" s="241"/>
      <c r="Z617" s="241"/>
      <c r="AA617" s="241"/>
    </row>
    <row r="618">
      <c r="A618" s="243"/>
      <c r="B618" s="243"/>
      <c r="C618" s="241"/>
      <c r="D618" s="241"/>
      <c r="E618" s="241"/>
      <c r="F618" s="241"/>
      <c r="G618" s="241"/>
      <c r="H618" s="241"/>
      <c r="I618" s="241"/>
      <c r="J618" s="241"/>
      <c r="K618" s="241"/>
      <c r="L618" s="241"/>
      <c r="M618" s="241"/>
      <c r="N618" s="241"/>
      <c r="O618" s="241"/>
      <c r="P618" s="241"/>
      <c r="Q618" s="241"/>
      <c r="R618" s="241"/>
      <c r="S618" s="241"/>
      <c r="T618" s="241"/>
      <c r="U618" s="241"/>
      <c r="V618" s="241"/>
      <c r="W618" s="241"/>
      <c r="X618" s="241"/>
      <c r="Y618" s="241"/>
      <c r="Z618" s="241"/>
      <c r="AA618" s="241"/>
    </row>
    <row r="619">
      <c r="A619" s="243"/>
      <c r="B619" s="243"/>
      <c r="C619" s="241"/>
      <c r="D619" s="241"/>
      <c r="E619" s="241"/>
      <c r="F619" s="241"/>
      <c r="G619" s="241"/>
      <c r="H619" s="241"/>
      <c r="I619" s="241"/>
      <c r="J619" s="241"/>
      <c r="K619" s="241"/>
      <c r="L619" s="241"/>
      <c r="M619" s="241"/>
      <c r="N619" s="241"/>
      <c r="O619" s="241"/>
      <c r="P619" s="241"/>
      <c r="Q619" s="241"/>
      <c r="R619" s="241"/>
      <c r="S619" s="241"/>
      <c r="T619" s="241"/>
      <c r="U619" s="241"/>
      <c r="V619" s="241"/>
      <c r="W619" s="241"/>
      <c r="X619" s="241"/>
      <c r="Y619" s="241"/>
      <c r="Z619" s="241"/>
      <c r="AA619" s="241"/>
    </row>
    <row r="620">
      <c r="A620" s="243"/>
      <c r="B620" s="243"/>
      <c r="C620" s="241"/>
      <c r="D620" s="241"/>
      <c r="E620" s="241"/>
      <c r="F620" s="241"/>
      <c r="G620" s="241"/>
      <c r="H620" s="241"/>
      <c r="I620" s="241"/>
      <c r="J620" s="241"/>
      <c r="K620" s="241"/>
      <c r="L620" s="241"/>
      <c r="M620" s="241"/>
      <c r="N620" s="241"/>
      <c r="O620" s="241"/>
      <c r="P620" s="241"/>
      <c r="Q620" s="241"/>
      <c r="R620" s="241"/>
      <c r="S620" s="241"/>
      <c r="T620" s="241"/>
      <c r="U620" s="241"/>
      <c r="V620" s="241"/>
      <c r="W620" s="241"/>
      <c r="X620" s="241"/>
      <c r="Y620" s="241"/>
      <c r="Z620" s="241"/>
      <c r="AA620" s="241"/>
    </row>
    <row r="621">
      <c r="A621" s="243"/>
      <c r="B621" s="243"/>
      <c r="C621" s="241"/>
      <c r="D621" s="241"/>
      <c r="E621" s="241"/>
      <c r="F621" s="241"/>
      <c r="G621" s="241"/>
      <c r="H621" s="241"/>
      <c r="I621" s="241"/>
      <c r="J621" s="241"/>
      <c r="K621" s="241"/>
      <c r="L621" s="241"/>
      <c r="M621" s="241"/>
      <c r="N621" s="241"/>
      <c r="O621" s="241"/>
      <c r="P621" s="241"/>
      <c r="Q621" s="241"/>
      <c r="R621" s="241"/>
      <c r="S621" s="241"/>
      <c r="T621" s="241"/>
      <c r="U621" s="241"/>
      <c r="V621" s="241"/>
      <c r="W621" s="241"/>
      <c r="X621" s="241"/>
      <c r="Y621" s="241"/>
      <c r="Z621" s="241"/>
      <c r="AA621" s="241"/>
    </row>
    <row r="622">
      <c r="A622" s="243"/>
      <c r="B622" s="243"/>
      <c r="C622" s="241"/>
      <c r="D622" s="241"/>
      <c r="E622" s="241"/>
      <c r="F622" s="241"/>
      <c r="G622" s="241"/>
      <c r="H622" s="241"/>
      <c r="I622" s="241"/>
      <c r="J622" s="241"/>
      <c r="K622" s="241"/>
      <c r="L622" s="241"/>
      <c r="M622" s="241"/>
      <c r="N622" s="241"/>
      <c r="O622" s="241"/>
      <c r="P622" s="241"/>
      <c r="Q622" s="241"/>
      <c r="R622" s="241"/>
      <c r="S622" s="241"/>
      <c r="T622" s="241"/>
      <c r="U622" s="241"/>
      <c r="V622" s="241"/>
      <c r="W622" s="241"/>
      <c r="X622" s="241"/>
      <c r="Y622" s="241"/>
      <c r="Z622" s="241"/>
      <c r="AA622" s="241"/>
    </row>
    <row r="623">
      <c r="A623" s="243"/>
      <c r="B623" s="243"/>
      <c r="C623" s="241"/>
      <c r="D623" s="241"/>
      <c r="E623" s="241"/>
      <c r="F623" s="241"/>
      <c r="G623" s="241"/>
      <c r="H623" s="241"/>
      <c r="I623" s="241"/>
      <c r="J623" s="241"/>
      <c r="K623" s="241"/>
      <c r="L623" s="241"/>
      <c r="M623" s="241"/>
      <c r="N623" s="241"/>
      <c r="O623" s="241"/>
      <c r="P623" s="241"/>
      <c r="Q623" s="241"/>
      <c r="R623" s="241"/>
      <c r="S623" s="241"/>
      <c r="T623" s="241"/>
      <c r="U623" s="241"/>
      <c r="V623" s="241"/>
      <c r="W623" s="241"/>
      <c r="X623" s="241"/>
      <c r="Y623" s="241"/>
      <c r="Z623" s="241"/>
      <c r="AA623" s="241"/>
    </row>
    <row r="624">
      <c r="A624" s="243"/>
      <c r="B624" s="243"/>
      <c r="C624" s="241"/>
      <c r="D624" s="241"/>
      <c r="E624" s="241"/>
      <c r="F624" s="241"/>
      <c r="G624" s="241"/>
      <c r="H624" s="241"/>
      <c r="I624" s="241"/>
      <c r="J624" s="241"/>
      <c r="K624" s="241"/>
      <c r="L624" s="241"/>
      <c r="M624" s="241"/>
      <c r="N624" s="241"/>
      <c r="O624" s="241"/>
      <c r="P624" s="241"/>
      <c r="Q624" s="241"/>
      <c r="R624" s="241"/>
      <c r="S624" s="241"/>
      <c r="T624" s="241"/>
      <c r="U624" s="241"/>
      <c r="V624" s="241"/>
      <c r="W624" s="241"/>
      <c r="X624" s="241"/>
      <c r="Y624" s="241"/>
      <c r="Z624" s="241"/>
      <c r="AA624" s="241"/>
    </row>
    <row r="625">
      <c r="A625" s="243"/>
      <c r="B625" s="243"/>
      <c r="C625" s="241"/>
      <c r="D625" s="241"/>
      <c r="E625" s="241"/>
      <c r="F625" s="241"/>
      <c r="G625" s="241"/>
      <c r="H625" s="241"/>
      <c r="I625" s="241"/>
      <c r="J625" s="241"/>
      <c r="K625" s="241"/>
      <c r="L625" s="241"/>
      <c r="M625" s="241"/>
      <c r="N625" s="241"/>
      <c r="O625" s="241"/>
      <c r="P625" s="241"/>
      <c r="Q625" s="241"/>
      <c r="R625" s="241"/>
      <c r="S625" s="241"/>
      <c r="T625" s="241"/>
      <c r="U625" s="241"/>
      <c r="V625" s="241"/>
      <c r="W625" s="241"/>
      <c r="X625" s="241"/>
      <c r="Y625" s="241"/>
      <c r="Z625" s="241"/>
      <c r="AA625" s="241"/>
    </row>
    <row r="626">
      <c r="A626" s="243"/>
      <c r="B626" s="243"/>
      <c r="C626" s="241"/>
      <c r="D626" s="241"/>
      <c r="E626" s="241"/>
      <c r="F626" s="241"/>
      <c r="G626" s="241"/>
      <c r="H626" s="241"/>
      <c r="I626" s="241"/>
      <c r="J626" s="241"/>
      <c r="K626" s="241"/>
      <c r="L626" s="241"/>
      <c r="M626" s="241"/>
      <c r="N626" s="241"/>
      <c r="O626" s="241"/>
      <c r="P626" s="241"/>
      <c r="Q626" s="241"/>
      <c r="R626" s="241"/>
      <c r="S626" s="241"/>
      <c r="T626" s="241"/>
      <c r="U626" s="241"/>
      <c r="V626" s="241"/>
      <c r="W626" s="241"/>
      <c r="X626" s="241"/>
      <c r="Y626" s="241"/>
      <c r="Z626" s="241"/>
      <c r="AA626" s="241"/>
    </row>
    <row r="627">
      <c r="A627" s="243"/>
      <c r="B627" s="243"/>
      <c r="C627" s="241"/>
      <c r="D627" s="241"/>
      <c r="E627" s="241"/>
      <c r="F627" s="241"/>
      <c r="G627" s="241"/>
      <c r="H627" s="241"/>
      <c r="I627" s="241"/>
      <c r="J627" s="241"/>
      <c r="K627" s="241"/>
      <c r="L627" s="241"/>
      <c r="M627" s="241"/>
      <c r="N627" s="241"/>
      <c r="O627" s="241"/>
      <c r="P627" s="241"/>
      <c r="Q627" s="241"/>
      <c r="R627" s="241"/>
      <c r="S627" s="241"/>
      <c r="T627" s="241"/>
      <c r="U627" s="241"/>
      <c r="V627" s="241"/>
      <c r="W627" s="241"/>
      <c r="X627" s="241"/>
      <c r="Y627" s="241"/>
      <c r="Z627" s="241"/>
      <c r="AA627" s="241"/>
    </row>
    <row r="628">
      <c r="A628" s="243"/>
      <c r="B628" s="243"/>
      <c r="C628" s="241"/>
      <c r="D628" s="241"/>
      <c r="E628" s="241"/>
      <c r="F628" s="241"/>
      <c r="G628" s="241"/>
      <c r="H628" s="241"/>
      <c r="I628" s="241"/>
      <c r="J628" s="241"/>
      <c r="K628" s="241"/>
      <c r="L628" s="241"/>
      <c r="M628" s="241"/>
      <c r="N628" s="241"/>
      <c r="O628" s="241"/>
      <c r="P628" s="241"/>
      <c r="Q628" s="241"/>
      <c r="R628" s="241"/>
      <c r="S628" s="241"/>
      <c r="T628" s="241"/>
      <c r="U628" s="241"/>
      <c r="V628" s="241"/>
      <c r="W628" s="241"/>
      <c r="X628" s="241"/>
      <c r="Y628" s="241"/>
      <c r="Z628" s="241"/>
      <c r="AA628" s="241"/>
    </row>
    <row r="629">
      <c r="A629" s="243"/>
      <c r="B629" s="243"/>
      <c r="C629" s="241"/>
      <c r="D629" s="241"/>
      <c r="E629" s="241"/>
      <c r="F629" s="241"/>
      <c r="G629" s="241"/>
      <c r="H629" s="241"/>
      <c r="I629" s="241"/>
      <c r="J629" s="241"/>
      <c r="K629" s="241"/>
      <c r="L629" s="241"/>
      <c r="M629" s="241"/>
      <c r="N629" s="241"/>
      <c r="O629" s="241"/>
      <c r="P629" s="241"/>
      <c r="Q629" s="241"/>
      <c r="R629" s="241"/>
      <c r="S629" s="241"/>
      <c r="T629" s="241"/>
      <c r="U629" s="241"/>
      <c r="V629" s="241"/>
      <c r="W629" s="241"/>
      <c r="X629" s="241"/>
      <c r="Y629" s="241"/>
      <c r="Z629" s="241"/>
      <c r="AA629" s="241"/>
    </row>
    <row r="630">
      <c r="A630" s="243"/>
      <c r="B630" s="243"/>
      <c r="C630" s="241"/>
      <c r="D630" s="241"/>
      <c r="E630" s="241"/>
      <c r="F630" s="241"/>
      <c r="G630" s="241"/>
      <c r="H630" s="241"/>
      <c r="I630" s="241"/>
      <c r="J630" s="241"/>
      <c r="K630" s="241"/>
      <c r="L630" s="241"/>
      <c r="M630" s="241"/>
      <c r="N630" s="241"/>
      <c r="O630" s="241"/>
      <c r="P630" s="241"/>
      <c r="Q630" s="241"/>
      <c r="R630" s="241"/>
      <c r="S630" s="241"/>
      <c r="T630" s="241"/>
      <c r="U630" s="241"/>
      <c r="V630" s="241"/>
      <c r="W630" s="241"/>
      <c r="X630" s="241"/>
      <c r="Y630" s="241"/>
      <c r="Z630" s="241"/>
      <c r="AA630" s="241"/>
    </row>
    <row r="631">
      <c r="A631" s="243"/>
      <c r="B631" s="243"/>
      <c r="C631" s="241"/>
      <c r="D631" s="241"/>
      <c r="E631" s="241"/>
      <c r="F631" s="241"/>
      <c r="G631" s="241"/>
      <c r="H631" s="241"/>
      <c r="I631" s="241"/>
      <c r="J631" s="241"/>
      <c r="K631" s="241"/>
      <c r="L631" s="241"/>
      <c r="M631" s="241"/>
      <c r="N631" s="241"/>
      <c r="O631" s="241"/>
      <c r="P631" s="241"/>
      <c r="Q631" s="241"/>
      <c r="R631" s="241"/>
      <c r="S631" s="241"/>
      <c r="T631" s="241"/>
      <c r="U631" s="241"/>
      <c r="V631" s="241"/>
      <c r="W631" s="241"/>
      <c r="X631" s="241"/>
      <c r="Y631" s="241"/>
      <c r="Z631" s="241"/>
      <c r="AA631" s="241"/>
    </row>
    <row r="632">
      <c r="A632" s="243"/>
      <c r="B632" s="243"/>
      <c r="C632" s="241"/>
      <c r="D632" s="241"/>
      <c r="E632" s="241"/>
      <c r="F632" s="241"/>
      <c r="G632" s="241"/>
      <c r="H632" s="241"/>
      <c r="I632" s="241"/>
      <c r="J632" s="241"/>
      <c r="K632" s="241"/>
      <c r="L632" s="241"/>
      <c r="M632" s="241"/>
      <c r="N632" s="241"/>
      <c r="O632" s="241"/>
      <c r="P632" s="241"/>
      <c r="Q632" s="241"/>
      <c r="R632" s="241"/>
      <c r="S632" s="241"/>
      <c r="T632" s="241"/>
      <c r="U632" s="241"/>
      <c r="V632" s="241"/>
      <c r="W632" s="241"/>
      <c r="X632" s="241"/>
      <c r="Y632" s="241"/>
      <c r="Z632" s="241"/>
      <c r="AA632" s="241"/>
    </row>
    <row r="633">
      <c r="A633" s="243"/>
      <c r="B633" s="243"/>
      <c r="C633" s="241"/>
      <c r="D633" s="241"/>
      <c r="E633" s="241"/>
      <c r="F633" s="241"/>
      <c r="G633" s="241"/>
      <c r="H633" s="241"/>
      <c r="I633" s="241"/>
      <c r="J633" s="241"/>
      <c r="K633" s="241"/>
      <c r="L633" s="241"/>
      <c r="M633" s="241"/>
      <c r="N633" s="241"/>
      <c r="O633" s="241"/>
      <c r="P633" s="241"/>
      <c r="Q633" s="241"/>
      <c r="R633" s="241"/>
      <c r="S633" s="241"/>
      <c r="T633" s="241"/>
      <c r="U633" s="241"/>
      <c r="V633" s="241"/>
      <c r="W633" s="241"/>
      <c r="X633" s="241"/>
      <c r="Y633" s="241"/>
      <c r="Z633" s="241"/>
      <c r="AA633" s="241"/>
    </row>
    <row r="634">
      <c r="A634" s="243"/>
      <c r="B634" s="243"/>
      <c r="C634" s="241"/>
      <c r="D634" s="241"/>
      <c r="E634" s="241"/>
      <c r="F634" s="241"/>
      <c r="G634" s="241"/>
      <c r="H634" s="241"/>
      <c r="I634" s="241"/>
      <c r="J634" s="241"/>
      <c r="K634" s="241"/>
      <c r="L634" s="241"/>
      <c r="M634" s="241"/>
      <c r="N634" s="241"/>
      <c r="O634" s="241"/>
      <c r="P634" s="241"/>
      <c r="Q634" s="241"/>
      <c r="R634" s="241"/>
      <c r="S634" s="241"/>
      <c r="T634" s="241"/>
      <c r="U634" s="241"/>
      <c r="V634" s="241"/>
      <c r="W634" s="241"/>
      <c r="X634" s="241"/>
      <c r="Y634" s="241"/>
      <c r="Z634" s="241"/>
      <c r="AA634" s="241"/>
    </row>
    <row r="635">
      <c r="A635" s="243"/>
      <c r="B635" s="243"/>
      <c r="C635" s="241"/>
      <c r="D635" s="241"/>
      <c r="E635" s="241"/>
      <c r="F635" s="241"/>
      <c r="G635" s="241"/>
      <c r="H635" s="241"/>
      <c r="I635" s="241"/>
      <c r="J635" s="241"/>
      <c r="K635" s="241"/>
      <c r="L635" s="241"/>
      <c r="M635" s="241"/>
      <c r="N635" s="241"/>
      <c r="O635" s="241"/>
      <c r="P635" s="241"/>
      <c r="Q635" s="241"/>
      <c r="R635" s="241"/>
      <c r="S635" s="241"/>
      <c r="T635" s="241"/>
      <c r="U635" s="241"/>
      <c r="V635" s="241"/>
      <c r="W635" s="241"/>
      <c r="X635" s="241"/>
      <c r="Y635" s="241"/>
      <c r="Z635" s="241"/>
      <c r="AA635" s="241"/>
    </row>
    <row r="636">
      <c r="A636" s="243"/>
      <c r="B636" s="243"/>
      <c r="C636" s="241"/>
      <c r="D636" s="241"/>
      <c r="E636" s="241"/>
      <c r="F636" s="241"/>
      <c r="G636" s="241"/>
      <c r="H636" s="241"/>
      <c r="I636" s="241"/>
      <c r="J636" s="241"/>
      <c r="K636" s="241"/>
      <c r="L636" s="241"/>
      <c r="M636" s="241"/>
      <c r="N636" s="241"/>
      <c r="O636" s="241"/>
      <c r="P636" s="241"/>
      <c r="Q636" s="241"/>
      <c r="R636" s="241"/>
      <c r="S636" s="241"/>
      <c r="T636" s="241"/>
      <c r="U636" s="241"/>
      <c r="V636" s="241"/>
      <c r="W636" s="241"/>
      <c r="X636" s="241"/>
      <c r="Y636" s="241"/>
      <c r="Z636" s="241"/>
      <c r="AA636" s="241"/>
    </row>
    <row r="637">
      <c r="A637" s="243"/>
      <c r="B637" s="243"/>
      <c r="C637" s="241"/>
      <c r="D637" s="241"/>
      <c r="E637" s="241"/>
      <c r="F637" s="241"/>
      <c r="G637" s="241"/>
      <c r="H637" s="241"/>
      <c r="I637" s="241"/>
      <c r="J637" s="241"/>
      <c r="K637" s="241"/>
      <c r="L637" s="241"/>
      <c r="M637" s="241"/>
      <c r="N637" s="241"/>
      <c r="O637" s="241"/>
      <c r="P637" s="241"/>
      <c r="Q637" s="241"/>
      <c r="R637" s="241"/>
      <c r="S637" s="241"/>
      <c r="T637" s="241"/>
      <c r="U637" s="241"/>
      <c r="V637" s="241"/>
      <c r="W637" s="241"/>
      <c r="X637" s="241"/>
      <c r="Y637" s="241"/>
      <c r="Z637" s="241"/>
      <c r="AA637" s="241"/>
    </row>
    <row r="638">
      <c r="A638" s="243"/>
      <c r="B638" s="243"/>
      <c r="C638" s="241"/>
      <c r="D638" s="241"/>
      <c r="E638" s="241"/>
      <c r="F638" s="241"/>
      <c r="G638" s="241"/>
      <c r="H638" s="241"/>
      <c r="I638" s="241"/>
      <c r="J638" s="241"/>
      <c r="K638" s="241"/>
      <c r="L638" s="241"/>
      <c r="M638" s="241"/>
      <c r="N638" s="241"/>
      <c r="O638" s="241"/>
      <c r="P638" s="241"/>
      <c r="Q638" s="241"/>
      <c r="R638" s="241"/>
      <c r="S638" s="241"/>
      <c r="T638" s="241"/>
      <c r="U638" s="241"/>
      <c r="V638" s="241"/>
      <c r="W638" s="241"/>
      <c r="X638" s="241"/>
      <c r="Y638" s="241"/>
      <c r="Z638" s="241"/>
      <c r="AA638" s="241"/>
    </row>
    <row r="639">
      <c r="A639" s="243"/>
      <c r="B639" s="243"/>
      <c r="C639" s="241"/>
      <c r="D639" s="241"/>
      <c r="E639" s="241"/>
      <c r="F639" s="241"/>
      <c r="G639" s="241"/>
      <c r="H639" s="241"/>
      <c r="I639" s="241"/>
      <c r="J639" s="241"/>
      <c r="K639" s="241"/>
      <c r="L639" s="241"/>
      <c r="M639" s="241"/>
      <c r="N639" s="241"/>
      <c r="O639" s="241"/>
      <c r="P639" s="241"/>
      <c r="Q639" s="241"/>
      <c r="R639" s="241"/>
      <c r="S639" s="241"/>
      <c r="T639" s="241"/>
      <c r="U639" s="241"/>
      <c r="V639" s="241"/>
      <c r="W639" s="241"/>
      <c r="X639" s="241"/>
      <c r="Y639" s="241"/>
      <c r="Z639" s="241"/>
      <c r="AA639" s="241"/>
    </row>
    <row r="640">
      <c r="A640" s="243"/>
      <c r="B640" s="243"/>
      <c r="C640" s="241"/>
      <c r="D640" s="241"/>
      <c r="E640" s="241"/>
      <c r="F640" s="241"/>
      <c r="G640" s="241"/>
      <c r="H640" s="241"/>
      <c r="I640" s="241"/>
      <c r="J640" s="241"/>
      <c r="K640" s="241"/>
      <c r="L640" s="241"/>
      <c r="M640" s="241"/>
      <c r="N640" s="241"/>
      <c r="O640" s="241"/>
      <c r="P640" s="241"/>
      <c r="Q640" s="241"/>
      <c r="R640" s="241"/>
      <c r="S640" s="241"/>
      <c r="T640" s="241"/>
      <c r="U640" s="241"/>
      <c r="V640" s="241"/>
      <c r="W640" s="241"/>
      <c r="X640" s="241"/>
      <c r="Y640" s="241"/>
      <c r="Z640" s="241"/>
      <c r="AA640" s="241"/>
    </row>
    <row r="641">
      <c r="A641" s="243"/>
      <c r="B641" s="243"/>
      <c r="C641" s="241"/>
      <c r="D641" s="241"/>
      <c r="E641" s="241"/>
      <c r="F641" s="241"/>
      <c r="G641" s="241"/>
      <c r="H641" s="241"/>
      <c r="I641" s="241"/>
      <c r="J641" s="241"/>
      <c r="K641" s="241"/>
      <c r="L641" s="241"/>
      <c r="M641" s="241"/>
      <c r="N641" s="241"/>
      <c r="O641" s="241"/>
      <c r="P641" s="241"/>
      <c r="Q641" s="241"/>
      <c r="R641" s="241"/>
      <c r="S641" s="241"/>
      <c r="T641" s="241"/>
      <c r="U641" s="241"/>
      <c r="V641" s="241"/>
      <c r="W641" s="241"/>
      <c r="X641" s="241"/>
      <c r="Y641" s="241"/>
      <c r="Z641" s="241"/>
      <c r="AA641" s="241"/>
    </row>
    <row r="642">
      <c r="A642" s="243"/>
      <c r="B642" s="243"/>
      <c r="C642" s="241"/>
      <c r="D642" s="241"/>
      <c r="E642" s="241"/>
      <c r="F642" s="241"/>
      <c r="G642" s="241"/>
      <c r="H642" s="241"/>
      <c r="I642" s="241"/>
      <c r="J642" s="241"/>
      <c r="K642" s="241"/>
      <c r="L642" s="241"/>
      <c r="M642" s="241"/>
      <c r="N642" s="241"/>
      <c r="O642" s="241"/>
      <c r="P642" s="241"/>
      <c r="Q642" s="241"/>
      <c r="R642" s="241"/>
      <c r="S642" s="241"/>
      <c r="T642" s="241"/>
      <c r="U642" s="241"/>
      <c r="V642" s="241"/>
      <c r="W642" s="241"/>
      <c r="X642" s="241"/>
      <c r="Y642" s="241"/>
      <c r="Z642" s="241"/>
      <c r="AA642" s="241"/>
    </row>
    <row r="643">
      <c r="A643" s="243"/>
      <c r="B643" s="243"/>
      <c r="C643" s="241"/>
      <c r="D643" s="241"/>
      <c r="E643" s="241"/>
      <c r="F643" s="241"/>
      <c r="G643" s="241"/>
      <c r="H643" s="241"/>
      <c r="I643" s="241"/>
      <c r="J643" s="241"/>
      <c r="K643" s="241"/>
      <c r="L643" s="241"/>
      <c r="M643" s="241"/>
      <c r="N643" s="241"/>
      <c r="O643" s="241"/>
      <c r="P643" s="241"/>
      <c r="Q643" s="241"/>
      <c r="R643" s="241"/>
      <c r="S643" s="241"/>
      <c r="T643" s="241"/>
      <c r="U643" s="241"/>
      <c r="V643" s="241"/>
      <c r="W643" s="241"/>
      <c r="X643" s="241"/>
      <c r="Y643" s="241"/>
      <c r="Z643" s="241"/>
      <c r="AA643" s="241"/>
    </row>
    <row r="644">
      <c r="A644" s="243"/>
      <c r="B644" s="243"/>
      <c r="C644" s="241"/>
      <c r="D644" s="241"/>
      <c r="E644" s="241"/>
      <c r="F644" s="241"/>
      <c r="G644" s="241"/>
      <c r="H644" s="241"/>
      <c r="I644" s="241"/>
      <c r="J644" s="241"/>
      <c r="K644" s="241"/>
      <c r="L644" s="241"/>
      <c r="M644" s="241"/>
      <c r="N644" s="241"/>
      <c r="O644" s="241"/>
      <c r="P644" s="241"/>
      <c r="Q644" s="241"/>
      <c r="R644" s="241"/>
      <c r="S644" s="241"/>
      <c r="T644" s="241"/>
      <c r="U644" s="241"/>
      <c r="V644" s="241"/>
      <c r="W644" s="241"/>
      <c r="X644" s="241"/>
      <c r="Y644" s="241"/>
      <c r="Z644" s="241"/>
      <c r="AA644" s="241"/>
    </row>
    <row r="645">
      <c r="A645" s="243"/>
      <c r="B645" s="243"/>
      <c r="C645" s="241"/>
      <c r="D645" s="241"/>
      <c r="E645" s="241"/>
      <c r="F645" s="241"/>
      <c r="G645" s="241"/>
      <c r="H645" s="241"/>
      <c r="I645" s="241"/>
      <c r="J645" s="241"/>
      <c r="K645" s="241"/>
      <c r="L645" s="241"/>
      <c r="M645" s="241"/>
      <c r="N645" s="241"/>
      <c r="O645" s="241"/>
      <c r="P645" s="241"/>
      <c r="Q645" s="241"/>
      <c r="R645" s="241"/>
      <c r="S645" s="241"/>
      <c r="T645" s="241"/>
      <c r="U645" s="241"/>
      <c r="V645" s="241"/>
      <c r="W645" s="241"/>
      <c r="X645" s="241"/>
      <c r="Y645" s="241"/>
      <c r="Z645" s="241"/>
      <c r="AA645" s="241"/>
    </row>
    <row r="646">
      <c r="A646" s="243"/>
      <c r="B646" s="243"/>
      <c r="C646" s="241"/>
      <c r="D646" s="241"/>
      <c r="E646" s="241"/>
      <c r="F646" s="241"/>
      <c r="G646" s="241"/>
      <c r="H646" s="241"/>
      <c r="I646" s="241"/>
      <c r="J646" s="241"/>
      <c r="K646" s="241"/>
      <c r="L646" s="241"/>
      <c r="M646" s="241"/>
      <c r="N646" s="241"/>
      <c r="O646" s="241"/>
      <c r="P646" s="241"/>
      <c r="Q646" s="241"/>
      <c r="R646" s="241"/>
      <c r="S646" s="241"/>
      <c r="T646" s="241"/>
      <c r="U646" s="241"/>
      <c r="V646" s="241"/>
      <c r="W646" s="241"/>
      <c r="X646" s="241"/>
      <c r="Y646" s="241"/>
      <c r="Z646" s="241"/>
      <c r="AA646" s="241"/>
    </row>
    <row r="647">
      <c r="A647" s="243"/>
      <c r="B647" s="243"/>
      <c r="C647" s="241"/>
      <c r="D647" s="241"/>
      <c r="E647" s="241"/>
      <c r="F647" s="241"/>
      <c r="G647" s="241"/>
      <c r="H647" s="241"/>
      <c r="I647" s="241"/>
      <c r="J647" s="241"/>
      <c r="K647" s="241"/>
      <c r="L647" s="241"/>
      <c r="M647" s="241"/>
      <c r="N647" s="241"/>
      <c r="O647" s="241"/>
      <c r="P647" s="241"/>
      <c r="Q647" s="241"/>
      <c r="R647" s="241"/>
      <c r="S647" s="241"/>
      <c r="T647" s="241"/>
      <c r="U647" s="241"/>
      <c r="V647" s="241"/>
      <c r="W647" s="241"/>
      <c r="X647" s="241"/>
      <c r="Y647" s="241"/>
      <c r="Z647" s="241"/>
      <c r="AA647" s="241"/>
    </row>
    <row r="648">
      <c r="A648" s="243"/>
      <c r="B648" s="243"/>
      <c r="C648" s="241"/>
      <c r="D648" s="241"/>
      <c r="E648" s="241"/>
      <c r="F648" s="241"/>
      <c r="G648" s="241"/>
      <c r="H648" s="241"/>
      <c r="I648" s="241"/>
      <c r="J648" s="241"/>
      <c r="K648" s="241"/>
      <c r="L648" s="241"/>
      <c r="M648" s="241"/>
      <c r="N648" s="241"/>
      <c r="O648" s="241"/>
      <c r="P648" s="241"/>
      <c r="Q648" s="241"/>
      <c r="R648" s="241"/>
      <c r="S648" s="241"/>
      <c r="T648" s="241"/>
      <c r="U648" s="241"/>
      <c r="V648" s="241"/>
      <c r="W648" s="241"/>
      <c r="X648" s="241"/>
      <c r="Y648" s="241"/>
      <c r="Z648" s="241"/>
      <c r="AA648" s="241"/>
    </row>
    <row r="649">
      <c r="A649" s="243"/>
      <c r="B649" s="243"/>
      <c r="C649" s="241"/>
      <c r="D649" s="241"/>
      <c r="E649" s="241"/>
      <c r="F649" s="241"/>
      <c r="G649" s="241"/>
      <c r="H649" s="241"/>
      <c r="I649" s="241"/>
      <c r="J649" s="241"/>
      <c r="K649" s="241"/>
      <c r="L649" s="241"/>
      <c r="M649" s="241"/>
      <c r="N649" s="241"/>
      <c r="O649" s="241"/>
      <c r="P649" s="241"/>
      <c r="Q649" s="241"/>
      <c r="R649" s="241"/>
      <c r="S649" s="241"/>
      <c r="T649" s="241"/>
      <c r="U649" s="241"/>
      <c r="V649" s="241"/>
      <c r="W649" s="241"/>
      <c r="X649" s="241"/>
      <c r="Y649" s="241"/>
      <c r="Z649" s="241"/>
      <c r="AA649" s="241"/>
    </row>
    <row r="650">
      <c r="A650" s="243"/>
      <c r="B650" s="243"/>
      <c r="C650" s="241"/>
      <c r="D650" s="241"/>
      <c r="E650" s="241"/>
      <c r="F650" s="241"/>
      <c r="G650" s="241"/>
      <c r="H650" s="241"/>
      <c r="I650" s="241"/>
      <c r="J650" s="241"/>
      <c r="K650" s="241"/>
      <c r="L650" s="241"/>
      <c r="M650" s="241"/>
      <c r="N650" s="241"/>
      <c r="O650" s="241"/>
      <c r="P650" s="241"/>
      <c r="Q650" s="241"/>
      <c r="R650" s="241"/>
      <c r="S650" s="241"/>
      <c r="T650" s="241"/>
      <c r="U650" s="241"/>
      <c r="V650" s="241"/>
      <c r="W650" s="241"/>
      <c r="X650" s="241"/>
      <c r="Y650" s="241"/>
      <c r="Z650" s="241"/>
      <c r="AA650" s="241"/>
    </row>
    <row r="651">
      <c r="A651" s="243"/>
      <c r="B651" s="243"/>
      <c r="C651" s="241"/>
      <c r="D651" s="241"/>
      <c r="E651" s="241"/>
      <c r="F651" s="241"/>
      <c r="G651" s="241"/>
      <c r="H651" s="241"/>
      <c r="I651" s="241"/>
      <c r="J651" s="241"/>
      <c r="K651" s="241"/>
      <c r="L651" s="241"/>
      <c r="M651" s="241"/>
      <c r="N651" s="241"/>
      <c r="O651" s="241"/>
      <c r="P651" s="241"/>
      <c r="Q651" s="241"/>
      <c r="R651" s="241"/>
      <c r="S651" s="241"/>
      <c r="T651" s="241"/>
      <c r="U651" s="241"/>
      <c r="V651" s="241"/>
      <c r="W651" s="241"/>
      <c r="X651" s="241"/>
      <c r="Y651" s="241"/>
      <c r="Z651" s="241"/>
      <c r="AA651" s="241"/>
    </row>
    <row r="652">
      <c r="A652" s="243"/>
      <c r="B652" s="243"/>
      <c r="C652" s="241"/>
      <c r="D652" s="241"/>
      <c r="E652" s="241"/>
      <c r="F652" s="241"/>
      <c r="G652" s="241"/>
      <c r="H652" s="241"/>
      <c r="I652" s="241"/>
      <c r="J652" s="241"/>
      <c r="K652" s="241"/>
      <c r="L652" s="241"/>
      <c r="M652" s="241"/>
      <c r="N652" s="241"/>
      <c r="O652" s="241"/>
      <c r="P652" s="241"/>
      <c r="Q652" s="241"/>
      <c r="R652" s="241"/>
      <c r="S652" s="241"/>
      <c r="T652" s="241"/>
      <c r="U652" s="241"/>
      <c r="V652" s="241"/>
      <c r="W652" s="241"/>
      <c r="X652" s="241"/>
      <c r="Y652" s="241"/>
      <c r="Z652" s="241"/>
      <c r="AA652" s="241"/>
    </row>
    <row r="653">
      <c r="A653" s="243"/>
      <c r="B653" s="243"/>
      <c r="C653" s="241"/>
      <c r="D653" s="241"/>
      <c r="E653" s="241"/>
      <c r="F653" s="241"/>
      <c r="G653" s="241"/>
      <c r="H653" s="241"/>
      <c r="I653" s="241"/>
      <c r="J653" s="241"/>
      <c r="K653" s="241"/>
      <c r="L653" s="241"/>
      <c r="M653" s="241"/>
      <c r="N653" s="241"/>
      <c r="O653" s="241"/>
      <c r="P653" s="241"/>
      <c r="Q653" s="241"/>
      <c r="R653" s="241"/>
      <c r="S653" s="241"/>
      <c r="T653" s="241"/>
      <c r="U653" s="241"/>
      <c r="V653" s="241"/>
      <c r="W653" s="241"/>
      <c r="X653" s="241"/>
      <c r="Y653" s="241"/>
      <c r="Z653" s="241"/>
      <c r="AA653" s="241"/>
    </row>
    <row r="654">
      <c r="A654" s="243"/>
      <c r="B654" s="243"/>
      <c r="C654" s="241"/>
      <c r="D654" s="241"/>
      <c r="E654" s="241"/>
      <c r="F654" s="241"/>
      <c r="G654" s="241"/>
      <c r="H654" s="241"/>
      <c r="I654" s="241"/>
      <c r="J654" s="241"/>
      <c r="K654" s="241"/>
      <c r="L654" s="241"/>
      <c r="M654" s="241"/>
      <c r="N654" s="241"/>
      <c r="O654" s="241"/>
      <c r="P654" s="241"/>
      <c r="Q654" s="241"/>
      <c r="R654" s="241"/>
      <c r="S654" s="241"/>
      <c r="T654" s="241"/>
      <c r="U654" s="241"/>
      <c r="V654" s="241"/>
      <c r="W654" s="241"/>
      <c r="X654" s="241"/>
      <c r="Y654" s="241"/>
      <c r="Z654" s="241"/>
      <c r="AA654" s="241"/>
    </row>
    <row r="655">
      <c r="A655" s="243"/>
      <c r="B655" s="243"/>
      <c r="C655" s="241"/>
      <c r="D655" s="241"/>
      <c r="E655" s="241"/>
      <c r="F655" s="241"/>
      <c r="G655" s="241"/>
      <c r="H655" s="241"/>
      <c r="I655" s="241"/>
      <c r="J655" s="241"/>
      <c r="K655" s="241"/>
      <c r="L655" s="241"/>
      <c r="M655" s="241"/>
      <c r="N655" s="241"/>
      <c r="O655" s="241"/>
      <c r="P655" s="241"/>
      <c r="Q655" s="241"/>
      <c r="R655" s="241"/>
      <c r="S655" s="241"/>
      <c r="T655" s="241"/>
      <c r="U655" s="241"/>
      <c r="V655" s="241"/>
      <c r="W655" s="241"/>
      <c r="X655" s="241"/>
      <c r="Y655" s="241"/>
      <c r="Z655" s="241"/>
      <c r="AA655" s="241"/>
    </row>
    <row r="656">
      <c r="A656" s="243"/>
      <c r="B656" s="243"/>
      <c r="C656" s="241"/>
      <c r="D656" s="241"/>
      <c r="E656" s="241"/>
      <c r="F656" s="241"/>
      <c r="G656" s="241"/>
      <c r="H656" s="241"/>
      <c r="I656" s="241"/>
      <c r="J656" s="241"/>
      <c r="K656" s="241"/>
      <c r="L656" s="241"/>
      <c r="M656" s="241"/>
      <c r="N656" s="241"/>
      <c r="O656" s="241"/>
      <c r="P656" s="241"/>
      <c r="Q656" s="241"/>
      <c r="R656" s="241"/>
      <c r="S656" s="241"/>
      <c r="T656" s="241"/>
      <c r="U656" s="241"/>
      <c r="V656" s="241"/>
      <c r="W656" s="241"/>
      <c r="X656" s="241"/>
      <c r="Y656" s="241"/>
      <c r="Z656" s="241"/>
      <c r="AA656" s="241"/>
    </row>
    <row r="657">
      <c r="A657" s="243"/>
      <c r="B657" s="243"/>
      <c r="C657" s="241"/>
      <c r="D657" s="241"/>
      <c r="E657" s="241"/>
      <c r="F657" s="241"/>
      <c r="G657" s="241"/>
      <c r="H657" s="241"/>
      <c r="I657" s="241"/>
      <c r="J657" s="241"/>
      <c r="K657" s="241"/>
      <c r="L657" s="241"/>
      <c r="M657" s="241"/>
      <c r="N657" s="241"/>
      <c r="O657" s="241"/>
      <c r="P657" s="241"/>
      <c r="Q657" s="241"/>
      <c r="R657" s="241"/>
      <c r="S657" s="241"/>
      <c r="T657" s="241"/>
      <c r="U657" s="241"/>
      <c r="V657" s="241"/>
      <c r="W657" s="241"/>
      <c r="X657" s="241"/>
      <c r="Y657" s="241"/>
      <c r="Z657" s="241"/>
      <c r="AA657" s="241"/>
    </row>
    <row r="658">
      <c r="A658" s="243"/>
      <c r="B658" s="243"/>
      <c r="C658" s="241"/>
      <c r="D658" s="241"/>
      <c r="E658" s="241"/>
      <c r="F658" s="241"/>
      <c r="G658" s="241"/>
      <c r="H658" s="241"/>
      <c r="I658" s="241"/>
      <c r="J658" s="241"/>
      <c r="K658" s="241"/>
      <c r="L658" s="241"/>
      <c r="M658" s="241"/>
      <c r="N658" s="241"/>
      <c r="O658" s="241"/>
      <c r="P658" s="241"/>
      <c r="Q658" s="241"/>
      <c r="R658" s="241"/>
      <c r="S658" s="241"/>
      <c r="T658" s="241"/>
      <c r="U658" s="241"/>
      <c r="V658" s="241"/>
      <c r="W658" s="241"/>
      <c r="X658" s="241"/>
      <c r="Y658" s="241"/>
      <c r="Z658" s="241"/>
      <c r="AA658" s="241"/>
    </row>
    <row r="659">
      <c r="A659" s="243"/>
      <c r="B659" s="243"/>
      <c r="C659" s="241"/>
      <c r="D659" s="241"/>
      <c r="E659" s="241"/>
      <c r="F659" s="241"/>
      <c r="G659" s="241"/>
      <c r="H659" s="241"/>
      <c r="I659" s="241"/>
      <c r="J659" s="241"/>
      <c r="K659" s="241"/>
      <c r="L659" s="241"/>
      <c r="M659" s="241"/>
      <c r="N659" s="241"/>
      <c r="O659" s="241"/>
      <c r="P659" s="241"/>
      <c r="Q659" s="241"/>
      <c r="R659" s="241"/>
      <c r="S659" s="241"/>
      <c r="T659" s="241"/>
      <c r="U659" s="241"/>
      <c r="V659" s="241"/>
      <c r="W659" s="241"/>
      <c r="X659" s="241"/>
      <c r="Y659" s="241"/>
      <c r="Z659" s="241"/>
      <c r="AA659" s="241"/>
    </row>
    <row r="660">
      <c r="A660" s="243"/>
      <c r="B660" s="243"/>
      <c r="C660" s="241"/>
      <c r="D660" s="241"/>
      <c r="E660" s="241"/>
      <c r="F660" s="241"/>
      <c r="G660" s="241"/>
      <c r="H660" s="241"/>
      <c r="I660" s="241"/>
      <c r="J660" s="241"/>
      <c r="K660" s="241"/>
      <c r="L660" s="241"/>
      <c r="M660" s="241"/>
      <c r="N660" s="241"/>
      <c r="O660" s="241"/>
      <c r="P660" s="241"/>
      <c r="Q660" s="241"/>
      <c r="R660" s="241"/>
      <c r="S660" s="241"/>
      <c r="T660" s="241"/>
      <c r="U660" s="241"/>
      <c r="V660" s="241"/>
      <c r="W660" s="241"/>
      <c r="X660" s="241"/>
      <c r="Y660" s="241"/>
      <c r="Z660" s="241"/>
      <c r="AA660" s="241"/>
    </row>
    <row r="661">
      <c r="A661" s="243"/>
      <c r="B661" s="243"/>
      <c r="C661" s="241"/>
      <c r="D661" s="241"/>
      <c r="E661" s="241"/>
      <c r="F661" s="241"/>
      <c r="G661" s="241"/>
      <c r="H661" s="241"/>
      <c r="I661" s="241"/>
      <c r="J661" s="241"/>
      <c r="K661" s="241"/>
      <c r="L661" s="241"/>
      <c r="M661" s="241"/>
      <c r="N661" s="241"/>
      <c r="O661" s="241"/>
      <c r="P661" s="241"/>
      <c r="Q661" s="241"/>
      <c r="R661" s="241"/>
      <c r="S661" s="241"/>
      <c r="T661" s="241"/>
      <c r="U661" s="241"/>
      <c r="V661" s="241"/>
      <c r="W661" s="241"/>
      <c r="X661" s="241"/>
      <c r="Y661" s="241"/>
      <c r="Z661" s="241"/>
      <c r="AA661" s="241"/>
    </row>
    <row r="662">
      <c r="A662" s="243"/>
      <c r="B662" s="243"/>
      <c r="C662" s="241"/>
      <c r="D662" s="241"/>
      <c r="E662" s="241"/>
      <c r="F662" s="241"/>
      <c r="G662" s="241"/>
      <c r="H662" s="241"/>
      <c r="I662" s="241"/>
      <c r="J662" s="241"/>
      <c r="K662" s="241"/>
      <c r="L662" s="241"/>
      <c r="M662" s="241"/>
      <c r="N662" s="241"/>
      <c r="O662" s="241"/>
      <c r="P662" s="241"/>
      <c r="Q662" s="241"/>
      <c r="R662" s="241"/>
      <c r="S662" s="241"/>
      <c r="T662" s="241"/>
      <c r="U662" s="241"/>
      <c r="V662" s="241"/>
      <c r="W662" s="241"/>
      <c r="X662" s="241"/>
      <c r="Y662" s="241"/>
      <c r="Z662" s="241"/>
      <c r="AA662" s="241"/>
    </row>
    <row r="663">
      <c r="A663" s="243"/>
      <c r="B663" s="243"/>
      <c r="C663" s="241"/>
      <c r="D663" s="241"/>
      <c r="E663" s="241"/>
      <c r="F663" s="241"/>
      <c r="G663" s="241"/>
      <c r="H663" s="241"/>
      <c r="I663" s="241"/>
      <c r="J663" s="241"/>
      <c r="K663" s="241"/>
      <c r="L663" s="241"/>
      <c r="M663" s="241"/>
      <c r="N663" s="241"/>
      <c r="O663" s="241"/>
      <c r="P663" s="241"/>
      <c r="Q663" s="241"/>
      <c r="R663" s="241"/>
      <c r="S663" s="241"/>
      <c r="T663" s="241"/>
      <c r="U663" s="241"/>
      <c r="V663" s="241"/>
      <c r="W663" s="241"/>
      <c r="X663" s="241"/>
      <c r="Y663" s="241"/>
      <c r="Z663" s="241"/>
      <c r="AA663" s="241"/>
    </row>
    <row r="664">
      <c r="A664" s="243"/>
      <c r="B664" s="243"/>
      <c r="C664" s="241"/>
      <c r="D664" s="241"/>
      <c r="E664" s="241"/>
      <c r="F664" s="241"/>
      <c r="G664" s="241"/>
      <c r="H664" s="241"/>
      <c r="I664" s="241"/>
      <c r="J664" s="241"/>
      <c r="K664" s="241"/>
      <c r="L664" s="241"/>
      <c r="M664" s="241"/>
      <c r="N664" s="241"/>
      <c r="O664" s="241"/>
      <c r="P664" s="241"/>
      <c r="Q664" s="241"/>
      <c r="R664" s="241"/>
      <c r="S664" s="241"/>
      <c r="T664" s="241"/>
      <c r="U664" s="241"/>
      <c r="V664" s="241"/>
      <c r="W664" s="241"/>
      <c r="X664" s="241"/>
      <c r="Y664" s="241"/>
      <c r="Z664" s="241"/>
      <c r="AA664" s="241"/>
    </row>
    <row r="665">
      <c r="A665" s="243"/>
      <c r="B665" s="243"/>
      <c r="C665" s="241"/>
      <c r="D665" s="241"/>
      <c r="E665" s="241"/>
      <c r="F665" s="241"/>
      <c r="G665" s="241"/>
      <c r="H665" s="241"/>
      <c r="I665" s="241"/>
      <c r="J665" s="241"/>
      <c r="K665" s="241"/>
      <c r="L665" s="241"/>
      <c r="M665" s="241"/>
      <c r="N665" s="241"/>
      <c r="O665" s="241"/>
      <c r="P665" s="241"/>
      <c r="Q665" s="241"/>
      <c r="R665" s="241"/>
      <c r="S665" s="241"/>
      <c r="T665" s="241"/>
      <c r="U665" s="241"/>
      <c r="V665" s="241"/>
      <c r="W665" s="241"/>
      <c r="X665" s="241"/>
      <c r="Y665" s="241"/>
      <c r="Z665" s="241"/>
      <c r="AA665" s="241"/>
    </row>
    <row r="666">
      <c r="A666" s="243"/>
      <c r="B666" s="243"/>
      <c r="C666" s="241"/>
      <c r="D666" s="241"/>
      <c r="E666" s="241"/>
      <c r="F666" s="241"/>
      <c r="G666" s="241"/>
      <c r="H666" s="241"/>
      <c r="I666" s="241"/>
      <c r="J666" s="241"/>
      <c r="K666" s="241"/>
      <c r="L666" s="241"/>
      <c r="M666" s="241"/>
      <c r="N666" s="241"/>
      <c r="O666" s="241"/>
      <c r="P666" s="241"/>
      <c r="Q666" s="241"/>
      <c r="R666" s="241"/>
      <c r="S666" s="241"/>
      <c r="T666" s="241"/>
      <c r="U666" s="241"/>
      <c r="V666" s="241"/>
      <c r="W666" s="241"/>
      <c r="X666" s="241"/>
      <c r="Y666" s="241"/>
      <c r="Z666" s="241"/>
      <c r="AA666" s="241"/>
    </row>
    <row r="667">
      <c r="A667" s="243"/>
      <c r="B667" s="243"/>
      <c r="C667" s="241"/>
      <c r="D667" s="241"/>
      <c r="E667" s="241"/>
      <c r="F667" s="241"/>
      <c r="G667" s="241"/>
      <c r="H667" s="241"/>
      <c r="I667" s="241"/>
      <c r="J667" s="241"/>
      <c r="K667" s="241"/>
      <c r="L667" s="241"/>
      <c r="M667" s="241"/>
      <c r="N667" s="241"/>
      <c r="O667" s="241"/>
      <c r="P667" s="241"/>
      <c r="Q667" s="241"/>
      <c r="R667" s="241"/>
      <c r="S667" s="241"/>
      <c r="T667" s="241"/>
      <c r="U667" s="241"/>
      <c r="V667" s="241"/>
      <c r="W667" s="241"/>
      <c r="X667" s="241"/>
      <c r="Y667" s="241"/>
      <c r="Z667" s="241"/>
      <c r="AA667" s="241"/>
    </row>
    <row r="668">
      <c r="A668" s="243"/>
      <c r="B668" s="243"/>
      <c r="C668" s="241"/>
      <c r="D668" s="241"/>
      <c r="E668" s="241"/>
      <c r="F668" s="241"/>
      <c r="G668" s="241"/>
      <c r="H668" s="241"/>
      <c r="I668" s="241"/>
      <c r="J668" s="241"/>
      <c r="K668" s="241"/>
      <c r="L668" s="241"/>
      <c r="M668" s="241"/>
      <c r="N668" s="241"/>
      <c r="O668" s="241"/>
      <c r="P668" s="241"/>
      <c r="Q668" s="241"/>
      <c r="R668" s="241"/>
      <c r="S668" s="241"/>
      <c r="T668" s="241"/>
      <c r="U668" s="241"/>
      <c r="V668" s="241"/>
      <c r="W668" s="241"/>
      <c r="X668" s="241"/>
      <c r="Y668" s="241"/>
      <c r="Z668" s="241"/>
      <c r="AA668" s="241"/>
    </row>
    <row r="669">
      <c r="A669" s="243"/>
      <c r="B669" s="243"/>
      <c r="C669" s="241"/>
      <c r="D669" s="241"/>
      <c r="E669" s="241"/>
      <c r="F669" s="241"/>
      <c r="G669" s="241"/>
      <c r="H669" s="241"/>
      <c r="I669" s="241"/>
      <c r="J669" s="241"/>
      <c r="K669" s="241"/>
      <c r="L669" s="241"/>
      <c r="M669" s="241"/>
      <c r="N669" s="241"/>
      <c r="O669" s="241"/>
      <c r="P669" s="241"/>
      <c r="Q669" s="241"/>
      <c r="R669" s="241"/>
      <c r="S669" s="241"/>
      <c r="T669" s="241"/>
      <c r="U669" s="241"/>
      <c r="V669" s="241"/>
      <c r="W669" s="241"/>
      <c r="X669" s="241"/>
      <c r="Y669" s="241"/>
      <c r="Z669" s="241"/>
      <c r="AA669" s="241"/>
    </row>
    <row r="670">
      <c r="A670" s="243"/>
      <c r="B670" s="243"/>
      <c r="C670" s="241"/>
      <c r="D670" s="241"/>
      <c r="E670" s="241"/>
      <c r="F670" s="241"/>
      <c r="G670" s="241"/>
      <c r="H670" s="241"/>
      <c r="I670" s="241"/>
      <c r="J670" s="241"/>
      <c r="K670" s="241"/>
      <c r="L670" s="241"/>
      <c r="M670" s="241"/>
      <c r="N670" s="241"/>
      <c r="O670" s="241"/>
      <c r="P670" s="241"/>
      <c r="Q670" s="241"/>
      <c r="R670" s="241"/>
      <c r="S670" s="241"/>
      <c r="T670" s="241"/>
      <c r="U670" s="241"/>
      <c r="V670" s="241"/>
      <c r="W670" s="241"/>
      <c r="X670" s="241"/>
      <c r="Y670" s="241"/>
      <c r="Z670" s="241"/>
      <c r="AA670" s="241"/>
    </row>
    <row r="671">
      <c r="A671" s="243"/>
      <c r="B671" s="243"/>
      <c r="C671" s="241"/>
      <c r="D671" s="241"/>
      <c r="E671" s="241"/>
      <c r="F671" s="241"/>
      <c r="G671" s="241"/>
      <c r="H671" s="241"/>
      <c r="I671" s="241"/>
      <c r="J671" s="241"/>
      <c r="K671" s="241"/>
      <c r="L671" s="241"/>
      <c r="M671" s="241"/>
      <c r="N671" s="241"/>
      <c r="O671" s="241"/>
      <c r="P671" s="241"/>
      <c r="Q671" s="241"/>
      <c r="R671" s="241"/>
      <c r="S671" s="241"/>
      <c r="T671" s="241"/>
      <c r="U671" s="241"/>
      <c r="V671" s="241"/>
      <c r="W671" s="241"/>
      <c r="X671" s="241"/>
      <c r="Y671" s="241"/>
      <c r="Z671" s="241"/>
      <c r="AA671" s="241"/>
    </row>
    <row r="672">
      <c r="A672" s="243"/>
      <c r="B672" s="243"/>
      <c r="C672" s="241"/>
      <c r="D672" s="241"/>
      <c r="E672" s="241"/>
      <c r="F672" s="241"/>
      <c r="G672" s="241"/>
      <c r="H672" s="241"/>
      <c r="I672" s="241"/>
      <c r="J672" s="241"/>
      <c r="K672" s="241"/>
      <c r="L672" s="241"/>
      <c r="M672" s="241"/>
      <c r="N672" s="241"/>
      <c r="O672" s="241"/>
      <c r="P672" s="241"/>
      <c r="Q672" s="241"/>
      <c r="R672" s="241"/>
      <c r="S672" s="241"/>
      <c r="T672" s="241"/>
      <c r="U672" s="241"/>
      <c r="V672" s="241"/>
      <c r="W672" s="241"/>
      <c r="X672" s="241"/>
      <c r="Y672" s="241"/>
      <c r="Z672" s="241"/>
      <c r="AA672" s="241"/>
    </row>
    <row r="673">
      <c r="A673" s="243"/>
      <c r="B673" s="243"/>
      <c r="C673" s="241"/>
      <c r="D673" s="241"/>
      <c r="E673" s="241"/>
      <c r="F673" s="241"/>
      <c r="G673" s="241"/>
      <c r="H673" s="241"/>
      <c r="I673" s="241"/>
      <c r="J673" s="241"/>
      <c r="K673" s="241"/>
      <c r="L673" s="241"/>
      <c r="M673" s="241"/>
      <c r="N673" s="241"/>
      <c r="O673" s="241"/>
      <c r="P673" s="241"/>
      <c r="Q673" s="241"/>
      <c r="R673" s="241"/>
      <c r="S673" s="241"/>
      <c r="T673" s="241"/>
      <c r="U673" s="241"/>
      <c r="V673" s="241"/>
      <c r="W673" s="241"/>
      <c r="X673" s="241"/>
      <c r="Y673" s="241"/>
      <c r="Z673" s="241"/>
      <c r="AA673" s="241"/>
    </row>
    <row r="674">
      <c r="A674" s="243"/>
      <c r="B674" s="243"/>
      <c r="C674" s="241"/>
      <c r="D674" s="241"/>
      <c r="E674" s="241"/>
      <c r="F674" s="241"/>
      <c r="G674" s="241"/>
      <c r="H674" s="241"/>
      <c r="I674" s="241"/>
      <c r="J674" s="241"/>
      <c r="K674" s="241"/>
      <c r="L674" s="241"/>
      <c r="M674" s="241"/>
      <c r="N674" s="241"/>
      <c r="O674" s="241"/>
      <c r="P674" s="241"/>
      <c r="Q674" s="241"/>
      <c r="R674" s="241"/>
      <c r="S674" s="241"/>
      <c r="T674" s="241"/>
      <c r="U674" s="241"/>
      <c r="V674" s="241"/>
      <c r="W674" s="241"/>
      <c r="X674" s="241"/>
      <c r="Y674" s="241"/>
      <c r="Z674" s="241"/>
      <c r="AA674" s="241"/>
    </row>
    <row r="675">
      <c r="A675" s="243"/>
      <c r="B675" s="243"/>
      <c r="C675" s="241"/>
      <c r="D675" s="241"/>
      <c r="E675" s="241"/>
      <c r="F675" s="241"/>
      <c r="G675" s="241"/>
      <c r="H675" s="241"/>
      <c r="I675" s="241"/>
      <c r="J675" s="241"/>
      <c r="K675" s="241"/>
      <c r="L675" s="241"/>
      <c r="M675" s="241"/>
      <c r="N675" s="241"/>
      <c r="O675" s="241"/>
      <c r="P675" s="241"/>
      <c r="Q675" s="241"/>
      <c r="R675" s="241"/>
      <c r="S675" s="241"/>
      <c r="T675" s="241"/>
      <c r="U675" s="241"/>
      <c r="V675" s="241"/>
      <c r="W675" s="241"/>
      <c r="X675" s="241"/>
      <c r="Y675" s="241"/>
      <c r="Z675" s="241"/>
      <c r="AA675" s="241"/>
    </row>
    <row r="676">
      <c r="A676" s="243"/>
      <c r="B676" s="243"/>
      <c r="C676" s="241"/>
      <c r="D676" s="241"/>
      <c r="E676" s="241"/>
      <c r="F676" s="241"/>
      <c r="G676" s="241"/>
      <c r="H676" s="241"/>
      <c r="I676" s="241"/>
      <c r="J676" s="241"/>
      <c r="K676" s="241"/>
      <c r="L676" s="241"/>
      <c r="M676" s="241"/>
      <c r="N676" s="241"/>
      <c r="O676" s="241"/>
      <c r="P676" s="241"/>
      <c r="Q676" s="241"/>
      <c r="R676" s="241"/>
      <c r="S676" s="241"/>
      <c r="T676" s="241"/>
      <c r="U676" s="241"/>
      <c r="V676" s="241"/>
      <c r="W676" s="241"/>
      <c r="X676" s="241"/>
      <c r="Y676" s="241"/>
      <c r="Z676" s="241"/>
      <c r="AA676" s="241"/>
    </row>
    <row r="677">
      <c r="A677" s="243"/>
      <c r="B677" s="243"/>
      <c r="C677" s="241"/>
      <c r="D677" s="241"/>
      <c r="E677" s="241"/>
      <c r="F677" s="241"/>
      <c r="G677" s="241"/>
      <c r="H677" s="241"/>
      <c r="I677" s="241"/>
      <c r="J677" s="241"/>
      <c r="K677" s="241"/>
      <c r="L677" s="241"/>
      <c r="M677" s="241"/>
      <c r="N677" s="241"/>
      <c r="O677" s="241"/>
      <c r="P677" s="241"/>
      <c r="Q677" s="241"/>
      <c r="R677" s="241"/>
      <c r="S677" s="241"/>
      <c r="T677" s="241"/>
      <c r="U677" s="241"/>
      <c r="V677" s="241"/>
      <c r="W677" s="241"/>
      <c r="X677" s="241"/>
      <c r="Y677" s="241"/>
      <c r="Z677" s="241"/>
      <c r="AA677" s="241"/>
    </row>
    <row r="678">
      <c r="A678" s="243"/>
      <c r="B678" s="243"/>
      <c r="C678" s="241"/>
      <c r="D678" s="241"/>
      <c r="E678" s="241"/>
      <c r="F678" s="241"/>
      <c r="G678" s="241"/>
      <c r="H678" s="241"/>
      <c r="I678" s="241"/>
      <c r="J678" s="241"/>
      <c r="K678" s="241"/>
      <c r="L678" s="241"/>
      <c r="M678" s="241"/>
      <c r="N678" s="241"/>
      <c r="O678" s="241"/>
      <c r="P678" s="241"/>
      <c r="Q678" s="241"/>
      <c r="R678" s="241"/>
      <c r="S678" s="241"/>
      <c r="T678" s="241"/>
      <c r="U678" s="241"/>
      <c r="V678" s="241"/>
      <c r="W678" s="241"/>
      <c r="X678" s="241"/>
      <c r="Y678" s="241"/>
      <c r="Z678" s="241"/>
      <c r="AA678" s="241"/>
    </row>
    <row r="679">
      <c r="A679" s="243"/>
      <c r="B679" s="243"/>
      <c r="C679" s="241"/>
      <c r="D679" s="241"/>
      <c r="E679" s="241"/>
      <c r="F679" s="241"/>
      <c r="G679" s="241"/>
      <c r="H679" s="241"/>
      <c r="I679" s="241"/>
      <c r="J679" s="241"/>
      <c r="K679" s="241"/>
      <c r="L679" s="241"/>
      <c r="M679" s="241"/>
      <c r="N679" s="241"/>
      <c r="O679" s="241"/>
      <c r="P679" s="241"/>
      <c r="Q679" s="241"/>
      <c r="R679" s="241"/>
      <c r="S679" s="241"/>
      <c r="T679" s="241"/>
      <c r="U679" s="241"/>
      <c r="V679" s="241"/>
      <c r="W679" s="241"/>
      <c r="X679" s="241"/>
      <c r="Y679" s="241"/>
      <c r="Z679" s="241"/>
      <c r="AA679" s="241"/>
    </row>
    <row r="680">
      <c r="A680" s="243"/>
      <c r="B680" s="243"/>
      <c r="C680" s="241"/>
      <c r="D680" s="241"/>
      <c r="E680" s="241"/>
      <c r="F680" s="241"/>
      <c r="G680" s="241"/>
      <c r="H680" s="241"/>
      <c r="I680" s="241"/>
      <c r="J680" s="241"/>
      <c r="K680" s="241"/>
      <c r="L680" s="241"/>
      <c r="M680" s="241"/>
      <c r="N680" s="241"/>
      <c r="O680" s="241"/>
      <c r="P680" s="241"/>
      <c r="Q680" s="241"/>
      <c r="R680" s="241"/>
      <c r="S680" s="241"/>
      <c r="T680" s="241"/>
      <c r="U680" s="241"/>
      <c r="V680" s="241"/>
      <c r="W680" s="241"/>
      <c r="X680" s="241"/>
      <c r="Y680" s="241"/>
      <c r="Z680" s="241"/>
      <c r="AA680" s="241"/>
    </row>
    <row r="681">
      <c r="A681" s="243"/>
      <c r="B681" s="243"/>
      <c r="C681" s="241"/>
      <c r="D681" s="241"/>
      <c r="E681" s="241"/>
      <c r="F681" s="241"/>
      <c r="G681" s="241"/>
      <c r="H681" s="241"/>
      <c r="I681" s="241"/>
      <c r="J681" s="241"/>
      <c r="K681" s="241"/>
      <c r="L681" s="241"/>
      <c r="M681" s="241"/>
      <c r="N681" s="241"/>
      <c r="O681" s="241"/>
      <c r="P681" s="241"/>
      <c r="Q681" s="241"/>
      <c r="R681" s="241"/>
      <c r="S681" s="241"/>
      <c r="T681" s="241"/>
      <c r="U681" s="241"/>
      <c r="V681" s="241"/>
      <c r="W681" s="241"/>
      <c r="X681" s="241"/>
      <c r="Y681" s="241"/>
      <c r="Z681" s="241"/>
      <c r="AA681" s="241"/>
    </row>
    <row r="682">
      <c r="A682" s="243"/>
      <c r="B682" s="243"/>
      <c r="C682" s="241"/>
      <c r="D682" s="241"/>
      <c r="E682" s="241"/>
      <c r="F682" s="241"/>
      <c r="G682" s="241"/>
      <c r="H682" s="241"/>
      <c r="I682" s="241"/>
      <c r="J682" s="241"/>
      <c r="K682" s="241"/>
      <c r="L682" s="241"/>
      <c r="M682" s="241"/>
      <c r="N682" s="241"/>
      <c r="O682" s="241"/>
      <c r="P682" s="241"/>
      <c r="Q682" s="241"/>
      <c r="R682" s="241"/>
      <c r="S682" s="241"/>
      <c r="T682" s="241"/>
      <c r="U682" s="241"/>
      <c r="V682" s="241"/>
      <c r="W682" s="241"/>
      <c r="X682" s="241"/>
      <c r="Y682" s="241"/>
      <c r="Z682" s="241"/>
      <c r="AA682" s="241"/>
    </row>
    <row r="683">
      <c r="A683" s="243"/>
      <c r="B683" s="243"/>
      <c r="C683" s="241"/>
      <c r="D683" s="241"/>
      <c r="E683" s="241"/>
      <c r="F683" s="241"/>
      <c r="G683" s="241"/>
      <c r="H683" s="241"/>
      <c r="I683" s="241"/>
      <c r="J683" s="241"/>
      <c r="K683" s="241"/>
      <c r="L683" s="241"/>
      <c r="M683" s="241"/>
      <c r="N683" s="241"/>
      <c r="O683" s="241"/>
      <c r="P683" s="241"/>
      <c r="Q683" s="241"/>
      <c r="R683" s="241"/>
      <c r="S683" s="241"/>
      <c r="T683" s="241"/>
      <c r="U683" s="241"/>
      <c r="V683" s="241"/>
      <c r="W683" s="241"/>
      <c r="X683" s="241"/>
      <c r="Y683" s="241"/>
      <c r="Z683" s="241"/>
      <c r="AA683" s="241"/>
    </row>
    <row r="684">
      <c r="A684" s="243"/>
      <c r="B684" s="243"/>
      <c r="C684" s="241"/>
      <c r="D684" s="241"/>
      <c r="E684" s="241"/>
      <c r="F684" s="241"/>
      <c r="G684" s="241"/>
      <c r="H684" s="241"/>
      <c r="I684" s="241"/>
      <c r="J684" s="241"/>
      <c r="K684" s="241"/>
      <c r="L684" s="241"/>
      <c r="M684" s="241"/>
      <c r="N684" s="241"/>
      <c r="O684" s="241"/>
      <c r="P684" s="241"/>
      <c r="Q684" s="241"/>
      <c r="R684" s="241"/>
      <c r="S684" s="241"/>
      <c r="T684" s="241"/>
      <c r="U684" s="241"/>
      <c r="V684" s="241"/>
      <c r="W684" s="241"/>
      <c r="X684" s="241"/>
      <c r="Y684" s="241"/>
      <c r="Z684" s="241"/>
      <c r="AA684" s="241"/>
    </row>
    <row r="685">
      <c r="A685" s="243"/>
      <c r="B685" s="243"/>
      <c r="C685" s="241"/>
      <c r="D685" s="241"/>
      <c r="E685" s="241"/>
      <c r="F685" s="241"/>
      <c r="G685" s="241"/>
      <c r="H685" s="241"/>
      <c r="I685" s="241"/>
      <c r="J685" s="241"/>
      <c r="K685" s="241"/>
      <c r="L685" s="241"/>
      <c r="M685" s="241"/>
      <c r="N685" s="241"/>
      <c r="O685" s="241"/>
      <c r="P685" s="241"/>
      <c r="Q685" s="241"/>
      <c r="R685" s="241"/>
      <c r="S685" s="241"/>
      <c r="T685" s="241"/>
      <c r="U685" s="241"/>
      <c r="V685" s="241"/>
      <c r="W685" s="241"/>
      <c r="X685" s="241"/>
      <c r="Y685" s="241"/>
      <c r="Z685" s="241"/>
      <c r="AA685" s="241"/>
    </row>
    <row r="686">
      <c r="A686" s="243"/>
      <c r="B686" s="243"/>
      <c r="C686" s="241"/>
      <c r="D686" s="241"/>
      <c r="E686" s="241"/>
      <c r="F686" s="241"/>
      <c r="G686" s="241"/>
      <c r="H686" s="241"/>
      <c r="I686" s="241"/>
      <c r="J686" s="241"/>
      <c r="K686" s="241"/>
      <c r="L686" s="241"/>
      <c r="M686" s="241"/>
      <c r="N686" s="241"/>
      <c r="O686" s="241"/>
      <c r="P686" s="241"/>
      <c r="Q686" s="241"/>
      <c r="R686" s="241"/>
      <c r="S686" s="241"/>
      <c r="T686" s="241"/>
      <c r="U686" s="241"/>
      <c r="V686" s="241"/>
      <c r="W686" s="241"/>
      <c r="X686" s="241"/>
      <c r="Y686" s="241"/>
      <c r="Z686" s="241"/>
      <c r="AA686" s="241"/>
    </row>
    <row r="687">
      <c r="A687" s="243"/>
      <c r="B687" s="243"/>
      <c r="C687" s="241"/>
      <c r="D687" s="241"/>
      <c r="E687" s="241"/>
      <c r="F687" s="241"/>
      <c r="G687" s="241"/>
      <c r="H687" s="241"/>
      <c r="I687" s="241"/>
      <c r="J687" s="241"/>
      <c r="K687" s="241"/>
      <c r="L687" s="241"/>
      <c r="M687" s="241"/>
      <c r="N687" s="241"/>
      <c r="O687" s="241"/>
      <c r="P687" s="241"/>
      <c r="Q687" s="241"/>
      <c r="R687" s="241"/>
      <c r="S687" s="241"/>
      <c r="T687" s="241"/>
      <c r="U687" s="241"/>
      <c r="V687" s="241"/>
      <c r="W687" s="241"/>
      <c r="X687" s="241"/>
      <c r="Y687" s="241"/>
      <c r="Z687" s="241"/>
      <c r="AA687" s="241"/>
    </row>
    <row r="688">
      <c r="A688" s="243"/>
      <c r="B688" s="243"/>
      <c r="C688" s="241"/>
      <c r="D688" s="241"/>
      <c r="E688" s="241"/>
      <c r="F688" s="241"/>
      <c r="G688" s="241"/>
      <c r="H688" s="241"/>
      <c r="I688" s="241"/>
      <c r="J688" s="241"/>
      <c r="K688" s="241"/>
      <c r="L688" s="241"/>
      <c r="M688" s="241"/>
      <c r="N688" s="241"/>
      <c r="O688" s="241"/>
      <c r="P688" s="241"/>
      <c r="Q688" s="241"/>
      <c r="R688" s="241"/>
      <c r="S688" s="241"/>
      <c r="T688" s="241"/>
      <c r="U688" s="241"/>
      <c r="V688" s="241"/>
      <c r="W688" s="241"/>
      <c r="X688" s="241"/>
      <c r="Y688" s="241"/>
      <c r="Z688" s="241"/>
      <c r="AA688" s="241"/>
    </row>
    <row r="689">
      <c r="A689" s="243"/>
      <c r="B689" s="243"/>
      <c r="C689" s="241"/>
      <c r="D689" s="241"/>
      <c r="E689" s="241"/>
      <c r="F689" s="241"/>
      <c r="G689" s="241"/>
      <c r="H689" s="241"/>
      <c r="I689" s="241"/>
      <c r="J689" s="241"/>
      <c r="K689" s="241"/>
      <c r="L689" s="241"/>
      <c r="M689" s="241"/>
      <c r="N689" s="241"/>
      <c r="O689" s="241"/>
      <c r="P689" s="241"/>
      <c r="Q689" s="241"/>
      <c r="R689" s="241"/>
      <c r="S689" s="241"/>
      <c r="T689" s="241"/>
      <c r="U689" s="241"/>
      <c r="V689" s="241"/>
      <c r="W689" s="241"/>
      <c r="X689" s="241"/>
      <c r="Y689" s="241"/>
      <c r="Z689" s="241"/>
      <c r="AA689" s="241"/>
    </row>
    <row r="690">
      <c r="A690" s="243"/>
      <c r="B690" s="243"/>
      <c r="C690" s="241"/>
      <c r="D690" s="241"/>
      <c r="E690" s="241"/>
      <c r="F690" s="241"/>
      <c r="G690" s="241"/>
      <c r="H690" s="241"/>
      <c r="I690" s="241"/>
      <c r="J690" s="241"/>
      <c r="K690" s="241"/>
      <c r="L690" s="241"/>
      <c r="M690" s="241"/>
      <c r="N690" s="241"/>
      <c r="O690" s="241"/>
      <c r="P690" s="241"/>
      <c r="Q690" s="241"/>
      <c r="R690" s="241"/>
      <c r="S690" s="241"/>
      <c r="T690" s="241"/>
      <c r="U690" s="241"/>
      <c r="V690" s="241"/>
      <c r="W690" s="241"/>
      <c r="X690" s="241"/>
      <c r="Y690" s="241"/>
      <c r="Z690" s="241"/>
      <c r="AA690" s="241"/>
    </row>
    <row r="691">
      <c r="A691" s="243"/>
      <c r="B691" s="243"/>
      <c r="C691" s="241"/>
      <c r="D691" s="241"/>
      <c r="E691" s="241"/>
      <c r="F691" s="241"/>
      <c r="G691" s="241"/>
      <c r="H691" s="241"/>
      <c r="I691" s="241"/>
      <c r="J691" s="241"/>
      <c r="K691" s="241"/>
      <c r="L691" s="241"/>
      <c r="M691" s="241"/>
      <c r="N691" s="241"/>
      <c r="O691" s="241"/>
      <c r="P691" s="241"/>
      <c r="Q691" s="241"/>
      <c r="R691" s="241"/>
      <c r="S691" s="241"/>
      <c r="T691" s="241"/>
      <c r="U691" s="241"/>
      <c r="V691" s="241"/>
      <c r="W691" s="241"/>
      <c r="X691" s="241"/>
      <c r="Y691" s="241"/>
      <c r="Z691" s="241"/>
      <c r="AA691" s="241"/>
    </row>
    <row r="692">
      <c r="A692" s="243"/>
      <c r="B692" s="243"/>
      <c r="C692" s="241"/>
      <c r="D692" s="241"/>
      <c r="E692" s="241"/>
      <c r="F692" s="241"/>
      <c r="G692" s="241"/>
      <c r="H692" s="241"/>
      <c r="I692" s="241"/>
      <c r="J692" s="241"/>
      <c r="K692" s="241"/>
      <c r="L692" s="241"/>
      <c r="M692" s="241"/>
      <c r="N692" s="241"/>
      <c r="O692" s="241"/>
      <c r="P692" s="241"/>
      <c r="Q692" s="241"/>
      <c r="R692" s="241"/>
      <c r="S692" s="241"/>
      <c r="T692" s="241"/>
      <c r="U692" s="241"/>
      <c r="V692" s="241"/>
      <c r="W692" s="241"/>
      <c r="X692" s="241"/>
      <c r="Y692" s="241"/>
      <c r="Z692" s="241"/>
      <c r="AA692" s="241"/>
    </row>
    <row r="693">
      <c r="A693" s="243"/>
      <c r="B693" s="243"/>
      <c r="C693" s="241"/>
      <c r="D693" s="241"/>
      <c r="E693" s="241"/>
      <c r="F693" s="241"/>
      <c r="G693" s="241"/>
      <c r="H693" s="241"/>
      <c r="I693" s="241"/>
      <c r="J693" s="241"/>
      <c r="K693" s="241"/>
      <c r="L693" s="241"/>
      <c r="M693" s="241"/>
      <c r="N693" s="241"/>
      <c r="O693" s="241"/>
      <c r="P693" s="241"/>
      <c r="Q693" s="241"/>
      <c r="R693" s="241"/>
      <c r="S693" s="241"/>
      <c r="T693" s="241"/>
      <c r="U693" s="241"/>
      <c r="V693" s="241"/>
      <c r="W693" s="241"/>
      <c r="X693" s="241"/>
      <c r="Y693" s="241"/>
      <c r="Z693" s="241"/>
      <c r="AA693" s="241"/>
    </row>
    <row r="694">
      <c r="A694" s="243"/>
      <c r="B694" s="243"/>
      <c r="C694" s="241"/>
      <c r="D694" s="241"/>
      <c r="E694" s="241"/>
      <c r="F694" s="241"/>
      <c r="G694" s="241"/>
      <c r="H694" s="241"/>
      <c r="I694" s="241"/>
      <c r="J694" s="241"/>
      <c r="K694" s="241"/>
      <c r="L694" s="241"/>
      <c r="M694" s="241"/>
      <c r="N694" s="241"/>
      <c r="O694" s="241"/>
      <c r="P694" s="241"/>
      <c r="Q694" s="241"/>
      <c r="R694" s="241"/>
      <c r="S694" s="241"/>
      <c r="T694" s="241"/>
      <c r="U694" s="241"/>
      <c r="V694" s="241"/>
      <c r="W694" s="241"/>
      <c r="X694" s="241"/>
      <c r="Y694" s="241"/>
      <c r="Z694" s="241"/>
      <c r="AA694" s="241"/>
    </row>
    <row r="695">
      <c r="A695" s="243"/>
      <c r="B695" s="243"/>
      <c r="C695" s="241"/>
      <c r="D695" s="241"/>
      <c r="E695" s="241"/>
      <c r="F695" s="241"/>
      <c r="G695" s="241"/>
      <c r="H695" s="241"/>
      <c r="I695" s="241"/>
      <c r="J695" s="241"/>
      <c r="K695" s="241"/>
      <c r="L695" s="241"/>
      <c r="M695" s="241"/>
      <c r="N695" s="241"/>
      <c r="O695" s="241"/>
      <c r="P695" s="241"/>
      <c r="Q695" s="241"/>
      <c r="R695" s="241"/>
      <c r="S695" s="241"/>
      <c r="T695" s="241"/>
      <c r="U695" s="241"/>
      <c r="V695" s="241"/>
      <c r="W695" s="241"/>
      <c r="X695" s="241"/>
      <c r="Y695" s="241"/>
      <c r="Z695" s="241"/>
      <c r="AA695" s="241"/>
    </row>
    <row r="696">
      <c r="A696" s="243"/>
      <c r="B696" s="243"/>
      <c r="C696" s="241"/>
      <c r="D696" s="241"/>
      <c r="E696" s="241"/>
      <c r="F696" s="241"/>
      <c r="G696" s="241"/>
      <c r="H696" s="241"/>
      <c r="I696" s="241"/>
      <c r="J696" s="241"/>
      <c r="K696" s="241"/>
      <c r="L696" s="241"/>
      <c r="M696" s="241"/>
      <c r="N696" s="241"/>
      <c r="O696" s="241"/>
      <c r="P696" s="241"/>
      <c r="Q696" s="241"/>
      <c r="R696" s="241"/>
      <c r="S696" s="241"/>
      <c r="T696" s="241"/>
      <c r="U696" s="241"/>
      <c r="V696" s="241"/>
      <c r="W696" s="241"/>
      <c r="X696" s="241"/>
      <c r="Y696" s="241"/>
      <c r="Z696" s="241"/>
      <c r="AA696" s="241"/>
    </row>
    <row r="697">
      <c r="A697" s="243"/>
      <c r="B697" s="243"/>
      <c r="C697" s="241"/>
      <c r="D697" s="241"/>
      <c r="E697" s="241"/>
      <c r="F697" s="241"/>
      <c r="G697" s="241"/>
      <c r="H697" s="241"/>
      <c r="I697" s="241"/>
      <c r="J697" s="241"/>
      <c r="K697" s="241"/>
      <c r="L697" s="241"/>
      <c r="M697" s="241"/>
      <c r="N697" s="241"/>
      <c r="O697" s="241"/>
      <c r="P697" s="241"/>
      <c r="Q697" s="241"/>
      <c r="R697" s="241"/>
      <c r="S697" s="241"/>
      <c r="T697" s="241"/>
      <c r="U697" s="241"/>
      <c r="V697" s="241"/>
      <c r="W697" s="241"/>
      <c r="X697" s="241"/>
      <c r="Y697" s="241"/>
      <c r="Z697" s="241"/>
      <c r="AA697" s="241"/>
    </row>
    <row r="698">
      <c r="A698" s="243"/>
      <c r="B698" s="243"/>
      <c r="C698" s="241"/>
      <c r="D698" s="241"/>
      <c r="E698" s="241"/>
      <c r="F698" s="241"/>
      <c r="G698" s="241"/>
      <c r="H698" s="241"/>
      <c r="I698" s="241"/>
      <c r="J698" s="241"/>
      <c r="K698" s="241"/>
      <c r="L698" s="241"/>
      <c r="M698" s="241"/>
      <c r="N698" s="241"/>
      <c r="O698" s="241"/>
      <c r="P698" s="241"/>
      <c r="Q698" s="241"/>
      <c r="R698" s="241"/>
      <c r="S698" s="241"/>
      <c r="T698" s="241"/>
      <c r="U698" s="241"/>
      <c r="V698" s="241"/>
      <c r="W698" s="241"/>
      <c r="X698" s="241"/>
      <c r="Y698" s="241"/>
      <c r="Z698" s="241"/>
      <c r="AA698" s="241"/>
    </row>
    <row r="699">
      <c r="A699" s="243"/>
      <c r="B699" s="243"/>
      <c r="C699" s="241"/>
      <c r="D699" s="241"/>
      <c r="E699" s="241"/>
      <c r="F699" s="241"/>
      <c r="G699" s="241"/>
      <c r="H699" s="241"/>
      <c r="I699" s="241"/>
      <c r="J699" s="241"/>
      <c r="K699" s="241"/>
      <c r="L699" s="241"/>
      <c r="M699" s="241"/>
      <c r="N699" s="241"/>
      <c r="O699" s="241"/>
      <c r="P699" s="241"/>
      <c r="Q699" s="241"/>
      <c r="R699" s="241"/>
      <c r="S699" s="241"/>
      <c r="T699" s="241"/>
      <c r="U699" s="241"/>
      <c r="V699" s="241"/>
      <c r="W699" s="241"/>
      <c r="X699" s="241"/>
      <c r="Y699" s="241"/>
      <c r="Z699" s="241"/>
      <c r="AA699" s="241"/>
    </row>
    <row r="700">
      <c r="A700" s="243"/>
      <c r="B700" s="243"/>
      <c r="C700" s="241"/>
      <c r="D700" s="241"/>
      <c r="E700" s="241"/>
      <c r="F700" s="241"/>
      <c r="G700" s="241"/>
      <c r="H700" s="241"/>
      <c r="I700" s="241"/>
      <c r="J700" s="241"/>
      <c r="K700" s="241"/>
      <c r="L700" s="241"/>
      <c r="M700" s="241"/>
      <c r="N700" s="241"/>
      <c r="O700" s="241"/>
      <c r="P700" s="241"/>
      <c r="Q700" s="241"/>
      <c r="R700" s="241"/>
      <c r="S700" s="241"/>
      <c r="T700" s="241"/>
      <c r="U700" s="241"/>
      <c r="V700" s="241"/>
      <c r="W700" s="241"/>
      <c r="X700" s="241"/>
      <c r="Y700" s="241"/>
      <c r="Z700" s="241"/>
      <c r="AA700" s="241"/>
    </row>
    <row r="701">
      <c r="A701" s="243"/>
      <c r="B701" s="243"/>
      <c r="C701" s="241"/>
      <c r="D701" s="241"/>
      <c r="E701" s="241"/>
      <c r="F701" s="241"/>
      <c r="G701" s="241"/>
      <c r="H701" s="241"/>
      <c r="I701" s="241"/>
      <c r="J701" s="241"/>
      <c r="K701" s="241"/>
      <c r="L701" s="241"/>
      <c r="M701" s="241"/>
      <c r="N701" s="241"/>
      <c r="O701" s="241"/>
      <c r="P701" s="241"/>
      <c r="Q701" s="241"/>
      <c r="R701" s="241"/>
      <c r="S701" s="241"/>
      <c r="T701" s="241"/>
      <c r="U701" s="241"/>
      <c r="V701" s="241"/>
      <c r="W701" s="241"/>
      <c r="X701" s="241"/>
      <c r="Y701" s="241"/>
      <c r="Z701" s="241"/>
      <c r="AA701" s="241"/>
    </row>
    <row r="702">
      <c r="A702" s="243"/>
      <c r="B702" s="243"/>
      <c r="C702" s="241"/>
      <c r="D702" s="241"/>
      <c r="E702" s="241"/>
      <c r="F702" s="241"/>
      <c r="G702" s="241"/>
      <c r="H702" s="241"/>
      <c r="I702" s="241"/>
      <c r="J702" s="241"/>
      <c r="K702" s="241"/>
      <c r="L702" s="241"/>
      <c r="M702" s="241"/>
      <c r="N702" s="241"/>
      <c r="O702" s="241"/>
      <c r="P702" s="241"/>
      <c r="Q702" s="241"/>
      <c r="R702" s="241"/>
      <c r="S702" s="241"/>
      <c r="T702" s="241"/>
      <c r="U702" s="241"/>
      <c r="V702" s="241"/>
      <c r="W702" s="241"/>
      <c r="X702" s="241"/>
      <c r="Y702" s="241"/>
      <c r="Z702" s="241"/>
      <c r="AA702" s="241"/>
    </row>
    <row r="703">
      <c r="A703" s="243"/>
      <c r="B703" s="243"/>
      <c r="C703" s="241"/>
      <c r="D703" s="241"/>
      <c r="E703" s="241"/>
      <c r="F703" s="241"/>
      <c r="G703" s="241"/>
      <c r="H703" s="241"/>
      <c r="I703" s="241"/>
      <c r="J703" s="241"/>
      <c r="K703" s="241"/>
      <c r="L703" s="241"/>
      <c r="M703" s="241"/>
      <c r="N703" s="241"/>
      <c r="O703" s="241"/>
      <c r="P703" s="241"/>
      <c r="Q703" s="241"/>
      <c r="R703" s="241"/>
      <c r="S703" s="241"/>
      <c r="T703" s="241"/>
      <c r="U703" s="241"/>
      <c r="V703" s="241"/>
      <c r="W703" s="241"/>
      <c r="X703" s="241"/>
      <c r="Y703" s="241"/>
      <c r="Z703" s="241"/>
      <c r="AA703" s="241"/>
    </row>
    <row r="704">
      <c r="A704" s="243"/>
      <c r="B704" s="243"/>
      <c r="C704" s="241"/>
      <c r="D704" s="241"/>
      <c r="E704" s="241"/>
      <c r="F704" s="241"/>
      <c r="G704" s="241"/>
      <c r="H704" s="241"/>
      <c r="I704" s="241"/>
      <c r="J704" s="241"/>
      <c r="K704" s="241"/>
      <c r="L704" s="241"/>
      <c r="M704" s="241"/>
      <c r="N704" s="241"/>
      <c r="O704" s="241"/>
      <c r="P704" s="241"/>
      <c r="Q704" s="241"/>
      <c r="R704" s="241"/>
      <c r="S704" s="241"/>
      <c r="T704" s="241"/>
      <c r="U704" s="241"/>
      <c r="V704" s="241"/>
      <c r="W704" s="241"/>
      <c r="X704" s="241"/>
      <c r="Y704" s="241"/>
      <c r="Z704" s="241"/>
      <c r="AA704" s="241"/>
    </row>
    <row r="705">
      <c r="A705" s="243"/>
      <c r="B705" s="243"/>
      <c r="C705" s="241"/>
      <c r="D705" s="241"/>
      <c r="E705" s="241"/>
      <c r="F705" s="241"/>
      <c r="G705" s="241"/>
      <c r="H705" s="241"/>
      <c r="I705" s="241"/>
      <c r="J705" s="241"/>
      <c r="K705" s="241"/>
      <c r="L705" s="241"/>
      <c r="M705" s="241"/>
      <c r="N705" s="241"/>
      <c r="O705" s="241"/>
      <c r="P705" s="241"/>
      <c r="Q705" s="241"/>
      <c r="R705" s="241"/>
      <c r="S705" s="241"/>
      <c r="T705" s="241"/>
      <c r="U705" s="241"/>
      <c r="V705" s="241"/>
      <c r="W705" s="241"/>
      <c r="X705" s="241"/>
      <c r="Y705" s="241"/>
      <c r="Z705" s="241"/>
      <c r="AA705" s="241"/>
    </row>
    <row r="706">
      <c r="A706" s="243"/>
      <c r="B706" s="243"/>
      <c r="C706" s="241"/>
      <c r="D706" s="241"/>
      <c r="E706" s="241"/>
      <c r="F706" s="241"/>
      <c r="G706" s="241"/>
      <c r="H706" s="241"/>
      <c r="I706" s="241"/>
      <c r="J706" s="241"/>
      <c r="K706" s="241"/>
      <c r="L706" s="241"/>
      <c r="M706" s="241"/>
      <c r="N706" s="241"/>
      <c r="O706" s="241"/>
      <c r="P706" s="241"/>
      <c r="Q706" s="241"/>
      <c r="R706" s="241"/>
      <c r="S706" s="241"/>
      <c r="T706" s="241"/>
      <c r="U706" s="241"/>
      <c r="V706" s="241"/>
      <c r="W706" s="241"/>
      <c r="X706" s="241"/>
      <c r="Y706" s="241"/>
      <c r="Z706" s="241"/>
      <c r="AA706" s="241"/>
    </row>
    <row r="707">
      <c r="A707" s="243"/>
      <c r="B707" s="243"/>
      <c r="C707" s="241"/>
      <c r="D707" s="241"/>
      <c r="E707" s="241"/>
      <c r="F707" s="241"/>
      <c r="G707" s="241"/>
      <c r="H707" s="241"/>
      <c r="I707" s="241"/>
      <c r="J707" s="241"/>
      <c r="K707" s="241"/>
      <c r="L707" s="241"/>
      <c r="M707" s="241"/>
      <c r="N707" s="241"/>
      <c r="O707" s="241"/>
      <c r="P707" s="241"/>
      <c r="Q707" s="241"/>
      <c r="R707" s="241"/>
      <c r="S707" s="241"/>
      <c r="T707" s="241"/>
      <c r="U707" s="241"/>
      <c r="V707" s="241"/>
      <c r="W707" s="241"/>
      <c r="X707" s="241"/>
      <c r="Y707" s="241"/>
      <c r="Z707" s="241"/>
      <c r="AA707" s="241"/>
    </row>
    <row r="708">
      <c r="A708" s="243"/>
      <c r="B708" s="243"/>
      <c r="C708" s="241"/>
      <c r="D708" s="241"/>
      <c r="E708" s="241"/>
      <c r="F708" s="241"/>
      <c r="G708" s="241"/>
      <c r="H708" s="241"/>
      <c r="I708" s="241"/>
      <c r="J708" s="241"/>
      <c r="K708" s="241"/>
      <c r="L708" s="241"/>
      <c r="M708" s="241"/>
      <c r="N708" s="241"/>
      <c r="O708" s="241"/>
      <c r="P708" s="241"/>
      <c r="Q708" s="241"/>
      <c r="R708" s="241"/>
      <c r="S708" s="241"/>
      <c r="T708" s="241"/>
      <c r="U708" s="241"/>
      <c r="V708" s="241"/>
      <c r="W708" s="241"/>
      <c r="X708" s="241"/>
      <c r="Y708" s="241"/>
      <c r="Z708" s="241"/>
      <c r="AA708" s="241"/>
    </row>
    <row r="709">
      <c r="A709" s="243"/>
      <c r="B709" s="243"/>
      <c r="C709" s="241"/>
      <c r="D709" s="241"/>
      <c r="E709" s="241"/>
      <c r="F709" s="241"/>
      <c r="G709" s="241"/>
      <c r="H709" s="241"/>
      <c r="I709" s="241"/>
      <c r="J709" s="241"/>
      <c r="K709" s="241"/>
      <c r="L709" s="241"/>
      <c r="M709" s="241"/>
      <c r="N709" s="241"/>
      <c r="O709" s="241"/>
      <c r="P709" s="241"/>
      <c r="Q709" s="241"/>
      <c r="R709" s="241"/>
      <c r="S709" s="241"/>
      <c r="T709" s="241"/>
      <c r="U709" s="241"/>
      <c r="V709" s="241"/>
      <c r="W709" s="241"/>
      <c r="X709" s="241"/>
      <c r="Y709" s="241"/>
      <c r="Z709" s="241"/>
      <c r="AA709" s="241"/>
    </row>
    <row r="710">
      <c r="A710" s="243"/>
      <c r="B710" s="243"/>
      <c r="C710" s="241"/>
      <c r="D710" s="241"/>
      <c r="E710" s="241"/>
      <c r="F710" s="241"/>
      <c r="G710" s="241"/>
      <c r="H710" s="241"/>
      <c r="I710" s="241"/>
      <c r="J710" s="241"/>
      <c r="K710" s="241"/>
      <c r="L710" s="241"/>
      <c r="M710" s="241"/>
      <c r="N710" s="241"/>
      <c r="O710" s="241"/>
      <c r="P710" s="241"/>
      <c r="Q710" s="241"/>
      <c r="R710" s="241"/>
      <c r="S710" s="241"/>
      <c r="T710" s="241"/>
      <c r="U710" s="241"/>
      <c r="V710" s="241"/>
      <c r="W710" s="241"/>
      <c r="X710" s="241"/>
      <c r="Y710" s="241"/>
      <c r="Z710" s="241"/>
      <c r="AA710" s="241"/>
    </row>
    <row r="711">
      <c r="A711" s="243"/>
      <c r="B711" s="243"/>
      <c r="C711" s="241"/>
      <c r="D711" s="241"/>
      <c r="E711" s="241"/>
      <c r="F711" s="241"/>
      <c r="G711" s="241"/>
      <c r="H711" s="241"/>
      <c r="I711" s="241"/>
      <c r="J711" s="241"/>
      <c r="K711" s="241"/>
      <c r="L711" s="241"/>
      <c r="M711" s="241"/>
      <c r="N711" s="241"/>
      <c r="O711" s="241"/>
      <c r="P711" s="241"/>
      <c r="Q711" s="241"/>
      <c r="R711" s="241"/>
      <c r="S711" s="241"/>
      <c r="T711" s="241"/>
      <c r="U711" s="241"/>
      <c r="V711" s="241"/>
      <c r="W711" s="241"/>
      <c r="X711" s="241"/>
      <c r="Y711" s="241"/>
      <c r="Z711" s="241"/>
      <c r="AA711" s="241"/>
    </row>
    <row r="712">
      <c r="A712" s="243"/>
      <c r="B712" s="243"/>
      <c r="C712" s="241"/>
      <c r="D712" s="241"/>
      <c r="E712" s="241"/>
      <c r="F712" s="241"/>
      <c r="G712" s="241"/>
      <c r="H712" s="241"/>
      <c r="I712" s="241"/>
      <c r="J712" s="241"/>
      <c r="K712" s="241"/>
      <c r="L712" s="241"/>
      <c r="M712" s="241"/>
      <c r="N712" s="241"/>
      <c r="O712" s="241"/>
      <c r="P712" s="241"/>
      <c r="Q712" s="241"/>
      <c r="R712" s="241"/>
      <c r="S712" s="241"/>
      <c r="T712" s="241"/>
      <c r="U712" s="241"/>
      <c r="V712" s="241"/>
      <c r="W712" s="241"/>
      <c r="X712" s="241"/>
      <c r="Y712" s="241"/>
      <c r="Z712" s="241"/>
      <c r="AA712" s="241"/>
    </row>
    <row r="713">
      <c r="A713" s="243"/>
      <c r="B713" s="243"/>
      <c r="C713" s="241"/>
      <c r="D713" s="241"/>
      <c r="E713" s="241"/>
      <c r="F713" s="241"/>
      <c r="G713" s="241"/>
      <c r="H713" s="241"/>
      <c r="I713" s="241"/>
      <c r="J713" s="241"/>
      <c r="K713" s="241"/>
      <c r="L713" s="241"/>
      <c r="M713" s="241"/>
      <c r="N713" s="241"/>
      <c r="O713" s="241"/>
      <c r="P713" s="241"/>
      <c r="Q713" s="241"/>
      <c r="R713" s="241"/>
      <c r="S713" s="241"/>
      <c r="T713" s="241"/>
      <c r="U713" s="241"/>
      <c r="V713" s="241"/>
      <c r="W713" s="241"/>
      <c r="X713" s="241"/>
      <c r="Y713" s="241"/>
      <c r="Z713" s="241"/>
      <c r="AA713" s="241"/>
    </row>
    <row r="714">
      <c r="A714" s="243"/>
      <c r="B714" s="243"/>
      <c r="C714" s="241"/>
      <c r="D714" s="241"/>
      <c r="E714" s="241"/>
      <c r="F714" s="241"/>
      <c r="G714" s="241"/>
      <c r="H714" s="241"/>
      <c r="I714" s="241"/>
      <c r="J714" s="241"/>
      <c r="K714" s="241"/>
      <c r="L714" s="241"/>
      <c r="M714" s="241"/>
      <c r="N714" s="241"/>
      <c r="O714" s="241"/>
      <c r="P714" s="241"/>
      <c r="Q714" s="241"/>
      <c r="R714" s="241"/>
      <c r="S714" s="241"/>
      <c r="T714" s="241"/>
      <c r="U714" s="241"/>
      <c r="V714" s="241"/>
      <c r="W714" s="241"/>
      <c r="X714" s="241"/>
      <c r="Y714" s="241"/>
      <c r="Z714" s="241"/>
      <c r="AA714" s="241"/>
    </row>
    <row r="715">
      <c r="A715" s="243"/>
      <c r="B715" s="243"/>
      <c r="C715" s="241"/>
      <c r="D715" s="241"/>
      <c r="E715" s="241"/>
      <c r="F715" s="241"/>
      <c r="G715" s="241"/>
      <c r="H715" s="241"/>
      <c r="I715" s="241"/>
      <c r="J715" s="241"/>
      <c r="K715" s="241"/>
      <c r="L715" s="241"/>
      <c r="M715" s="241"/>
      <c r="N715" s="241"/>
      <c r="O715" s="241"/>
      <c r="P715" s="241"/>
      <c r="Q715" s="241"/>
      <c r="R715" s="241"/>
      <c r="S715" s="241"/>
      <c r="T715" s="241"/>
      <c r="U715" s="241"/>
      <c r="V715" s="241"/>
      <c r="W715" s="241"/>
      <c r="X715" s="241"/>
      <c r="Y715" s="241"/>
      <c r="Z715" s="241"/>
      <c r="AA715" s="241"/>
    </row>
    <row r="716">
      <c r="A716" s="243"/>
      <c r="B716" s="243"/>
      <c r="C716" s="241"/>
      <c r="D716" s="241"/>
      <c r="E716" s="241"/>
      <c r="F716" s="241"/>
      <c r="G716" s="241"/>
      <c r="H716" s="241"/>
      <c r="I716" s="241"/>
      <c r="J716" s="241"/>
      <c r="K716" s="241"/>
      <c r="L716" s="241"/>
      <c r="M716" s="241"/>
      <c r="N716" s="241"/>
      <c r="O716" s="241"/>
      <c r="P716" s="241"/>
      <c r="Q716" s="241"/>
      <c r="R716" s="241"/>
      <c r="S716" s="241"/>
      <c r="T716" s="241"/>
      <c r="U716" s="241"/>
      <c r="V716" s="241"/>
      <c r="W716" s="241"/>
      <c r="X716" s="241"/>
      <c r="Y716" s="241"/>
      <c r="Z716" s="241"/>
      <c r="AA716" s="241"/>
    </row>
    <row r="717">
      <c r="A717" s="243"/>
      <c r="B717" s="243"/>
      <c r="C717" s="241"/>
      <c r="D717" s="241"/>
      <c r="E717" s="241"/>
      <c r="F717" s="241"/>
      <c r="G717" s="241"/>
      <c r="H717" s="241"/>
      <c r="I717" s="241"/>
      <c r="J717" s="241"/>
      <c r="K717" s="241"/>
      <c r="L717" s="241"/>
      <c r="M717" s="241"/>
      <c r="N717" s="241"/>
      <c r="O717" s="241"/>
      <c r="P717" s="241"/>
      <c r="Q717" s="241"/>
      <c r="R717" s="241"/>
      <c r="S717" s="241"/>
      <c r="T717" s="241"/>
      <c r="U717" s="241"/>
      <c r="V717" s="241"/>
      <c r="W717" s="241"/>
      <c r="X717" s="241"/>
      <c r="Y717" s="241"/>
      <c r="Z717" s="241"/>
      <c r="AA717" s="241"/>
    </row>
    <row r="718">
      <c r="A718" s="243"/>
      <c r="B718" s="243"/>
      <c r="C718" s="241"/>
      <c r="D718" s="241"/>
      <c r="E718" s="241"/>
      <c r="F718" s="241"/>
      <c r="G718" s="241"/>
      <c r="H718" s="241"/>
      <c r="I718" s="241"/>
      <c r="J718" s="241"/>
      <c r="K718" s="241"/>
      <c r="L718" s="241"/>
      <c r="M718" s="241"/>
      <c r="N718" s="241"/>
      <c r="O718" s="241"/>
      <c r="P718" s="241"/>
      <c r="Q718" s="241"/>
      <c r="R718" s="241"/>
      <c r="S718" s="241"/>
      <c r="T718" s="241"/>
      <c r="U718" s="241"/>
      <c r="V718" s="241"/>
      <c r="W718" s="241"/>
      <c r="X718" s="241"/>
      <c r="Y718" s="241"/>
      <c r="Z718" s="241"/>
      <c r="AA718" s="241"/>
    </row>
    <row r="719">
      <c r="A719" s="243"/>
      <c r="B719" s="243"/>
      <c r="C719" s="241"/>
      <c r="D719" s="241"/>
      <c r="E719" s="241"/>
      <c r="F719" s="241"/>
      <c r="G719" s="241"/>
      <c r="H719" s="241"/>
      <c r="I719" s="241"/>
      <c r="J719" s="241"/>
      <c r="K719" s="241"/>
      <c r="L719" s="241"/>
      <c r="M719" s="241"/>
      <c r="N719" s="241"/>
      <c r="O719" s="241"/>
      <c r="P719" s="241"/>
      <c r="Q719" s="241"/>
      <c r="R719" s="241"/>
      <c r="S719" s="241"/>
      <c r="T719" s="241"/>
      <c r="U719" s="241"/>
      <c r="V719" s="241"/>
      <c r="W719" s="241"/>
      <c r="X719" s="241"/>
      <c r="Y719" s="241"/>
      <c r="Z719" s="241"/>
      <c r="AA719" s="241"/>
    </row>
    <row r="720">
      <c r="A720" s="243"/>
      <c r="B720" s="243"/>
      <c r="C720" s="241"/>
      <c r="D720" s="241"/>
      <c r="E720" s="241"/>
      <c r="F720" s="241"/>
      <c r="G720" s="241"/>
      <c r="H720" s="241"/>
      <c r="I720" s="241"/>
      <c r="J720" s="241"/>
      <c r="K720" s="241"/>
      <c r="L720" s="241"/>
      <c r="M720" s="241"/>
      <c r="N720" s="241"/>
      <c r="O720" s="241"/>
      <c r="P720" s="241"/>
      <c r="Q720" s="241"/>
      <c r="R720" s="241"/>
      <c r="S720" s="241"/>
      <c r="T720" s="241"/>
      <c r="U720" s="241"/>
      <c r="V720" s="241"/>
      <c r="W720" s="241"/>
      <c r="X720" s="241"/>
      <c r="Y720" s="241"/>
      <c r="Z720" s="241"/>
      <c r="AA720" s="241"/>
    </row>
    <row r="721">
      <c r="A721" s="243"/>
      <c r="B721" s="243"/>
      <c r="C721" s="241"/>
      <c r="D721" s="241"/>
      <c r="E721" s="241"/>
      <c r="F721" s="241"/>
      <c r="G721" s="241"/>
      <c r="H721" s="241"/>
      <c r="I721" s="241"/>
      <c r="J721" s="241"/>
      <c r="K721" s="241"/>
      <c r="L721" s="241"/>
      <c r="M721" s="241"/>
      <c r="N721" s="241"/>
      <c r="O721" s="241"/>
      <c r="P721" s="241"/>
      <c r="Q721" s="241"/>
      <c r="R721" s="241"/>
      <c r="S721" s="241"/>
      <c r="T721" s="241"/>
      <c r="U721" s="241"/>
      <c r="V721" s="241"/>
      <c r="W721" s="241"/>
      <c r="X721" s="241"/>
      <c r="Y721" s="241"/>
      <c r="Z721" s="241"/>
      <c r="AA721" s="241"/>
    </row>
    <row r="722">
      <c r="A722" s="243"/>
      <c r="B722" s="243"/>
      <c r="C722" s="241"/>
      <c r="D722" s="241"/>
      <c r="E722" s="241"/>
      <c r="F722" s="241"/>
      <c r="G722" s="241"/>
      <c r="H722" s="241"/>
      <c r="I722" s="241"/>
      <c r="J722" s="241"/>
      <c r="K722" s="241"/>
      <c r="L722" s="241"/>
      <c r="M722" s="241"/>
      <c r="N722" s="241"/>
      <c r="O722" s="241"/>
      <c r="P722" s="241"/>
      <c r="Q722" s="241"/>
      <c r="R722" s="241"/>
      <c r="S722" s="241"/>
      <c r="T722" s="241"/>
      <c r="U722" s="241"/>
      <c r="V722" s="241"/>
      <c r="W722" s="241"/>
      <c r="X722" s="241"/>
      <c r="Y722" s="241"/>
      <c r="Z722" s="241"/>
      <c r="AA722" s="241"/>
    </row>
    <row r="723">
      <c r="A723" s="243"/>
      <c r="B723" s="243"/>
      <c r="C723" s="241"/>
      <c r="D723" s="241"/>
      <c r="E723" s="241"/>
      <c r="F723" s="241"/>
      <c r="G723" s="241"/>
      <c r="H723" s="241"/>
      <c r="I723" s="241"/>
      <c r="J723" s="241"/>
      <c r="K723" s="241"/>
      <c r="L723" s="241"/>
      <c r="M723" s="241"/>
      <c r="N723" s="241"/>
      <c r="O723" s="241"/>
      <c r="P723" s="241"/>
      <c r="Q723" s="241"/>
      <c r="R723" s="241"/>
      <c r="S723" s="241"/>
      <c r="T723" s="241"/>
      <c r="U723" s="241"/>
      <c r="V723" s="241"/>
      <c r="W723" s="241"/>
      <c r="X723" s="241"/>
      <c r="Y723" s="241"/>
      <c r="Z723" s="241"/>
      <c r="AA723" s="241"/>
    </row>
    <row r="724">
      <c r="A724" s="243"/>
      <c r="B724" s="243"/>
      <c r="C724" s="241"/>
      <c r="D724" s="241"/>
      <c r="E724" s="241"/>
      <c r="F724" s="241"/>
      <c r="G724" s="241"/>
      <c r="H724" s="241"/>
      <c r="I724" s="241"/>
      <c r="J724" s="241"/>
      <c r="K724" s="241"/>
      <c r="L724" s="241"/>
      <c r="M724" s="241"/>
      <c r="N724" s="241"/>
      <c r="O724" s="241"/>
      <c r="P724" s="241"/>
      <c r="Q724" s="241"/>
      <c r="R724" s="241"/>
      <c r="S724" s="241"/>
      <c r="T724" s="241"/>
      <c r="U724" s="241"/>
      <c r="V724" s="241"/>
      <c r="W724" s="241"/>
      <c r="X724" s="241"/>
      <c r="Y724" s="241"/>
      <c r="Z724" s="241"/>
      <c r="AA724" s="241"/>
    </row>
    <row r="725">
      <c r="A725" s="243"/>
      <c r="B725" s="243"/>
      <c r="C725" s="241"/>
      <c r="D725" s="241"/>
      <c r="E725" s="241"/>
      <c r="F725" s="241"/>
      <c r="G725" s="241"/>
      <c r="H725" s="241"/>
      <c r="I725" s="241"/>
      <c r="J725" s="241"/>
      <c r="K725" s="241"/>
      <c r="L725" s="241"/>
      <c r="M725" s="241"/>
      <c r="N725" s="241"/>
      <c r="O725" s="241"/>
      <c r="P725" s="241"/>
      <c r="Q725" s="241"/>
      <c r="R725" s="241"/>
      <c r="S725" s="241"/>
      <c r="T725" s="241"/>
      <c r="U725" s="241"/>
      <c r="V725" s="241"/>
      <c r="W725" s="241"/>
      <c r="X725" s="241"/>
      <c r="Y725" s="241"/>
      <c r="Z725" s="241"/>
      <c r="AA725" s="241"/>
    </row>
    <row r="726">
      <c r="A726" s="243"/>
      <c r="B726" s="243"/>
      <c r="C726" s="241"/>
      <c r="D726" s="241"/>
      <c r="E726" s="241"/>
      <c r="F726" s="241"/>
      <c r="G726" s="241"/>
      <c r="H726" s="241"/>
      <c r="I726" s="241"/>
      <c r="J726" s="241"/>
      <c r="K726" s="241"/>
      <c r="L726" s="241"/>
      <c r="M726" s="241"/>
      <c r="N726" s="241"/>
      <c r="O726" s="241"/>
      <c r="P726" s="241"/>
      <c r="Q726" s="241"/>
      <c r="R726" s="241"/>
      <c r="S726" s="241"/>
      <c r="T726" s="241"/>
      <c r="U726" s="241"/>
      <c r="V726" s="241"/>
      <c r="W726" s="241"/>
      <c r="X726" s="241"/>
      <c r="Y726" s="241"/>
      <c r="Z726" s="241"/>
      <c r="AA726" s="241"/>
    </row>
    <row r="727">
      <c r="A727" s="243"/>
      <c r="B727" s="243"/>
      <c r="C727" s="241"/>
      <c r="D727" s="241"/>
      <c r="E727" s="241"/>
      <c r="F727" s="241"/>
      <c r="G727" s="241"/>
      <c r="H727" s="241"/>
      <c r="I727" s="241"/>
      <c r="J727" s="241"/>
      <c r="K727" s="241"/>
      <c r="L727" s="241"/>
      <c r="M727" s="241"/>
      <c r="N727" s="241"/>
      <c r="O727" s="241"/>
      <c r="P727" s="241"/>
      <c r="Q727" s="241"/>
      <c r="R727" s="241"/>
      <c r="S727" s="241"/>
      <c r="T727" s="241"/>
      <c r="U727" s="241"/>
      <c r="V727" s="241"/>
      <c r="W727" s="241"/>
      <c r="X727" s="241"/>
      <c r="Y727" s="241"/>
      <c r="Z727" s="241"/>
      <c r="AA727" s="241"/>
    </row>
    <row r="728">
      <c r="A728" s="243"/>
      <c r="B728" s="243"/>
      <c r="C728" s="241"/>
      <c r="D728" s="241"/>
      <c r="E728" s="241"/>
      <c r="F728" s="241"/>
      <c r="G728" s="241"/>
      <c r="H728" s="241"/>
      <c r="I728" s="241"/>
      <c r="J728" s="241"/>
      <c r="K728" s="241"/>
      <c r="L728" s="241"/>
      <c r="M728" s="241"/>
      <c r="N728" s="241"/>
      <c r="O728" s="241"/>
      <c r="P728" s="241"/>
      <c r="Q728" s="241"/>
      <c r="R728" s="241"/>
      <c r="S728" s="241"/>
      <c r="T728" s="241"/>
      <c r="U728" s="241"/>
      <c r="V728" s="241"/>
      <c r="W728" s="241"/>
      <c r="X728" s="241"/>
      <c r="Y728" s="241"/>
      <c r="Z728" s="241"/>
      <c r="AA728" s="241"/>
    </row>
    <row r="729">
      <c r="A729" s="243"/>
      <c r="B729" s="243"/>
      <c r="C729" s="241"/>
      <c r="D729" s="241"/>
      <c r="E729" s="241"/>
      <c r="F729" s="241"/>
      <c r="G729" s="241"/>
      <c r="H729" s="241"/>
      <c r="I729" s="241"/>
      <c r="J729" s="241"/>
      <c r="K729" s="241"/>
      <c r="L729" s="241"/>
      <c r="M729" s="241"/>
      <c r="N729" s="241"/>
      <c r="O729" s="241"/>
      <c r="P729" s="241"/>
      <c r="Q729" s="241"/>
      <c r="R729" s="241"/>
      <c r="S729" s="241"/>
      <c r="T729" s="241"/>
      <c r="U729" s="241"/>
      <c r="V729" s="241"/>
      <c r="W729" s="241"/>
      <c r="X729" s="241"/>
      <c r="Y729" s="241"/>
      <c r="Z729" s="241"/>
      <c r="AA729" s="241"/>
    </row>
    <row r="730">
      <c r="A730" s="243"/>
      <c r="B730" s="243"/>
      <c r="C730" s="241"/>
      <c r="D730" s="241"/>
      <c r="E730" s="241"/>
      <c r="F730" s="241"/>
      <c r="G730" s="241"/>
      <c r="H730" s="241"/>
      <c r="I730" s="241"/>
      <c r="J730" s="241"/>
      <c r="K730" s="241"/>
      <c r="L730" s="241"/>
      <c r="M730" s="241"/>
      <c r="N730" s="241"/>
      <c r="O730" s="241"/>
      <c r="P730" s="241"/>
      <c r="Q730" s="241"/>
      <c r="R730" s="241"/>
      <c r="S730" s="241"/>
      <c r="T730" s="241"/>
      <c r="U730" s="241"/>
      <c r="V730" s="241"/>
      <c r="W730" s="241"/>
      <c r="X730" s="241"/>
      <c r="Y730" s="241"/>
      <c r="Z730" s="241"/>
      <c r="AA730" s="241"/>
    </row>
    <row r="731">
      <c r="A731" s="243"/>
      <c r="B731" s="243"/>
      <c r="C731" s="241"/>
      <c r="D731" s="241"/>
      <c r="E731" s="241"/>
      <c r="F731" s="241"/>
      <c r="G731" s="241"/>
      <c r="H731" s="241"/>
      <c r="I731" s="241"/>
      <c r="J731" s="241"/>
      <c r="K731" s="241"/>
      <c r="L731" s="241"/>
      <c r="M731" s="241"/>
      <c r="N731" s="241"/>
      <c r="O731" s="241"/>
      <c r="P731" s="241"/>
      <c r="Q731" s="241"/>
      <c r="R731" s="241"/>
      <c r="S731" s="241"/>
      <c r="T731" s="241"/>
      <c r="U731" s="241"/>
      <c r="V731" s="241"/>
      <c r="W731" s="241"/>
      <c r="X731" s="241"/>
      <c r="Y731" s="241"/>
      <c r="Z731" s="241"/>
      <c r="AA731" s="241"/>
    </row>
    <row r="732">
      <c r="A732" s="243"/>
      <c r="B732" s="243"/>
      <c r="C732" s="241"/>
      <c r="D732" s="241"/>
      <c r="E732" s="241"/>
      <c r="F732" s="241"/>
      <c r="G732" s="241"/>
      <c r="H732" s="241"/>
      <c r="I732" s="241"/>
      <c r="J732" s="241"/>
      <c r="K732" s="241"/>
      <c r="L732" s="241"/>
      <c r="M732" s="241"/>
      <c r="N732" s="241"/>
      <c r="O732" s="241"/>
      <c r="P732" s="241"/>
      <c r="Q732" s="241"/>
      <c r="R732" s="241"/>
      <c r="S732" s="241"/>
      <c r="T732" s="241"/>
      <c r="U732" s="241"/>
      <c r="V732" s="241"/>
      <c r="W732" s="241"/>
      <c r="X732" s="241"/>
      <c r="Y732" s="241"/>
      <c r="Z732" s="241"/>
      <c r="AA732" s="241"/>
    </row>
    <row r="733">
      <c r="A733" s="243"/>
      <c r="B733" s="243"/>
      <c r="C733" s="241"/>
      <c r="D733" s="241"/>
      <c r="E733" s="241"/>
      <c r="F733" s="241"/>
      <c r="G733" s="241"/>
      <c r="H733" s="241"/>
      <c r="I733" s="241"/>
      <c r="J733" s="241"/>
      <c r="K733" s="241"/>
      <c r="L733" s="241"/>
      <c r="M733" s="241"/>
      <c r="N733" s="241"/>
      <c r="O733" s="241"/>
      <c r="P733" s="241"/>
      <c r="Q733" s="241"/>
      <c r="R733" s="241"/>
      <c r="S733" s="241"/>
      <c r="T733" s="241"/>
      <c r="U733" s="241"/>
      <c r="V733" s="241"/>
      <c r="W733" s="241"/>
      <c r="X733" s="241"/>
      <c r="Y733" s="241"/>
      <c r="Z733" s="241"/>
      <c r="AA733" s="241"/>
    </row>
    <row r="734">
      <c r="A734" s="243"/>
      <c r="B734" s="243"/>
      <c r="C734" s="241"/>
      <c r="D734" s="241"/>
      <c r="E734" s="241"/>
      <c r="F734" s="241"/>
      <c r="G734" s="241"/>
      <c r="H734" s="241"/>
      <c r="I734" s="241"/>
      <c r="J734" s="241"/>
      <c r="K734" s="241"/>
      <c r="L734" s="241"/>
      <c r="M734" s="241"/>
      <c r="N734" s="241"/>
      <c r="O734" s="241"/>
      <c r="P734" s="241"/>
      <c r="Q734" s="241"/>
      <c r="R734" s="241"/>
      <c r="S734" s="241"/>
      <c r="T734" s="241"/>
      <c r="U734" s="241"/>
      <c r="V734" s="241"/>
      <c r="W734" s="241"/>
      <c r="X734" s="241"/>
      <c r="Y734" s="241"/>
      <c r="Z734" s="241"/>
      <c r="AA734" s="241"/>
    </row>
    <row r="735">
      <c r="A735" s="243"/>
      <c r="B735" s="243"/>
      <c r="C735" s="241"/>
      <c r="D735" s="241"/>
      <c r="E735" s="241"/>
      <c r="F735" s="241"/>
      <c r="G735" s="241"/>
      <c r="H735" s="241"/>
      <c r="I735" s="241"/>
      <c r="J735" s="241"/>
      <c r="K735" s="241"/>
      <c r="L735" s="241"/>
      <c r="M735" s="241"/>
      <c r="N735" s="241"/>
      <c r="O735" s="241"/>
      <c r="P735" s="241"/>
      <c r="Q735" s="241"/>
      <c r="R735" s="241"/>
      <c r="S735" s="241"/>
      <c r="T735" s="241"/>
      <c r="U735" s="241"/>
      <c r="V735" s="241"/>
      <c r="W735" s="241"/>
      <c r="X735" s="241"/>
      <c r="Y735" s="241"/>
      <c r="Z735" s="241"/>
      <c r="AA735" s="241"/>
    </row>
    <row r="736">
      <c r="A736" s="243"/>
      <c r="B736" s="243"/>
      <c r="C736" s="241"/>
      <c r="D736" s="241"/>
      <c r="E736" s="241"/>
      <c r="F736" s="241"/>
      <c r="G736" s="241"/>
      <c r="H736" s="241"/>
      <c r="I736" s="241"/>
      <c r="J736" s="241"/>
      <c r="K736" s="241"/>
      <c r="L736" s="241"/>
      <c r="M736" s="241"/>
      <c r="N736" s="241"/>
      <c r="O736" s="241"/>
      <c r="P736" s="241"/>
      <c r="Q736" s="241"/>
      <c r="R736" s="241"/>
      <c r="S736" s="241"/>
      <c r="T736" s="241"/>
      <c r="U736" s="241"/>
      <c r="V736" s="241"/>
      <c r="W736" s="241"/>
      <c r="X736" s="241"/>
      <c r="Y736" s="241"/>
      <c r="Z736" s="241"/>
      <c r="AA736" s="241"/>
    </row>
    <row r="737">
      <c r="A737" s="243"/>
      <c r="B737" s="243"/>
      <c r="C737" s="241"/>
      <c r="D737" s="241"/>
      <c r="E737" s="241"/>
      <c r="F737" s="241"/>
      <c r="G737" s="241"/>
      <c r="H737" s="241"/>
      <c r="I737" s="241"/>
      <c r="J737" s="241"/>
      <c r="K737" s="241"/>
      <c r="L737" s="241"/>
      <c r="M737" s="241"/>
      <c r="N737" s="241"/>
      <c r="O737" s="241"/>
      <c r="P737" s="241"/>
      <c r="Q737" s="241"/>
      <c r="R737" s="241"/>
      <c r="S737" s="241"/>
      <c r="T737" s="241"/>
      <c r="U737" s="241"/>
      <c r="V737" s="241"/>
      <c r="W737" s="241"/>
      <c r="X737" s="241"/>
      <c r="Y737" s="241"/>
      <c r="Z737" s="241"/>
      <c r="AA737" s="241"/>
    </row>
    <row r="738">
      <c r="A738" s="243"/>
      <c r="B738" s="243"/>
      <c r="C738" s="241"/>
      <c r="D738" s="241"/>
      <c r="E738" s="241"/>
      <c r="F738" s="241"/>
      <c r="G738" s="241"/>
      <c r="H738" s="241"/>
      <c r="I738" s="241"/>
      <c r="J738" s="241"/>
      <c r="K738" s="241"/>
      <c r="L738" s="241"/>
      <c r="M738" s="241"/>
      <c r="N738" s="241"/>
      <c r="O738" s="241"/>
      <c r="P738" s="241"/>
      <c r="Q738" s="241"/>
      <c r="R738" s="241"/>
      <c r="S738" s="241"/>
      <c r="T738" s="241"/>
      <c r="U738" s="241"/>
      <c r="V738" s="241"/>
      <c r="W738" s="241"/>
      <c r="X738" s="241"/>
      <c r="Y738" s="241"/>
      <c r="Z738" s="241"/>
      <c r="AA738" s="241"/>
    </row>
    <row r="739">
      <c r="A739" s="243"/>
      <c r="B739" s="243"/>
      <c r="C739" s="241"/>
      <c r="D739" s="241"/>
      <c r="E739" s="241"/>
      <c r="F739" s="241"/>
      <c r="G739" s="241"/>
      <c r="H739" s="241"/>
      <c r="I739" s="241"/>
      <c r="J739" s="241"/>
      <c r="K739" s="241"/>
      <c r="L739" s="241"/>
      <c r="M739" s="241"/>
      <c r="N739" s="241"/>
      <c r="O739" s="241"/>
      <c r="P739" s="241"/>
      <c r="Q739" s="241"/>
      <c r="R739" s="241"/>
      <c r="S739" s="241"/>
      <c r="T739" s="241"/>
      <c r="U739" s="241"/>
      <c r="V739" s="241"/>
      <c r="W739" s="241"/>
      <c r="X739" s="241"/>
      <c r="Y739" s="241"/>
      <c r="Z739" s="241"/>
      <c r="AA739" s="241"/>
    </row>
    <row r="740">
      <c r="A740" s="243"/>
      <c r="B740" s="243"/>
      <c r="C740" s="241"/>
      <c r="D740" s="241"/>
      <c r="E740" s="241"/>
      <c r="F740" s="241"/>
      <c r="G740" s="241"/>
      <c r="H740" s="241"/>
      <c r="I740" s="241"/>
      <c r="J740" s="241"/>
      <c r="K740" s="241"/>
      <c r="L740" s="241"/>
      <c r="M740" s="241"/>
      <c r="N740" s="241"/>
      <c r="O740" s="241"/>
      <c r="P740" s="241"/>
      <c r="Q740" s="241"/>
      <c r="R740" s="241"/>
      <c r="S740" s="241"/>
      <c r="T740" s="241"/>
      <c r="U740" s="241"/>
      <c r="V740" s="241"/>
      <c r="W740" s="241"/>
      <c r="X740" s="241"/>
      <c r="Y740" s="241"/>
      <c r="Z740" s="241"/>
      <c r="AA740" s="241"/>
    </row>
    <row r="741">
      <c r="A741" s="243"/>
      <c r="B741" s="243"/>
      <c r="C741" s="241"/>
      <c r="D741" s="241"/>
      <c r="E741" s="241"/>
      <c r="F741" s="241"/>
      <c r="G741" s="241"/>
      <c r="H741" s="241"/>
      <c r="I741" s="241"/>
      <c r="J741" s="241"/>
      <c r="K741" s="241"/>
      <c r="L741" s="241"/>
      <c r="M741" s="241"/>
      <c r="N741" s="241"/>
      <c r="O741" s="241"/>
      <c r="P741" s="241"/>
      <c r="Q741" s="241"/>
      <c r="R741" s="241"/>
      <c r="S741" s="241"/>
      <c r="T741" s="241"/>
      <c r="U741" s="241"/>
      <c r="V741" s="241"/>
      <c r="W741" s="241"/>
      <c r="X741" s="241"/>
      <c r="Y741" s="241"/>
      <c r="Z741" s="241"/>
      <c r="AA741" s="241"/>
    </row>
    <row r="742">
      <c r="A742" s="243"/>
      <c r="B742" s="243"/>
      <c r="C742" s="241"/>
      <c r="D742" s="241"/>
      <c r="E742" s="241"/>
      <c r="F742" s="241"/>
      <c r="G742" s="241"/>
      <c r="H742" s="241"/>
      <c r="I742" s="241"/>
      <c r="J742" s="241"/>
      <c r="K742" s="241"/>
      <c r="L742" s="241"/>
      <c r="M742" s="241"/>
      <c r="N742" s="241"/>
      <c r="O742" s="241"/>
      <c r="P742" s="241"/>
      <c r="Q742" s="241"/>
      <c r="R742" s="241"/>
      <c r="S742" s="241"/>
      <c r="T742" s="241"/>
      <c r="U742" s="241"/>
      <c r="V742" s="241"/>
      <c r="W742" s="241"/>
      <c r="X742" s="241"/>
      <c r="Y742" s="241"/>
      <c r="Z742" s="241"/>
      <c r="AA742" s="241"/>
    </row>
    <row r="743">
      <c r="A743" s="243"/>
      <c r="B743" s="243"/>
      <c r="C743" s="241"/>
      <c r="D743" s="241"/>
      <c r="E743" s="241"/>
      <c r="F743" s="241"/>
      <c r="G743" s="241"/>
      <c r="H743" s="241"/>
      <c r="I743" s="241"/>
      <c r="J743" s="241"/>
      <c r="K743" s="241"/>
      <c r="L743" s="241"/>
      <c r="M743" s="241"/>
      <c r="N743" s="241"/>
      <c r="O743" s="241"/>
      <c r="P743" s="241"/>
      <c r="Q743" s="241"/>
      <c r="R743" s="241"/>
      <c r="S743" s="241"/>
      <c r="T743" s="241"/>
      <c r="U743" s="241"/>
      <c r="V743" s="241"/>
      <c r="W743" s="241"/>
      <c r="X743" s="241"/>
      <c r="Y743" s="241"/>
      <c r="Z743" s="241"/>
      <c r="AA743" s="241"/>
    </row>
    <row r="744">
      <c r="A744" s="243"/>
      <c r="B744" s="243"/>
      <c r="C744" s="241"/>
      <c r="D744" s="241"/>
      <c r="E744" s="241"/>
      <c r="F744" s="241"/>
      <c r="G744" s="241"/>
      <c r="H744" s="241"/>
      <c r="I744" s="241"/>
      <c r="J744" s="241"/>
      <c r="K744" s="241"/>
      <c r="L744" s="241"/>
      <c r="M744" s="241"/>
      <c r="N744" s="241"/>
      <c r="O744" s="241"/>
      <c r="P744" s="241"/>
      <c r="Q744" s="241"/>
      <c r="R744" s="241"/>
      <c r="S744" s="241"/>
      <c r="T744" s="241"/>
      <c r="U744" s="241"/>
      <c r="V744" s="241"/>
      <c r="W744" s="241"/>
      <c r="X744" s="241"/>
      <c r="Y744" s="241"/>
      <c r="Z744" s="241"/>
      <c r="AA744" s="241"/>
    </row>
    <row r="745">
      <c r="A745" s="243"/>
      <c r="B745" s="243"/>
      <c r="C745" s="241"/>
      <c r="D745" s="241"/>
      <c r="E745" s="241"/>
      <c r="F745" s="241"/>
      <c r="G745" s="241"/>
      <c r="H745" s="241"/>
      <c r="I745" s="241"/>
      <c r="J745" s="241"/>
      <c r="K745" s="241"/>
      <c r="L745" s="241"/>
      <c r="M745" s="241"/>
      <c r="N745" s="241"/>
      <c r="O745" s="241"/>
      <c r="P745" s="241"/>
      <c r="Q745" s="241"/>
      <c r="R745" s="241"/>
      <c r="S745" s="241"/>
      <c r="T745" s="241"/>
      <c r="U745" s="241"/>
      <c r="V745" s="241"/>
      <c r="W745" s="241"/>
      <c r="X745" s="241"/>
      <c r="Y745" s="241"/>
      <c r="Z745" s="241"/>
      <c r="AA745" s="241"/>
    </row>
    <row r="746">
      <c r="A746" s="243"/>
      <c r="B746" s="243"/>
      <c r="C746" s="241"/>
      <c r="D746" s="241"/>
      <c r="E746" s="241"/>
      <c r="F746" s="241"/>
      <c r="G746" s="241"/>
      <c r="H746" s="241"/>
      <c r="I746" s="241"/>
      <c r="J746" s="241"/>
      <c r="K746" s="241"/>
      <c r="L746" s="241"/>
      <c r="M746" s="241"/>
      <c r="N746" s="241"/>
      <c r="O746" s="241"/>
      <c r="P746" s="241"/>
      <c r="Q746" s="241"/>
      <c r="R746" s="241"/>
      <c r="S746" s="241"/>
      <c r="T746" s="241"/>
      <c r="U746" s="241"/>
      <c r="V746" s="241"/>
      <c r="W746" s="241"/>
      <c r="X746" s="241"/>
      <c r="Y746" s="241"/>
      <c r="Z746" s="241"/>
      <c r="AA746" s="241"/>
    </row>
    <row r="747">
      <c r="A747" s="243"/>
      <c r="B747" s="243"/>
      <c r="C747" s="241"/>
      <c r="D747" s="241"/>
      <c r="E747" s="241"/>
      <c r="F747" s="241"/>
      <c r="G747" s="241"/>
      <c r="H747" s="241"/>
      <c r="I747" s="241"/>
      <c r="J747" s="241"/>
      <c r="K747" s="241"/>
      <c r="L747" s="241"/>
      <c r="M747" s="241"/>
      <c r="N747" s="241"/>
      <c r="O747" s="241"/>
      <c r="P747" s="241"/>
      <c r="Q747" s="241"/>
      <c r="R747" s="241"/>
      <c r="S747" s="241"/>
      <c r="T747" s="241"/>
      <c r="U747" s="241"/>
      <c r="V747" s="241"/>
      <c r="W747" s="241"/>
      <c r="X747" s="241"/>
      <c r="Y747" s="241"/>
      <c r="Z747" s="241"/>
      <c r="AA747" s="241"/>
    </row>
    <row r="748">
      <c r="A748" s="243"/>
      <c r="B748" s="243"/>
      <c r="C748" s="241"/>
      <c r="D748" s="241"/>
      <c r="E748" s="241"/>
      <c r="F748" s="241"/>
      <c r="G748" s="241"/>
      <c r="H748" s="241"/>
      <c r="I748" s="241"/>
      <c r="J748" s="241"/>
      <c r="K748" s="241"/>
      <c r="L748" s="241"/>
      <c r="M748" s="241"/>
      <c r="N748" s="241"/>
      <c r="O748" s="241"/>
      <c r="P748" s="241"/>
      <c r="Q748" s="241"/>
      <c r="R748" s="241"/>
      <c r="S748" s="241"/>
      <c r="T748" s="241"/>
      <c r="U748" s="241"/>
      <c r="V748" s="241"/>
      <c r="W748" s="241"/>
      <c r="X748" s="241"/>
      <c r="Y748" s="241"/>
      <c r="Z748" s="241"/>
      <c r="AA748" s="241"/>
    </row>
    <row r="749">
      <c r="A749" s="243"/>
      <c r="B749" s="243"/>
      <c r="C749" s="241"/>
      <c r="D749" s="241"/>
      <c r="E749" s="241"/>
      <c r="F749" s="241"/>
      <c r="G749" s="241"/>
      <c r="H749" s="241"/>
      <c r="I749" s="241"/>
      <c r="J749" s="241"/>
      <c r="K749" s="241"/>
      <c r="L749" s="241"/>
      <c r="M749" s="241"/>
      <c r="N749" s="241"/>
      <c r="O749" s="241"/>
      <c r="P749" s="241"/>
      <c r="Q749" s="241"/>
      <c r="R749" s="241"/>
      <c r="S749" s="241"/>
      <c r="T749" s="241"/>
      <c r="U749" s="241"/>
      <c r="V749" s="241"/>
      <c r="W749" s="241"/>
      <c r="X749" s="241"/>
      <c r="Y749" s="241"/>
      <c r="Z749" s="241"/>
      <c r="AA749" s="241"/>
    </row>
    <row r="750">
      <c r="A750" s="243"/>
      <c r="B750" s="243"/>
      <c r="C750" s="241"/>
      <c r="D750" s="241"/>
      <c r="E750" s="241"/>
      <c r="F750" s="241"/>
      <c r="G750" s="241"/>
      <c r="H750" s="241"/>
      <c r="I750" s="241"/>
      <c r="J750" s="241"/>
      <c r="K750" s="241"/>
      <c r="L750" s="241"/>
      <c r="M750" s="241"/>
      <c r="N750" s="241"/>
      <c r="O750" s="241"/>
      <c r="P750" s="241"/>
      <c r="Q750" s="241"/>
      <c r="R750" s="241"/>
      <c r="S750" s="241"/>
      <c r="T750" s="241"/>
      <c r="U750" s="241"/>
      <c r="V750" s="241"/>
      <c r="W750" s="241"/>
      <c r="X750" s="241"/>
      <c r="Y750" s="241"/>
      <c r="Z750" s="241"/>
      <c r="AA750" s="241"/>
    </row>
    <row r="751">
      <c r="A751" s="243"/>
      <c r="B751" s="243"/>
      <c r="C751" s="241"/>
      <c r="D751" s="241"/>
      <c r="E751" s="241"/>
      <c r="F751" s="241"/>
      <c r="G751" s="241"/>
      <c r="H751" s="241"/>
      <c r="I751" s="241"/>
      <c r="J751" s="241"/>
      <c r="K751" s="241"/>
      <c r="L751" s="241"/>
      <c r="M751" s="241"/>
      <c r="N751" s="241"/>
      <c r="O751" s="241"/>
      <c r="P751" s="241"/>
      <c r="Q751" s="241"/>
      <c r="R751" s="241"/>
      <c r="S751" s="241"/>
      <c r="T751" s="241"/>
      <c r="U751" s="241"/>
      <c r="V751" s="241"/>
      <c r="W751" s="241"/>
      <c r="X751" s="241"/>
      <c r="Y751" s="241"/>
      <c r="Z751" s="241"/>
      <c r="AA751" s="241"/>
    </row>
    <row r="752">
      <c r="A752" s="243"/>
      <c r="B752" s="243"/>
      <c r="C752" s="241"/>
      <c r="D752" s="241"/>
      <c r="E752" s="241"/>
      <c r="F752" s="241"/>
      <c r="G752" s="241"/>
      <c r="H752" s="241"/>
      <c r="I752" s="241"/>
      <c r="J752" s="241"/>
      <c r="K752" s="241"/>
      <c r="L752" s="241"/>
      <c r="M752" s="241"/>
      <c r="N752" s="241"/>
      <c r="O752" s="241"/>
      <c r="P752" s="241"/>
      <c r="Q752" s="241"/>
      <c r="R752" s="241"/>
      <c r="S752" s="241"/>
      <c r="T752" s="241"/>
      <c r="U752" s="241"/>
      <c r="V752" s="241"/>
      <c r="W752" s="241"/>
      <c r="X752" s="241"/>
      <c r="Y752" s="241"/>
      <c r="Z752" s="241"/>
      <c r="AA752" s="241"/>
    </row>
    <row r="753">
      <c r="A753" s="243"/>
      <c r="B753" s="243"/>
      <c r="C753" s="241"/>
      <c r="D753" s="241"/>
      <c r="E753" s="241"/>
      <c r="F753" s="241"/>
      <c r="G753" s="241"/>
      <c r="H753" s="241"/>
      <c r="I753" s="241"/>
      <c r="J753" s="241"/>
      <c r="K753" s="241"/>
      <c r="L753" s="241"/>
      <c r="M753" s="241"/>
      <c r="N753" s="241"/>
      <c r="O753" s="241"/>
      <c r="P753" s="241"/>
      <c r="Q753" s="241"/>
      <c r="R753" s="241"/>
      <c r="S753" s="241"/>
      <c r="T753" s="241"/>
      <c r="U753" s="241"/>
      <c r="V753" s="241"/>
      <c r="W753" s="241"/>
      <c r="X753" s="241"/>
      <c r="Y753" s="241"/>
      <c r="Z753" s="241"/>
      <c r="AA753" s="241"/>
    </row>
    <row r="754">
      <c r="A754" s="243"/>
      <c r="B754" s="243"/>
      <c r="C754" s="241"/>
      <c r="D754" s="241"/>
      <c r="E754" s="241"/>
      <c r="F754" s="241"/>
      <c r="G754" s="241"/>
      <c r="H754" s="241"/>
      <c r="I754" s="241"/>
      <c r="J754" s="241"/>
      <c r="K754" s="241"/>
      <c r="L754" s="241"/>
      <c r="M754" s="241"/>
      <c r="N754" s="241"/>
      <c r="O754" s="241"/>
      <c r="P754" s="241"/>
      <c r="Q754" s="241"/>
      <c r="R754" s="241"/>
      <c r="S754" s="241"/>
      <c r="T754" s="241"/>
      <c r="U754" s="241"/>
      <c r="V754" s="241"/>
      <c r="W754" s="241"/>
      <c r="X754" s="241"/>
      <c r="Y754" s="241"/>
      <c r="Z754" s="241"/>
      <c r="AA754" s="241"/>
    </row>
    <row r="755">
      <c r="A755" s="243"/>
      <c r="B755" s="243"/>
      <c r="C755" s="241"/>
      <c r="D755" s="241"/>
      <c r="E755" s="241"/>
      <c r="F755" s="241"/>
      <c r="G755" s="241"/>
      <c r="H755" s="241"/>
      <c r="I755" s="241"/>
      <c r="J755" s="241"/>
      <c r="K755" s="241"/>
      <c r="L755" s="241"/>
      <c r="M755" s="241"/>
      <c r="N755" s="241"/>
      <c r="O755" s="241"/>
      <c r="P755" s="241"/>
      <c r="Q755" s="241"/>
      <c r="R755" s="241"/>
      <c r="S755" s="241"/>
      <c r="T755" s="241"/>
      <c r="U755" s="241"/>
      <c r="V755" s="241"/>
      <c r="W755" s="241"/>
      <c r="X755" s="241"/>
      <c r="Y755" s="241"/>
      <c r="Z755" s="241"/>
      <c r="AA755" s="241"/>
    </row>
    <row r="756">
      <c r="A756" s="243"/>
      <c r="B756" s="243"/>
      <c r="C756" s="241"/>
      <c r="D756" s="241"/>
      <c r="E756" s="241"/>
      <c r="F756" s="241"/>
      <c r="G756" s="241"/>
      <c r="H756" s="241"/>
      <c r="I756" s="241"/>
      <c r="J756" s="241"/>
      <c r="K756" s="241"/>
      <c r="L756" s="241"/>
      <c r="M756" s="241"/>
      <c r="N756" s="241"/>
      <c r="O756" s="241"/>
      <c r="P756" s="241"/>
      <c r="Q756" s="241"/>
      <c r="R756" s="241"/>
      <c r="S756" s="241"/>
      <c r="T756" s="241"/>
      <c r="U756" s="241"/>
      <c r="V756" s="241"/>
      <c r="W756" s="241"/>
      <c r="X756" s="241"/>
      <c r="Y756" s="241"/>
      <c r="Z756" s="241"/>
      <c r="AA756" s="241"/>
    </row>
    <row r="757">
      <c r="A757" s="243"/>
      <c r="B757" s="243"/>
      <c r="C757" s="241"/>
      <c r="D757" s="241"/>
      <c r="E757" s="241"/>
      <c r="F757" s="241"/>
      <c r="G757" s="241"/>
      <c r="H757" s="241"/>
      <c r="I757" s="241"/>
      <c r="J757" s="241"/>
      <c r="K757" s="241"/>
      <c r="L757" s="241"/>
      <c r="M757" s="241"/>
      <c r="N757" s="241"/>
      <c r="O757" s="241"/>
      <c r="P757" s="241"/>
      <c r="Q757" s="241"/>
      <c r="R757" s="241"/>
      <c r="S757" s="241"/>
      <c r="T757" s="241"/>
      <c r="U757" s="241"/>
      <c r="V757" s="241"/>
      <c r="W757" s="241"/>
      <c r="X757" s="241"/>
      <c r="Y757" s="241"/>
      <c r="Z757" s="241"/>
      <c r="AA757" s="241"/>
    </row>
    <row r="758">
      <c r="A758" s="243"/>
      <c r="B758" s="243"/>
      <c r="C758" s="241"/>
      <c r="D758" s="241"/>
      <c r="E758" s="241"/>
      <c r="F758" s="241"/>
      <c r="G758" s="241"/>
      <c r="H758" s="241"/>
      <c r="I758" s="241"/>
      <c r="J758" s="241"/>
      <c r="K758" s="241"/>
      <c r="L758" s="241"/>
      <c r="M758" s="241"/>
      <c r="N758" s="241"/>
      <c r="O758" s="241"/>
      <c r="P758" s="241"/>
      <c r="Q758" s="241"/>
      <c r="R758" s="241"/>
      <c r="S758" s="241"/>
      <c r="T758" s="241"/>
      <c r="U758" s="241"/>
      <c r="V758" s="241"/>
      <c r="W758" s="241"/>
      <c r="X758" s="241"/>
      <c r="Y758" s="241"/>
      <c r="Z758" s="241"/>
      <c r="AA758" s="241"/>
    </row>
    <row r="759">
      <c r="A759" s="243"/>
      <c r="B759" s="243"/>
      <c r="C759" s="241"/>
      <c r="D759" s="241"/>
      <c r="E759" s="241"/>
      <c r="F759" s="241"/>
      <c r="G759" s="241"/>
      <c r="H759" s="241"/>
      <c r="I759" s="241"/>
      <c r="J759" s="241"/>
      <c r="K759" s="241"/>
      <c r="L759" s="241"/>
      <c r="M759" s="241"/>
      <c r="N759" s="241"/>
      <c r="O759" s="241"/>
      <c r="P759" s="241"/>
      <c r="Q759" s="241"/>
      <c r="R759" s="241"/>
      <c r="S759" s="241"/>
      <c r="T759" s="241"/>
      <c r="U759" s="241"/>
      <c r="V759" s="241"/>
      <c r="W759" s="241"/>
      <c r="X759" s="241"/>
      <c r="Y759" s="241"/>
      <c r="Z759" s="241"/>
      <c r="AA759" s="241"/>
    </row>
    <row r="760">
      <c r="A760" s="243"/>
      <c r="B760" s="243"/>
      <c r="C760" s="241"/>
      <c r="D760" s="241"/>
      <c r="E760" s="241"/>
      <c r="F760" s="241"/>
      <c r="G760" s="241"/>
      <c r="H760" s="241"/>
      <c r="I760" s="241"/>
      <c r="J760" s="241"/>
      <c r="K760" s="241"/>
      <c r="L760" s="241"/>
      <c r="M760" s="241"/>
      <c r="N760" s="241"/>
      <c r="O760" s="241"/>
      <c r="P760" s="241"/>
      <c r="Q760" s="241"/>
      <c r="R760" s="241"/>
      <c r="S760" s="241"/>
      <c r="T760" s="241"/>
      <c r="U760" s="241"/>
      <c r="V760" s="241"/>
      <c r="W760" s="241"/>
      <c r="X760" s="241"/>
      <c r="Y760" s="241"/>
      <c r="Z760" s="241"/>
      <c r="AA760" s="241"/>
    </row>
    <row r="761">
      <c r="A761" s="243"/>
      <c r="B761" s="243"/>
      <c r="C761" s="241"/>
      <c r="D761" s="241"/>
      <c r="E761" s="241"/>
      <c r="F761" s="241"/>
      <c r="G761" s="241"/>
      <c r="H761" s="241"/>
      <c r="I761" s="241"/>
      <c r="J761" s="241"/>
      <c r="K761" s="241"/>
      <c r="L761" s="241"/>
      <c r="M761" s="241"/>
      <c r="N761" s="241"/>
      <c r="O761" s="241"/>
      <c r="P761" s="241"/>
      <c r="Q761" s="241"/>
      <c r="R761" s="241"/>
      <c r="S761" s="241"/>
      <c r="T761" s="241"/>
      <c r="U761" s="241"/>
      <c r="V761" s="241"/>
      <c r="W761" s="241"/>
      <c r="X761" s="241"/>
      <c r="Y761" s="241"/>
      <c r="Z761" s="241"/>
      <c r="AA761" s="241"/>
    </row>
    <row r="762">
      <c r="A762" s="243"/>
      <c r="B762" s="243"/>
      <c r="C762" s="241"/>
      <c r="D762" s="241"/>
      <c r="E762" s="241"/>
      <c r="F762" s="241"/>
      <c r="G762" s="241"/>
      <c r="H762" s="241"/>
      <c r="I762" s="241"/>
      <c r="J762" s="241"/>
      <c r="K762" s="241"/>
      <c r="L762" s="241"/>
      <c r="M762" s="241"/>
      <c r="N762" s="241"/>
      <c r="O762" s="241"/>
      <c r="P762" s="241"/>
      <c r="Q762" s="241"/>
      <c r="R762" s="241"/>
      <c r="S762" s="241"/>
      <c r="T762" s="241"/>
      <c r="U762" s="241"/>
      <c r="V762" s="241"/>
      <c r="W762" s="241"/>
      <c r="X762" s="241"/>
      <c r="Y762" s="241"/>
      <c r="Z762" s="241"/>
      <c r="AA762" s="241"/>
    </row>
    <row r="763">
      <c r="A763" s="243"/>
      <c r="B763" s="243"/>
      <c r="C763" s="241"/>
      <c r="D763" s="241"/>
      <c r="E763" s="241"/>
      <c r="F763" s="241"/>
      <c r="G763" s="241"/>
      <c r="H763" s="241"/>
      <c r="I763" s="241"/>
      <c r="J763" s="241"/>
      <c r="K763" s="241"/>
      <c r="L763" s="241"/>
      <c r="M763" s="241"/>
      <c r="N763" s="241"/>
      <c r="O763" s="241"/>
      <c r="P763" s="241"/>
      <c r="Q763" s="241"/>
      <c r="R763" s="241"/>
      <c r="S763" s="241"/>
      <c r="T763" s="241"/>
      <c r="U763" s="241"/>
      <c r="V763" s="241"/>
      <c r="W763" s="241"/>
      <c r="X763" s="241"/>
      <c r="Y763" s="241"/>
      <c r="Z763" s="241"/>
      <c r="AA763" s="241"/>
    </row>
    <row r="764">
      <c r="A764" s="243"/>
      <c r="B764" s="243"/>
      <c r="C764" s="241"/>
      <c r="D764" s="241"/>
      <c r="E764" s="241"/>
      <c r="F764" s="241"/>
      <c r="G764" s="241"/>
      <c r="H764" s="241"/>
      <c r="I764" s="241"/>
      <c r="J764" s="241"/>
      <c r="K764" s="241"/>
      <c r="L764" s="241"/>
      <c r="M764" s="241"/>
      <c r="N764" s="241"/>
      <c r="O764" s="241"/>
      <c r="P764" s="241"/>
      <c r="Q764" s="241"/>
      <c r="R764" s="241"/>
      <c r="S764" s="241"/>
      <c r="T764" s="241"/>
      <c r="U764" s="241"/>
      <c r="V764" s="241"/>
      <c r="W764" s="241"/>
      <c r="X764" s="241"/>
      <c r="Y764" s="241"/>
      <c r="Z764" s="241"/>
      <c r="AA764" s="241"/>
    </row>
    <row r="765">
      <c r="A765" s="243"/>
      <c r="B765" s="243"/>
      <c r="C765" s="241"/>
      <c r="D765" s="241"/>
      <c r="E765" s="241"/>
      <c r="F765" s="241"/>
      <c r="G765" s="241"/>
      <c r="H765" s="241"/>
      <c r="I765" s="241"/>
      <c r="J765" s="241"/>
      <c r="K765" s="241"/>
      <c r="L765" s="241"/>
      <c r="M765" s="241"/>
      <c r="N765" s="241"/>
      <c r="O765" s="241"/>
      <c r="P765" s="241"/>
      <c r="Q765" s="241"/>
      <c r="R765" s="241"/>
      <c r="S765" s="241"/>
      <c r="T765" s="241"/>
      <c r="U765" s="241"/>
      <c r="V765" s="241"/>
      <c r="W765" s="241"/>
      <c r="X765" s="241"/>
      <c r="Y765" s="241"/>
      <c r="Z765" s="241"/>
      <c r="AA765" s="241"/>
    </row>
    <row r="766">
      <c r="A766" s="243"/>
      <c r="B766" s="243"/>
      <c r="C766" s="241"/>
      <c r="D766" s="241"/>
      <c r="E766" s="241"/>
      <c r="F766" s="241"/>
      <c r="G766" s="241"/>
      <c r="H766" s="241"/>
      <c r="I766" s="241"/>
      <c r="J766" s="241"/>
      <c r="K766" s="241"/>
      <c r="L766" s="241"/>
      <c r="M766" s="241"/>
      <c r="N766" s="241"/>
      <c r="O766" s="241"/>
      <c r="P766" s="241"/>
      <c r="Q766" s="241"/>
      <c r="R766" s="241"/>
      <c r="S766" s="241"/>
      <c r="T766" s="241"/>
      <c r="U766" s="241"/>
      <c r="V766" s="241"/>
      <c r="W766" s="241"/>
      <c r="X766" s="241"/>
      <c r="Y766" s="241"/>
      <c r="Z766" s="241"/>
      <c r="AA766" s="241"/>
    </row>
    <row r="767">
      <c r="A767" s="243"/>
      <c r="B767" s="243"/>
      <c r="C767" s="241"/>
      <c r="D767" s="241"/>
      <c r="E767" s="241"/>
      <c r="F767" s="241"/>
      <c r="G767" s="241"/>
      <c r="H767" s="241"/>
      <c r="I767" s="241"/>
      <c r="J767" s="241"/>
      <c r="K767" s="241"/>
      <c r="L767" s="241"/>
      <c r="M767" s="241"/>
      <c r="N767" s="241"/>
      <c r="O767" s="241"/>
      <c r="P767" s="241"/>
      <c r="Q767" s="241"/>
      <c r="R767" s="241"/>
      <c r="S767" s="241"/>
      <c r="T767" s="241"/>
      <c r="U767" s="241"/>
      <c r="V767" s="241"/>
      <c r="W767" s="241"/>
      <c r="X767" s="241"/>
      <c r="Y767" s="241"/>
      <c r="Z767" s="241"/>
      <c r="AA767" s="241"/>
    </row>
    <row r="768">
      <c r="A768" s="243"/>
      <c r="B768" s="243"/>
      <c r="C768" s="241"/>
      <c r="D768" s="241"/>
      <c r="E768" s="241"/>
      <c r="F768" s="241"/>
      <c r="G768" s="241"/>
      <c r="H768" s="241"/>
      <c r="I768" s="241"/>
      <c r="J768" s="241"/>
      <c r="K768" s="241"/>
      <c r="L768" s="241"/>
      <c r="M768" s="241"/>
      <c r="N768" s="241"/>
      <c r="O768" s="241"/>
      <c r="P768" s="241"/>
      <c r="Q768" s="241"/>
      <c r="R768" s="241"/>
      <c r="S768" s="241"/>
      <c r="T768" s="241"/>
      <c r="U768" s="241"/>
      <c r="V768" s="241"/>
      <c r="W768" s="241"/>
      <c r="X768" s="241"/>
      <c r="Y768" s="241"/>
      <c r="Z768" s="241"/>
      <c r="AA768" s="241"/>
    </row>
    <row r="769">
      <c r="A769" s="243"/>
      <c r="B769" s="243"/>
      <c r="C769" s="241"/>
      <c r="D769" s="241"/>
      <c r="E769" s="241"/>
      <c r="F769" s="241"/>
      <c r="G769" s="241"/>
      <c r="H769" s="241"/>
      <c r="I769" s="241"/>
      <c r="J769" s="241"/>
      <c r="K769" s="241"/>
      <c r="L769" s="241"/>
      <c r="M769" s="241"/>
      <c r="N769" s="241"/>
      <c r="O769" s="241"/>
      <c r="P769" s="241"/>
      <c r="Q769" s="241"/>
      <c r="R769" s="241"/>
      <c r="S769" s="241"/>
      <c r="T769" s="241"/>
      <c r="U769" s="241"/>
      <c r="V769" s="241"/>
      <c r="W769" s="241"/>
      <c r="X769" s="241"/>
      <c r="Y769" s="241"/>
      <c r="Z769" s="241"/>
      <c r="AA769" s="241"/>
    </row>
    <row r="770">
      <c r="A770" s="243"/>
      <c r="B770" s="243"/>
      <c r="C770" s="241"/>
      <c r="D770" s="241"/>
      <c r="E770" s="241"/>
      <c r="F770" s="241"/>
      <c r="G770" s="241"/>
      <c r="H770" s="241"/>
      <c r="I770" s="241"/>
      <c r="J770" s="241"/>
      <c r="K770" s="241"/>
      <c r="L770" s="241"/>
      <c r="M770" s="241"/>
      <c r="N770" s="241"/>
      <c r="O770" s="241"/>
      <c r="P770" s="241"/>
      <c r="Q770" s="241"/>
      <c r="R770" s="241"/>
      <c r="S770" s="241"/>
      <c r="T770" s="241"/>
      <c r="U770" s="241"/>
      <c r="V770" s="241"/>
      <c r="W770" s="241"/>
      <c r="X770" s="241"/>
      <c r="Y770" s="241"/>
      <c r="Z770" s="241"/>
      <c r="AA770" s="241"/>
    </row>
    <row r="771">
      <c r="A771" s="243"/>
      <c r="B771" s="243"/>
      <c r="C771" s="241"/>
      <c r="D771" s="241"/>
      <c r="E771" s="241"/>
      <c r="F771" s="241"/>
      <c r="G771" s="241"/>
      <c r="H771" s="241"/>
      <c r="I771" s="241"/>
      <c r="J771" s="241"/>
      <c r="K771" s="241"/>
      <c r="L771" s="241"/>
      <c r="M771" s="241"/>
      <c r="N771" s="241"/>
      <c r="O771" s="241"/>
      <c r="P771" s="241"/>
      <c r="Q771" s="241"/>
      <c r="R771" s="241"/>
      <c r="S771" s="241"/>
      <c r="T771" s="241"/>
      <c r="U771" s="241"/>
      <c r="V771" s="241"/>
      <c r="W771" s="241"/>
      <c r="X771" s="241"/>
      <c r="Y771" s="241"/>
      <c r="Z771" s="241"/>
      <c r="AA771" s="241"/>
    </row>
    <row r="772">
      <c r="A772" s="243"/>
      <c r="B772" s="243"/>
      <c r="C772" s="241"/>
      <c r="D772" s="241"/>
      <c r="E772" s="241"/>
      <c r="F772" s="241"/>
      <c r="G772" s="241"/>
      <c r="H772" s="241"/>
      <c r="I772" s="241"/>
      <c r="J772" s="241"/>
      <c r="K772" s="241"/>
      <c r="L772" s="241"/>
      <c r="M772" s="241"/>
      <c r="N772" s="241"/>
      <c r="O772" s="241"/>
      <c r="P772" s="241"/>
      <c r="Q772" s="241"/>
      <c r="R772" s="241"/>
      <c r="S772" s="241"/>
      <c r="T772" s="241"/>
      <c r="U772" s="241"/>
      <c r="V772" s="241"/>
      <c r="W772" s="241"/>
      <c r="X772" s="241"/>
      <c r="Y772" s="241"/>
      <c r="Z772" s="241"/>
      <c r="AA772" s="241"/>
    </row>
    <row r="773">
      <c r="A773" s="243"/>
      <c r="B773" s="243"/>
      <c r="C773" s="241"/>
      <c r="D773" s="241"/>
      <c r="E773" s="241"/>
      <c r="F773" s="241"/>
      <c r="G773" s="241"/>
      <c r="H773" s="241"/>
      <c r="I773" s="241"/>
      <c r="J773" s="241"/>
      <c r="K773" s="241"/>
      <c r="L773" s="241"/>
      <c r="M773" s="241"/>
      <c r="N773" s="241"/>
      <c r="O773" s="241"/>
      <c r="P773" s="241"/>
      <c r="Q773" s="241"/>
      <c r="R773" s="241"/>
      <c r="S773" s="241"/>
      <c r="T773" s="241"/>
      <c r="U773" s="241"/>
      <c r="V773" s="241"/>
      <c r="W773" s="241"/>
      <c r="X773" s="241"/>
      <c r="Y773" s="241"/>
      <c r="Z773" s="241"/>
      <c r="AA773" s="241"/>
    </row>
    <row r="774">
      <c r="A774" s="243"/>
      <c r="B774" s="243"/>
      <c r="C774" s="241"/>
      <c r="D774" s="241"/>
      <c r="E774" s="241"/>
      <c r="F774" s="241"/>
      <c r="G774" s="241"/>
      <c r="H774" s="241"/>
      <c r="I774" s="241"/>
      <c r="J774" s="241"/>
      <c r="K774" s="241"/>
      <c r="L774" s="241"/>
      <c r="M774" s="241"/>
      <c r="N774" s="241"/>
      <c r="O774" s="241"/>
      <c r="P774" s="241"/>
      <c r="Q774" s="241"/>
      <c r="R774" s="241"/>
      <c r="S774" s="241"/>
      <c r="T774" s="241"/>
      <c r="U774" s="241"/>
      <c r="V774" s="241"/>
      <c r="W774" s="241"/>
      <c r="X774" s="241"/>
      <c r="Y774" s="241"/>
      <c r="Z774" s="241"/>
      <c r="AA774" s="241"/>
    </row>
    <row r="775">
      <c r="A775" s="243"/>
      <c r="B775" s="243"/>
      <c r="C775" s="241"/>
      <c r="D775" s="241"/>
      <c r="E775" s="241"/>
      <c r="F775" s="241"/>
      <c r="G775" s="241"/>
      <c r="H775" s="241"/>
      <c r="I775" s="241"/>
      <c r="J775" s="241"/>
      <c r="K775" s="241"/>
      <c r="L775" s="241"/>
      <c r="M775" s="241"/>
      <c r="N775" s="241"/>
      <c r="O775" s="241"/>
      <c r="P775" s="241"/>
      <c r="Q775" s="241"/>
      <c r="R775" s="241"/>
      <c r="S775" s="241"/>
      <c r="T775" s="241"/>
      <c r="U775" s="241"/>
      <c r="V775" s="241"/>
      <c r="W775" s="241"/>
      <c r="X775" s="241"/>
      <c r="Y775" s="241"/>
      <c r="Z775" s="241"/>
      <c r="AA775" s="241"/>
    </row>
    <row r="776">
      <c r="A776" s="243"/>
      <c r="B776" s="243"/>
      <c r="C776" s="241"/>
      <c r="D776" s="241"/>
      <c r="E776" s="241"/>
      <c r="F776" s="241"/>
      <c r="G776" s="241"/>
      <c r="H776" s="241"/>
      <c r="I776" s="241"/>
      <c r="J776" s="241"/>
      <c r="K776" s="241"/>
      <c r="L776" s="241"/>
      <c r="M776" s="241"/>
      <c r="N776" s="241"/>
      <c r="O776" s="241"/>
      <c r="P776" s="241"/>
      <c r="Q776" s="241"/>
      <c r="R776" s="241"/>
      <c r="S776" s="241"/>
      <c r="T776" s="241"/>
      <c r="U776" s="241"/>
      <c r="V776" s="241"/>
      <c r="W776" s="241"/>
      <c r="X776" s="241"/>
      <c r="Y776" s="241"/>
      <c r="Z776" s="241"/>
      <c r="AA776" s="241"/>
    </row>
    <row r="777">
      <c r="A777" s="243"/>
      <c r="B777" s="243"/>
      <c r="C777" s="241"/>
      <c r="D777" s="241"/>
      <c r="E777" s="241"/>
      <c r="F777" s="241"/>
      <c r="G777" s="241"/>
      <c r="H777" s="241"/>
      <c r="I777" s="241"/>
      <c r="J777" s="241"/>
      <c r="K777" s="241"/>
      <c r="L777" s="241"/>
      <c r="M777" s="241"/>
      <c r="N777" s="241"/>
      <c r="O777" s="241"/>
      <c r="P777" s="241"/>
      <c r="Q777" s="241"/>
      <c r="R777" s="241"/>
      <c r="S777" s="241"/>
      <c r="T777" s="241"/>
      <c r="U777" s="241"/>
      <c r="V777" s="241"/>
      <c r="W777" s="241"/>
      <c r="X777" s="241"/>
      <c r="Y777" s="241"/>
      <c r="Z777" s="241"/>
      <c r="AA777" s="241"/>
    </row>
    <row r="778">
      <c r="A778" s="243"/>
      <c r="B778" s="243"/>
      <c r="C778" s="241"/>
      <c r="D778" s="241"/>
      <c r="E778" s="241"/>
      <c r="F778" s="241"/>
      <c r="G778" s="241"/>
      <c r="H778" s="241"/>
      <c r="I778" s="241"/>
      <c r="J778" s="241"/>
      <c r="K778" s="241"/>
      <c r="L778" s="241"/>
      <c r="M778" s="241"/>
      <c r="N778" s="241"/>
      <c r="O778" s="241"/>
      <c r="P778" s="241"/>
      <c r="Q778" s="241"/>
      <c r="R778" s="241"/>
      <c r="S778" s="241"/>
      <c r="T778" s="241"/>
      <c r="U778" s="241"/>
      <c r="V778" s="241"/>
      <c r="W778" s="241"/>
      <c r="X778" s="241"/>
      <c r="Y778" s="241"/>
      <c r="Z778" s="241"/>
      <c r="AA778" s="241"/>
    </row>
    <row r="779">
      <c r="A779" s="243"/>
      <c r="B779" s="243"/>
      <c r="C779" s="241"/>
      <c r="D779" s="241"/>
      <c r="E779" s="241"/>
      <c r="F779" s="241"/>
      <c r="G779" s="241"/>
      <c r="H779" s="241"/>
      <c r="I779" s="241"/>
      <c r="J779" s="241"/>
      <c r="K779" s="241"/>
      <c r="L779" s="241"/>
      <c r="M779" s="241"/>
      <c r="N779" s="241"/>
      <c r="O779" s="241"/>
      <c r="P779" s="241"/>
      <c r="Q779" s="241"/>
      <c r="R779" s="241"/>
      <c r="S779" s="241"/>
      <c r="T779" s="241"/>
      <c r="U779" s="241"/>
      <c r="V779" s="241"/>
      <c r="W779" s="241"/>
      <c r="X779" s="241"/>
      <c r="Y779" s="241"/>
      <c r="Z779" s="241"/>
      <c r="AA779" s="241"/>
    </row>
    <row r="780">
      <c r="A780" s="243"/>
      <c r="B780" s="243"/>
      <c r="C780" s="241"/>
      <c r="D780" s="241"/>
      <c r="E780" s="241"/>
      <c r="F780" s="241"/>
      <c r="G780" s="241"/>
      <c r="H780" s="241"/>
      <c r="I780" s="241"/>
      <c r="J780" s="241"/>
      <c r="K780" s="241"/>
      <c r="L780" s="241"/>
      <c r="M780" s="241"/>
      <c r="N780" s="241"/>
      <c r="O780" s="241"/>
      <c r="P780" s="241"/>
      <c r="Q780" s="241"/>
      <c r="R780" s="241"/>
      <c r="S780" s="241"/>
      <c r="T780" s="241"/>
      <c r="U780" s="241"/>
      <c r="V780" s="241"/>
      <c r="W780" s="241"/>
      <c r="X780" s="241"/>
      <c r="Y780" s="241"/>
      <c r="Z780" s="241"/>
      <c r="AA780" s="241"/>
    </row>
    <row r="781">
      <c r="A781" s="243"/>
      <c r="B781" s="243"/>
      <c r="C781" s="241"/>
      <c r="D781" s="241"/>
      <c r="E781" s="241"/>
      <c r="F781" s="241"/>
      <c r="G781" s="241"/>
      <c r="H781" s="241"/>
      <c r="I781" s="241"/>
      <c r="J781" s="241"/>
      <c r="K781" s="241"/>
      <c r="L781" s="241"/>
      <c r="M781" s="241"/>
      <c r="N781" s="241"/>
      <c r="O781" s="241"/>
      <c r="P781" s="241"/>
      <c r="Q781" s="241"/>
      <c r="R781" s="241"/>
      <c r="S781" s="241"/>
      <c r="T781" s="241"/>
      <c r="U781" s="241"/>
      <c r="V781" s="241"/>
      <c r="W781" s="241"/>
      <c r="X781" s="241"/>
      <c r="Y781" s="241"/>
      <c r="Z781" s="241"/>
      <c r="AA781" s="241"/>
    </row>
    <row r="782">
      <c r="A782" s="243"/>
      <c r="B782" s="243"/>
      <c r="C782" s="241"/>
      <c r="D782" s="241"/>
      <c r="E782" s="241"/>
      <c r="F782" s="241"/>
      <c r="G782" s="241"/>
      <c r="H782" s="241"/>
      <c r="I782" s="241"/>
      <c r="J782" s="241"/>
      <c r="K782" s="241"/>
      <c r="L782" s="241"/>
      <c r="M782" s="241"/>
      <c r="N782" s="241"/>
      <c r="O782" s="241"/>
      <c r="P782" s="241"/>
      <c r="Q782" s="241"/>
      <c r="R782" s="241"/>
      <c r="S782" s="241"/>
      <c r="T782" s="241"/>
      <c r="U782" s="241"/>
      <c r="V782" s="241"/>
      <c r="W782" s="241"/>
      <c r="X782" s="241"/>
      <c r="Y782" s="241"/>
      <c r="Z782" s="241"/>
      <c r="AA782" s="241"/>
    </row>
    <row r="783">
      <c r="A783" s="243"/>
      <c r="B783" s="243"/>
      <c r="C783" s="241"/>
      <c r="D783" s="241"/>
      <c r="E783" s="241"/>
      <c r="F783" s="241"/>
      <c r="G783" s="241"/>
      <c r="H783" s="241"/>
      <c r="I783" s="241"/>
      <c r="J783" s="241"/>
      <c r="K783" s="241"/>
      <c r="L783" s="241"/>
      <c r="M783" s="241"/>
      <c r="N783" s="241"/>
      <c r="O783" s="241"/>
      <c r="P783" s="241"/>
      <c r="Q783" s="241"/>
      <c r="R783" s="241"/>
      <c r="S783" s="241"/>
      <c r="T783" s="241"/>
      <c r="U783" s="241"/>
      <c r="V783" s="241"/>
      <c r="W783" s="241"/>
      <c r="X783" s="241"/>
      <c r="Y783" s="241"/>
      <c r="Z783" s="241"/>
      <c r="AA783" s="241"/>
    </row>
    <row r="784">
      <c r="A784" s="243"/>
      <c r="B784" s="243"/>
      <c r="C784" s="241"/>
      <c r="D784" s="241"/>
      <c r="E784" s="241"/>
      <c r="F784" s="241"/>
      <c r="G784" s="241"/>
      <c r="H784" s="241"/>
      <c r="I784" s="241"/>
      <c r="J784" s="241"/>
      <c r="K784" s="241"/>
      <c r="L784" s="241"/>
      <c r="M784" s="241"/>
      <c r="N784" s="241"/>
      <c r="O784" s="241"/>
      <c r="P784" s="241"/>
      <c r="Q784" s="241"/>
      <c r="R784" s="241"/>
      <c r="S784" s="241"/>
      <c r="T784" s="241"/>
      <c r="U784" s="241"/>
      <c r="V784" s="241"/>
      <c r="W784" s="241"/>
      <c r="X784" s="241"/>
      <c r="Y784" s="241"/>
      <c r="Z784" s="241"/>
      <c r="AA784" s="241"/>
    </row>
    <row r="785">
      <c r="A785" s="243"/>
      <c r="B785" s="243"/>
      <c r="C785" s="241"/>
      <c r="D785" s="241"/>
      <c r="E785" s="241"/>
      <c r="F785" s="241"/>
      <c r="G785" s="241"/>
      <c r="H785" s="241"/>
      <c r="I785" s="241"/>
      <c r="J785" s="241"/>
      <c r="K785" s="241"/>
      <c r="L785" s="241"/>
      <c r="M785" s="241"/>
      <c r="N785" s="241"/>
      <c r="O785" s="241"/>
      <c r="P785" s="241"/>
      <c r="Q785" s="241"/>
      <c r="R785" s="241"/>
      <c r="S785" s="241"/>
      <c r="T785" s="241"/>
      <c r="U785" s="241"/>
      <c r="V785" s="241"/>
      <c r="W785" s="241"/>
      <c r="X785" s="241"/>
      <c r="Y785" s="241"/>
      <c r="Z785" s="241"/>
      <c r="AA785" s="241"/>
    </row>
    <row r="786">
      <c r="A786" s="243"/>
      <c r="B786" s="243"/>
      <c r="C786" s="241"/>
      <c r="D786" s="241"/>
      <c r="E786" s="241"/>
      <c r="F786" s="241"/>
      <c r="G786" s="241"/>
      <c r="H786" s="241"/>
      <c r="I786" s="241"/>
      <c r="J786" s="241"/>
      <c r="K786" s="241"/>
      <c r="L786" s="241"/>
      <c r="M786" s="241"/>
      <c r="N786" s="241"/>
      <c r="O786" s="241"/>
      <c r="P786" s="241"/>
      <c r="Q786" s="241"/>
      <c r="R786" s="241"/>
      <c r="S786" s="241"/>
      <c r="T786" s="241"/>
      <c r="U786" s="241"/>
      <c r="V786" s="241"/>
      <c r="W786" s="241"/>
      <c r="X786" s="241"/>
      <c r="Y786" s="241"/>
      <c r="Z786" s="241"/>
      <c r="AA786" s="241"/>
    </row>
    <row r="787">
      <c r="A787" s="243"/>
      <c r="B787" s="243"/>
      <c r="C787" s="241"/>
      <c r="D787" s="241"/>
      <c r="E787" s="241"/>
      <c r="F787" s="241"/>
      <c r="G787" s="241"/>
      <c r="H787" s="241"/>
      <c r="I787" s="241"/>
      <c r="J787" s="241"/>
      <c r="K787" s="241"/>
      <c r="L787" s="241"/>
      <c r="M787" s="241"/>
      <c r="N787" s="241"/>
      <c r="O787" s="241"/>
      <c r="P787" s="241"/>
      <c r="Q787" s="241"/>
      <c r="R787" s="241"/>
      <c r="S787" s="241"/>
      <c r="T787" s="241"/>
      <c r="U787" s="241"/>
      <c r="V787" s="241"/>
      <c r="W787" s="241"/>
      <c r="X787" s="241"/>
      <c r="Y787" s="241"/>
      <c r="Z787" s="241"/>
      <c r="AA787" s="241"/>
    </row>
    <row r="788">
      <c r="A788" s="243"/>
      <c r="B788" s="243"/>
      <c r="C788" s="241"/>
      <c r="D788" s="241"/>
      <c r="E788" s="241"/>
      <c r="F788" s="241"/>
      <c r="G788" s="241"/>
      <c r="H788" s="241"/>
      <c r="I788" s="241"/>
      <c r="J788" s="241"/>
      <c r="K788" s="241"/>
      <c r="L788" s="241"/>
      <c r="M788" s="241"/>
      <c r="N788" s="241"/>
      <c r="O788" s="241"/>
      <c r="P788" s="241"/>
      <c r="Q788" s="241"/>
      <c r="R788" s="241"/>
      <c r="S788" s="241"/>
      <c r="T788" s="241"/>
      <c r="U788" s="241"/>
      <c r="V788" s="241"/>
      <c r="W788" s="241"/>
      <c r="X788" s="241"/>
      <c r="Y788" s="241"/>
      <c r="Z788" s="241"/>
      <c r="AA788" s="241"/>
    </row>
    <row r="789">
      <c r="A789" s="243"/>
      <c r="B789" s="243"/>
      <c r="C789" s="241"/>
      <c r="D789" s="241"/>
      <c r="E789" s="241"/>
      <c r="F789" s="241"/>
      <c r="G789" s="241"/>
      <c r="H789" s="241"/>
      <c r="I789" s="241"/>
      <c r="J789" s="241"/>
      <c r="K789" s="241"/>
      <c r="L789" s="241"/>
      <c r="M789" s="241"/>
      <c r="N789" s="241"/>
      <c r="O789" s="241"/>
      <c r="P789" s="241"/>
      <c r="Q789" s="241"/>
      <c r="R789" s="241"/>
      <c r="S789" s="241"/>
      <c r="T789" s="241"/>
      <c r="U789" s="241"/>
      <c r="V789" s="241"/>
      <c r="W789" s="241"/>
      <c r="X789" s="241"/>
      <c r="Y789" s="241"/>
      <c r="Z789" s="241"/>
      <c r="AA789" s="241"/>
    </row>
    <row r="790">
      <c r="A790" s="243"/>
      <c r="B790" s="243"/>
      <c r="C790" s="241"/>
      <c r="D790" s="241"/>
      <c r="E790" s="241"/>
      <c r="F790" s="241"/>
      <c r="G790" s="241"/>
      <c r="H790" s="241"/>
      <c r="I790" s="241"/>
      <c r="J790" s="241"/>
      <c r="K790" s="241"/>
      <c r="L790" s="241"/>
      <c r="M790" s="241"/>
      <c r="N790" s="241"/>
      <c r="O790" s="241"/>
      <c r="P790" s="241"/>
      <c r="Q790" s="241"/>
      <c r="R790" s="241"/>
      <c r="S790" s="241"/>
      <c r="T790" s="241"/>
      <c r="U790" s="241"/>
      <c r="V790" s="241"/>
      <c r="W790" s="241"/>
      <c r="X790" s="241"/>
      <c r="Y790" s="241"/>
      <c r="Z790" s="241"/>
      <c r="AA790" s="241"/>
    </row>
    <row r="791">
      <c r="A791" s="243"/>
      <c r="B791" s="243"/>
      <c r="C791" s="241"/>
      <c r="D791" s="241"/>
      <c r="E791" s="241"/>
      <c r="F791" s="241"/>
      <c r="G791" s="241"/>
      <c r="H791" s="241"/>
      <c r="I791" s="241"/>
      <c r="J791" s="241"/>
      <c r="K791" s="241"/>
      <c r="L791" s="241"/>
      <c r="M791" s="241"/>
      <c r="N791" s="241"/>
      <c r="O791" s="241"/>
      <c r="P791" s="241"/>
      <c r="Q791" s="241"/>
      <c r="R791" s="241"/>
      <c r="S791" s="241"/>
      <c r="T791" s="241"/>
      <c r="U791" s="241"/>
      <c r="V791" s="241"/>
      <c r="W791" s="241"/>
      <c r="X791" s="241"/>
      <c r="Y791" s="241"/>
      <c r="Z791" s="241"/>
      <c r="AA791" s="241"/>
    </row>
    <row r="792">
      <c r="A792" s="243"/>
      <c r="B792" s="243"/>
      <c r="C792" s="241"/>
      <c r="D792" s="241"/>
      <c r="E792" s="241"/>
      <c r="F792" s="241"/>
      <c r="G792" s="241"/>
      <c r="H792" s="241"/>
      <c r="I792" s="241"/>
      <c r="J792" s="241"/>
      <c r="K792" s="241"/>
      <c r="L792" s="241"/>
      <c r="M792" s="241"/>
      <c r="N792" s="241"/>
      <c r="O792" s="241"/>
      <c r="P792" s="241"/>
      <c r="Q792" s="241"/>
      <c r="R792" s="241"/>
      <c r="S792" s="241"/>
      <c r="T792" s="241"/>
      <c r="U792" s="241"/>
      <c r="V792" s="241"/>
      <c r="W792" s="241"/>
      <c r="X792" s="241"/>
      <c r="Y792" s="241"/>
      <c r="Z792" s="241"/>
      <c r="AA792" s="241"/>
    </row>
    <row r="793">
      <c r="A793" s="243"/>
      <c r="B793" s="243"/>
      <c r="C793" s="241"/>
      <c r="D793" s="241"/>
      <c r="E793" s="241"/>
      <c r="F793" s="241"/>
      <c r="G793" s="241"/>
      <c r="H793" s="241"/>
      <c r="I793" s="241"/>
      <c r="J793" s="241"/>
      <c r="K793" s="241"/>
      <c r="L793" s="241"/>
      <c r="M793" s="241"/>
      <c r="N793" s="241"/>
      <c r="O793" s="241"/>
      <c r="P793" s="241"/>
      <c r="Q793" s="241"/>
      <c r="R793" s="241"/>
      <c r="S793" s="241"/>
      <c r="T793" s="241"/>
      <c r="U793" s="241"/>
      <c r="V793" s="241"/>
      <c r="W793" s="241"/>
      <c r="X793" s="241"/>
      <c r="Y793" s="241"/>
      <c r="Z793" s="241"/>
      <c r="AA793" s="241"/>
    </row>
    <row r="794">
      <c r="A794" s="243"/>
      <c r="B794" s="243"/>
      <c r="C794" s="241"/>
      <c r="D794" s="241"/>
      <c r="E794" s="241"/>
      <c r="F794" s="241"/>
      <c r="G794" s="241"/>
      <c r="H794" s="241"/>
      <c r="I794" s="241"/>
      <c r="J794" s="241"/>
      <c r="K794" s="241"/>
      <c r="L794" s="241"/>
      <c r="M794" s="241"/>
      <c r="N794" s="241"/>
      <c r="O794" s="241"/>
      <c r="P794" s="241"/>
      <c r="Q794" s="241"/>
      <c r="R794" s="241"/>
      <c r="S794" s="241"/>
      <c r="T794" s="241"/>
      <c r="U794" s="241"/>
      <c r="V794" s="241"/>
      <c r="W794" s="241"/>
      <c r="X794" s="241"/>
      <c r="Y794" s="241"/>
      <c r="Z794" s="241"/>
      <c r="AA794" s="241"/>
    </row>
    <row r="795">
      <c r="A795" s="243"/>
      <c r="B795" s="243"/>
      <c r="C795" s="241"/>
      <c r="D795" s="241"/>
      <c r="E795" s="241"/>
      <c r="F795" s="241"/>
      <c r="G795" s="241"/>
      <c r="H795" s="241"/>
      <c r="I795" s="241"/>
      <c r="J795" s="241"/>
      <c r="K795" s="241"/>
      <c r="L795" s="241"/>
      <c r="M795" s="241"/>
      <c r="N795" s="241"/>
      <c r="O795" s="241"/>
      <c r="P795" s="241"/>
      <c r="Q795" s="241"/>
      <c r="R795" s="241"/>
      <c r="S795" s="241"/>
      <c r="T795" s="241"/>
      <c r="U795" s="241"/>
      <c r="V795" s="241"/>
      <c r="W795" s="241"/>
      <c r="X795" s="241"/>
      <c r="Y795" s="241"/>
      <c r="Z795" s="241"/>
      <c r="AA795" s="241"/>
    </row>
    <row r="796">
      <c r="A796" s="243"/>
      <c r="B796" s="243"/>
      <c r="C796" s="241"/>
      <c r="D796" s="241"/>
      <c r="E796" s="241"/>
      <c r="F796" s="241"/>
      <c r="G796" s="241"/>
      <c r="H796" s="241"/>
      <c r="I796" s="241"/>
      <c r="J796" s="241"/>
      <c r="K796" s="241"/>
      <c r="L796" s="241"/>
      <c r="M796" s="241"/>
      <c r="N796" s="241"/>
      <c r="O796" s="241"/>
      <c r="P796" s="241"/>
      <c r="Q796" s="241"/>
      <c r="R796" s="241"/>
      <c r="S796" s="241"/>
      <c r="T796" s="241"/>
      <c r="U796" s="241"/>
      <c r="V796" s="241"/>
      <c r="W796" s="241"/>
      <c r="X796" s="241"/>
      <c r="Y796" s="241"/>
      <c r="Z796" s="241"/>
      <c r="AA796" s="241"/>
    </row>
    <row r="797">
      <c r="A797" s="243"/>
      <c r="B797" s="243"/>
      <c r="C797" s="241"/>
      <c r="D797" s="241"/>
      <c r="E797" s="241"/>
      <c r="F797" s="241"/>
      <c r="G797" s="241"/>
      <c r="H797" s="241"/>
      <c r="I797" s="241"/>
      <c r="J797" s="241"/>
      <c r="K797" s="241"/>
      <c r="L797" s="241"/>
      <c r="M797" s="241"/>
      <c r="N797" s="241"/>
      <c r="O797" s="241"/>
      <c r="P797" s="241"/>
      <c r="Q797" s="241"/>
      <c r="R797" s="241"/>
      <c r="S797" s="241"/>
      <c r="T797" s="241"/>
      <c r="U797" s="241"/>
      <c r="V797" s="241"/>
      <c r="W797" s="241"/>
      <c r="X797" s="241"/>
      <c r="Y797" s="241"/>
      <c r="Z797" s="241"/>
      <c r="AA797" s="241"/>
    </row>
    <row r="798">
      <c r="A798" s="243"/>
      <c r="B798" s="243"/>
      <c r="C798" s="241"/>
      <c r="D798" s="241"/>
      <c r="E798" s="241"/>
      <c r="F798" s="241"/>
      <c r="G798" s="241"/>
      <c r="H798" s="241"/>
      <c r="I798" s="241"/>
      <c r="J798" s="241"/>
      <c r="K798" s="241"/>
      <c r="L798" s="241"/>
      <c r="M798" s="241"/>
      <c r="N798" s="241"/>
      <c r="O798" s="241"/>
      <c r="P798" s="241"/>
      <c r="Q798" s="241"/>
      <c r="R798" s="241"/>
      <c r="S798" s="241"/>
      <c r="T798" s="241"/>
      <c r="U798" s="241"/>
      <c r="V798" s="241"/>
      <c r="W798" s="241"/>
      <c r="X798" s="241"/>
      <c r="Y798" s="241"/>
      <c r="Z798" s="241"/>
      <c r="AA798" s="241"/>
    </row>
    <row r="799">
      <c r="A799" s="243"/>
      <c r="B799" s="243"/>
      <c r="C799" s="241"/>
      <c r="D799" s="241"/>
      <c r="E799" s="241"/>
      <c r="F799" s="241"/>
      <c r="G799" s="241"/>
      <c r="H799" s="241"/>
      <c r="I799" s="241"/>
      <c r="J799" s="241"/>
      <c r="K799" s="241"/>
      <c r="L799" s="241"/>
      <c r="M799" s="241"/>
      <c r="N799" s="241"/>
      <c r="O799" s="241"/>
      <c r="P799" s="241"/>
      <c r="Q799" s="241"/>
      <c r="R799" s="241"/>
      <c r="S799" s="241"/>
      <c r="T799" s="241"/>
      <c r="U799" s="241"/>
      <c r="V799" s="241"/>
      <c r="W799" s="241"/>
      <c r="X799" s="241"/>
      <c r="Y799" s="241"/>
      <c r="Z799" s="241"/>
      <c r="AA799" s="241"/>
    </row>
    <row r="800">
      <c r="A800" s="243"/>
      <c r="B800" s="243"/>
      <c r="C800" s="241"/>
      <c r="D800" s="241"/>
      <c r="E800" s="241"/>
      <c r="F800" s="241"/>
      <c r="G800" s="241"/>
      <c r="H800" s="241"/>
      <c r="I800" s="241"/>
      <c r="J800" s="241"/>
      <c r="K800" s="241"/>
      <c r="L800" s="241"/>
      <c r="M800" s="241"/>
      <c r="N800" s="241"/>
      <c r="O800" s="241"/>
      <c r="P800" s="241"/>
      <c r="Q800" s="241"/>
      <c r="R800" s="241"/>
      <c r="S800" s="241"/>
      <c r="T800" s="241"/>
      <c r="U800" s="241"/>
      <c r="V800" s="241"/>
      <c r="W800" s="241"/>
      <c r="X800" s="241"/>
      <c r="Y800" s="241"/>
      <c r="Z800" s="241"/>
      <c r="AA800" s="241"/>
    </row>
    <row r="801">
      <c r="A801" s="243"/>
      <c r="B801" s="243"/>
      <c r="C801" s="241"/>
      <c r="D801" s="241"/>
      <c r="E801" s="241"/>
      <c r="F801" s="241"/>
      <c r="G801" s="241"/>
      <c r="H801" s="241"/>
      <c r="I801" s="241"/>
      <c r="J801" s="241"/>
      <c r="K801" s="241"/>
      <c r="L801" s="241"/>
      <c r="M801" s="241"/>
      <c r="N801" s="241"/>
      <c r="O801" s="241"/>
      <c r="P801" s="241"/>
      <c r="Q801" s="241"/>
      <c r="R801" s="241"/>
      <c r="S801" s="241"/>
      <c r="T801" s="241"/>
      <c r="U801" s="241"/>
      <c r="V801" s="241"/>
      <c r="W801" s="241"/>
      <c r="X801" s="241"/>
      <c r="Y801" s="241"/>
      <c r="Z801" s="241"/>
      <c r="AA801" s="241"/>
    </row>
    <row r="802">
      <c r="A802" s="243"/>
      <c r="B802" s="243"/>
      <c r="C802" s="241"/>
      <c r="D802" s="241"/>
      <c r="E802" s="241"/>
      <c r="F802" s="241"/>
      <c r="G802" s="241"/>
      <c r="H802" s="241"/>
      <c r="I802" s="241"/>
      <c r="J802" s="241"/>
      <c r="K802" s="241"/>
      <c r="L802" s="241"/>
      <c r="M802" s="241"/>
      <c r="N802" s="241"/>
      <c r="O802" s="241"/>
      <c r="P802" s="241"/>
      <c r="Q802" s="241"/>
      <c r="R802" s="241"/>
      <c r="S802" s="241"/>
      <c r="T802" s="241"/>
      <c r="U802" s="241"/>
      <c r="V802" s="241"/>
      <c r="W802" s="241"/>
      <c r="X802" s="241"/>
      <c r="Y802" s="241"/>
      <c r="Z802" s="241"/>
      <c r="AA802" s="241"/>
    </row>
    <row r="803">
      <c r="A803" s="243"/>
      <c r="B803" s="243"/>
      <c r="C803" s="241"/>
      <c r="D803" s="241"/>
      <c r="E803" s="241"/>
      <c r="F803" s="241"/>
      <c r="G803" s="241"/>
      <c r="H803" s="241"/>
      <c r="I803" s="241"/>
      <c r="J803" s="241"/>
      <c r="K803" s="241"/>
      <c r="L803" s="241"/>
      <c r="M803" s="241"/>
      <c r="N803" s="241"/>
      <c r="O803" s="241"/>
      <c r="P803" s="241"/>
      <c r="Q803" s="241"/>
      <c r="R803" s="241"/>
      <c r="S803" s="241"/>
      <c r="T803" s="241"/>
      <c r="U803" s="241"/>
      <c r="V803" s="241"/>
      <c r="W803" s="241"/>
      <c r="X803" s="241"/>
      <c r="Y803" s="241"/>
      <c r="Z803" s="241"/>
      <c r="AA803" s="241"/>
    </row>
    <row r="804">
      <c r="A804" s="243"/>
      <c r="B804" s="243"/>
      <c r="C804" s="241"/>
      <c r="D804" s="241"/>
      <c r="E804" s="241"/>
      <c r="F804" s="241"/>
      <c r="G804" s="241"/>
      <c r="H804" s="241"/>
      <c r="I804" s="241"/>
      <c r="J804" s="241"/>
      <c r="K804" s="241"/>
      <c r="L804" s="241"/>
      <c r="M804" s="241"/>
      <c r="N804" s="241"/>
      <c r="O804" s="241"/>
      <c r="P804" s="241"/>
      <c r="Q804" s="241"/>
      <c r="R804" s="241"/>
      <c r="S804" s="241"/>
      <c r="T804" s="241"/>
      <c r="U804" s="241"/>
      <c r="V804" s="241"/>
      <c r="W804" s="241"/>
      <c r="X804" s="241"/>
      <c r="Y804" s="241"/>
      <c r="Z804" s="241"/>
      <c r="AA804" s="241"/>
    </row>
    <row r="805">
      <c r="A805" s="243"/>
      <c r="B805" s="243"/>
      <c r="C805" s="241"/>
      <c r="D805" s="241"/>
      <c r="E805" s="241"/>
      <c r="F805" s="241"/>
      <c r="G805" s="241"/>
      <c r="H805" s="241"/>
      <c r="I805" s="241"/>
      <c r="J805" s="241"/>
      <c r="K805" s="241"/>
      <c r="L805" s="241"/>
      <c r="M805" s="241"/>
      <c r="N805" s="241"/>
      <c r="O805" s="241"/>
      <c r="P805" s="241"/>
      <c r="Q805" s="241"/>
      <c r="R805" s="241"/>
      <c r="S805" s="241"/>
      <c r="T805" s="241"/>
      <c r="U805" s="241"/>
      <c r="V805" s="241"/>
      <c r="W805" s="241"/>
      <c r="X805" s="241"/>
      <c r="Y805" s="241"/>
      <c r="Z805" s="241"/>
      <c r="AA805" s="241"/>
    </row>
    <row r="806">
      <c r="A806" s="243"/>
      <c r="B806" s="243"/>
      <c r="C806" s="241"/>
      <c r="D806" s="241"/>
      <c r="E806" s="241"/>
      <c r="F806" s="241"/>
      <c r="G806" s="241"/>
      <c r="H806" s="241"/>
      <c r="I806" s="241"/>
      <c r="J806" s="241"/>
      <c r="K806" s="241"/>
      <c r="L806" s="241"/>
      <c r="M806" s="241"/>
      <c r="N806" s="241"/>
      <c r="O806" s="241"/>
      <c r="P806" s="241"/>
      <c r="Q806" s="241"/>
      <c r="R806" s="241"/>
      <c r="S806" s="241"/>
      <c r="T806" s="241"/>
      <c r="U806" s="241"/>
      <c r="V806" s="241"/>
      <c r="W806" s="241"/>
      <c r="X806" s="241"/>
      <c r="Y806" s="241"/>
      <c r="Z806" s="241"/>
      <c r="AA806" s="241"/>
    </row>
    <row r="807">
      <c r="A807" s="243"/>
      <c r="B807" s="243"/>
      <c r="C807" s="241"/>
      <c r="D807" s="241"/>
      <c r="E807" s="241"/>
      <c r="F807" s="241"/>
      <c r="G807" s="241"/>
      <c r="H807" s="241"/>
      <c r="I807" s="241"/>
      <c r="J807" s="241"/>
      <c r="K807" s="241"/>
      <c r="L807" s="241"/>
      <c r="M807" s="241"/>
      <c r="N807" s="241"/>
      <c r="O807" s="241"/>
      <c r="P807" s="241"/>
      <c r="Q807" s="241"/>
      <c r="R807" s="241"/>
      <c r="S807" s="241"/>
      <c r="T807" s="241"/>
      <c r="U807" s="241"/>
      <c r="V807" s="241"/>
      <c r="W807" s="241"/>
      <c r="X807" s="241"/>
      <c r="Y807" s="241"/>
      <c r="Z807" s="241"/>
      <c r="AA807" s="241"/>
    </row>
    <row r="808">
      <c r="A808" s="243"/>
      <c r="B808" s="243"/>
      <c r="C808" s="241"/>
      <c r="D808" s="241"/>
      <c r="E808" s="241"/>
      <c r="F808" s="241"/>
      <c r="G808" s="241"/>
      <c r="H808" s="241"/>
      <c r="I808" s="241"/>
      <c r="J808" s="241"/>
      <c r="K808" s="241"/>
      <c r="L808" s="241"/>
      <c r="M808" s="241"/>
      <c r="N808" s="241"/>
      <c r="O808" s="241"/>
      <c r="P808" s="241"/>
      <c r="Q808" s="241"/>
      <c r="R808" s="241"/>
      <c r="S808" s="241"/>
      <c r="T808" s="241"/>
      <c r="U808" s="241"/>
      <c r="V808" s="241"/>
      <c r="W808" s="241"/>
      <c r="X808" s="241"/>
      <c r="Y808" s="241"/>
      <c r="Z808" s="241"/>
      <c r="AA808" s="241"/>
    </row>
    <row r="809">
      <c r="A809" s="243"/>
      <c r="B809" s="243"/>
      <c r="C809" s="241"/>
      <c r="D809" s="241"/>
      <c r="E809" s="241"/>
      <c r="F809" s="241"/>
      <c r="G809" s="241"/>
      <c r="H809" s="241"/>
      <c r="I809" s="241"/>
      <c r="J809" s="241"/>
      <c r="K809" s="241"/>
      <c r="L809" s="241"/>
      <c r="M809" s="241"/>
      <c r="N809" s="241"/>
      <c r="O809" s="241"/>
      <c r="P809" s="241"/>
      <c r="Q809" s="241"/>
      <c r="R809" s="241"/>
      <c r="S809" s="241"/>
      <c r="T809" s="241"/>
      <c r="U809" s="241"/>
      <c r="V809" s="241"/>
      <c r="W809" s="241"/>
      <c r="X809" s="241"/>
      <c r="Y809" s="241"/>
      <c r="Z809" s="241"/>
      <c r="AA809" s="241"/>
    </row>
    <row r="810">
      <c r="A810" s="243"/>
      <c r="B810" s="243"/>
      <c r="C810" s="241"/>
      <c r="D810" s="241"/>
      <c r="E810" s="241"/>
      <c r="F810" s="241"/>
      <c r="G810" s="241"/>
      <c r="H810" s="241"/>
      <c r="I810" s="241"/>
      <c r="J810" s="241"/>
      <c r="K810" s="241"/>
      <c r="L810" s="241"/>
      <c r="M810" s="241"/>
      <c r="N810" s="241"/>
      <c r="O810" s="241"/>
      <c r="P810" s="241"/>
      <c r="Q810" s="241"/>
      <c r="R810" s="241"/>
      <c r="S810" s="241"/>
      <c r="T810" s="241"/>
      <c r="U810" s="241"/>
      <c r="V810" s="241"/>
      <c r="W810" s="241"/>
      <c r="X810" s="241"/>
      <c r="Y810" s="241"/>
      <c r="Z810" s="241"/>
      <c r="AA810" s="241"/>
    </row>
    <row r="811">
      <c r="A811" s="243"/>
      <c r="B811" s="243"/>
      <c r="C811" s="241"/>
      <c r="D811" s="241"/>
      <c r="E811" s="241"/>
      <c r="F811" s="241"/>
      <c r="G811" s="241"/>
      <c r="H811" s="241"/>
      <c r="I811" s="241"/>
      <c r="J811" s="241"/>
      <c r="K811" s="241"/>
      <c r="L811" s="241"/>
      <c r="M811" s="241"/>
      <c r="N811" s="241"/>
      <c r="O811" s="241"/>
      <c r="P811" s="241"/>
      <c r="Q811" s="241"/>
      <c r="R811" s="241"/>
      <c r="S811" s="241"/>
      <c r="T811" s="241"/>
      <c r="U811" s="241"/>
      <c r="V811" s="241"/>
      <c r="W811" s="241"/>
      <c r="X811" s="241"/>
      <c r="Y811" s="241"/>
      <c r="Z811" s="241"/>
      <c r="AA811" s="241"/>
    </row>
    <row r="812">
      <c r="A812" s="243"/>
      <c r="B812" s="243"/>
      <c r="C812" s="241"/>
      <c r="D812" s="241"/>
      <c r="E812" s="241"/>
      <c r="F812" s="241"/>
      <c r="G812" s="241"/>
      <c r="H812" s="241"/>
      <c r="I812" s="241"/>
      <c r="J812" s="241"/>
      <c r="K812" s="241"/>
      <c r="L812" s="241"/>
      <c r="M812" s="241"/>
      <c r="N812" s="241"/>
      <c r="O812" s="241"/>
      <c r="P812" s="241"/>
      <c r="Q812" s="241"/>
      <c r="R812" s="241"/>
      <c r="S812" s="241"/>
      <c r="T812" s="241"/>
      <c r="U812" s="241"/>
      <c r="V812" s="241"/>
      <c r="W812" s="241"/>
      <c r="X812" s="241"/>
      <c r="Y812" s="241"/>
      <c r="Z812" s="241"/>
      <c r="AA812" s="241"/>
    </row>
    <row r="813">
      <c r="A813" s="243"/>
      <c r="B813" s="243"/>
      <c r="C813" s="241"/>
      <c r="D813" s="241"/>
      <c r="E813" s="241"/>
      <c r="F813" s="241"/>
      <c r="G813" s="241"/>
      <c r="H813" s="241"/>
      <c r="I813" s="241"/>
      <c r="J813" s="241"/>
      <c r="K813" s="241"/>
      <c r="L813" s="241"/>
      <c r="M813" s="241"/>
      <c r="N813" s="241"/>
      <c r="O813" s="241"/>
      <c r="P813" s="241"/>
      <c r="Q813" s="241"/>
      <c r="R813" s="241"/>
      <c r="S813" s="241"/>
      <c r="T813" s="241"/>
      <c r="U813" s="241"/>
      <c r="V813" s="241"/>
      <c r="W813" s="241"/>
      <c r="X813" s="241"/>
      <c r="Y813" s="241"/>
      <c r="Z813" s="241"/>
      <c r="AA813" s="241"/>
    </row>
    <row r="814">
      <c r="A814" s="243"/>
      <c r="B814" s="243"/>
      <c r="C814" s="241"/>
      <c r="D814" s="241"/>
      <c r="E814" s="241"/>
      <c r="F814" s="241"/>
      <c r="G814" s="241"/>
      <c r="H814" s="241"/>
      <c r="I814" s="241"/>
      <c r="J814" s="241"/>
      <c r="K814" s="241"/>
      <c r="L814" s="241"/>
      <c r="M814" s="241"/>
      <c r="N814" s="241"/>
      <c r="O814" s="241"/>
      <c r="P814" s="241"/>
      <c r="Q814" s="241"/>
      <c r="R814" s="241"/>
      <c r="S814" s="241"/>
      <c r="T814" s="241"/>
      <c r="U814" s="241"/>
      <c r="V814" s="241"/>
      <c r="W814" s="241"/>
      <c r="X814" s="241"/>
      <c r="Y814" s="241"/>
      <c r="Z814" s="241"/>
      <c r="AA814" s="241"/>
    </row>
    <row r="815">
      <c r="A815" s="243"/>
      <c r="B815" s="243"/>
      <c r="C815" s="241"/>
      <c r="D815" s="241"/>
      <c r="E815" s="241"/>
      <c r="F815" s="241"/>
      <c r="G815" s="241"/>
      <c r="H815" s="241"/>
      <c r="I815" s="241"/>
      <c r="J815" s="241"/>
      <c r="K815" s="241"/>
      <c r="L815" s="241"/>
      <c r="M815" s="241"/>
      <c r="N815" s="241"/>
      <c r="O815" s="241"/>
      <c r="P815" s="241"/>
      <c r="Q815" s="241"/>
      <c r="R815" s="241"/>
      <c r="S815" s="241"/>
      <c r="T815" s="241"/>
      <c r="U815" s="241"/>
      <c r="V815" s="241"/>
      <c r="W815" s="241"/>
      <c r="X815" s="241"/>
      <c r="Y815" s="241"/>
      <c r="Z815" s="241"/>
      <c r="AA815" s="241"/>
    </row>
    <row r="816">
      <c r="A816" s="243"/>
      <c r="B816" s="243"/>
      <c r="C816" s="241"/>
      <c r="D816" s="241"/>
      <c r="E816" s="241"/>
      <c r="F816" s="241"/>
      <c r="G816" s="241"/>
      <c r="H816" s="241"/>
      <c r="I816" s="241"/>
      <c r="J816" s="241"/>
      <c r="K816" s="241"/>
      <c r="L816" s="241"/>
      <c r="M816" s="241"/>
      <c r="N816" s="241"/>
      <c r="O816" s="241"/>
      <c r="P816" s="241"/>
      <c r="Q816" s="241"/>
      <c r="R816" s="241"/>
      <c r="S816" s="241"/>
      <c r="T816" s="241"/>
      <c r="U816" s="241"/>
      <c r="V816" s="241"/>
      <c r="W816" s="241"/>
      <c r="X816" s="241"/>
      <c r="Y816" s="241"/>
      <c r="Z816" s="241"/>
      <c r="AA816" s="241"/>
    </row>
    <row r="817">
      <c r="A817" s="243"/>
      <c r="B817" s="243"/>
      <c r="C817" s="241"/>
      <c r="D817" s="241"/>
      <c r="E817" s="241"/>
      <c r="F817" s="241"/>
      <c r="G817" s="241"/>
      <c r="H817" s="241"/>
      <c r="I817" s="241"/>
      <c r="J817" s="241"/>
      <c r="K817" s="241"/>
      <c r="L817" s="241"/>
      <c r="M817" s="241"/>
      <c r="N817" s="241"/>
      <c r="O817" s="241"/>
      <c r="P817" s="241"/>
      <c r="Q817" s="241"/>
      <c r="R817" s="241"/>
      <c r="S817" s="241"/>
      <c r="T817" s="241"/>
      <c r="U817" s="241"/>
      <c r="V817" s="241"/>
      <c r="W817" s="241"/>
      <c r="X817" s="241"/>
      <c r="Y817" s="241"/>
      <c r="Z817" s="241"/>
      <c r="AA817" s="241"/>
    </row>
    <row r="818">
      <c r="A818" s="243"/>
      <c r="B818" s="243"/>
      <c r="C818" s="241"/>
      <c r="D818" s="241"/>
      <c r="E818" s="241"/>
      <c r="F818" s="241"/>
      <c r="G818" s="241"/>
      <c r="H818" s="241"/>
      <c r="I818" s="241"/>
      <c r="J818" s="241"/>
      <c r="K818" s="241"/>
      <c r="L818" s="241"/>
      <c r="M818" s="241"/>
      <c r="N818" s="241"/>
      <c r="O818" s="241"/>
      <c r="P818" s="241"/>
      <c r="Q818" s="241"/>
      <c r="R818" s="241"/>
      <c r="S818" s="241"/>
      <c r="T818" s="241"/>
      <c r="U818" s="241"/>
      <c r="V818" s="241"/>
      <c r="W818" s="241"/>
      <c r="X818" s="241"/>
      <c r="Y818" s="241"/>
      <c r="Z818" s="241"/>
      <c r="AA818" s="241"/>
    </row>
    <row r="819">
      <c r="A819" s="243"/>
      <c r="B819" s="243"/>
      <c r="C819" s="241"/>
      <c r="D819" s="241"/>
      <c r="E819" s="241"/>
      <c r="F819" s="241"/>
      <c r="G819" s="241"/>
      <c r="H819" s="241"/>
      <c r="I819" s="241"/>
      <c r="J819" s="241"/>
      <c r="K819" s="241"/>
      <c r="L819" s="241"/>
      <c r="M819" s="241"/>
      <c r="N819" s="241"/>
      <c r="O819" s="241"/>
      <c r="P819" s="241"/>
      <c r="Q819" s="241"/>
      <c r="R819" s="241"/>
      <c r="S819" s="241"/>
      <c r="T819" s="241"/>
      <c r="U819" s="241"/>
      <c r="V819" s="241"/>
      <c r="W819" s="241"/>
      <c r="X819" s="241"/>
      <c r="Y819" s="241"/>
      <c r="Z819" s="241"/>
      <c r="AA819" s="241"/>
    </row>
    <row r="820">
      <c r="A820" s="243"/>
      <c r="B820" s="243"/>
      <c r="C820" s="241"/>
      <c r="D820" s="241"/>
      <c r="E820" s="241"/>
      <c r="F820" s="241"/>
      <c r="G820" s="241"/>
      <c r="H820" s="241"/>
      <c r="I820" s="241"/>
      <c r="J820" s="241"/>
      <c r="K820" s="241"/>
      <c r="L820" s="241"/>
      <c r="M820" s="241"/>
      <c r="N820" s="241"/>
      <c r="O820" s="241"/>
      <c r="P820" s="241"/>
      <c r="Q820" s="241"/>
      <c r="R820" s="241"/>
      <c r="S820" s="241"/>
      <c r="T820" s="241"/>
      <c r="U820" s="241"/>
      <c r="V820" s="241"/>
      <c r="W820" s="241"/>
      <c r="X820" s="241"/>
      <c r="Y820" s="241"/>
      <c r="Z820" s="241"/>
      <c r="AA820" s="241"/>
    </row>
    <row r="821">
      <c r="A821" s="243"/>
      <c r="B821" s="243"/>
      <c r="C821" s="241"/>
      <c r="D821" s="241"/>
      <c r="E821" s="241"/>
      <c r="F821" s="241"/>
      <c r="G821" s="241"/>
      <c r="H821" s="241"/>
      <c r="I821" s="241"/>
      <c r="J821" s="241"/>
      <c r="K821" s="241"/>
      <c r="L821" s="241"/>
      <c r="M821" s="241"/>
      <c r="N821" s="241"/>
      <c r="O821" s="241"/>
      <c r="P821" s="241"/>
      <c r="Q821" s="241"/>
      <c r="R821" s="241"/>
      <c r="S821" s="241"/>
      <c r="T821" s="241"/>
      <c r="U821" s="241"/>
      <c r="V821" s="241"/>
      <c r="W821" s="241"/>
      <c r="X821" s="241"/>
      <c r="Y821" s="241"/>
      <c r="Z821" s="241"/>
      <c r="AA821" s="241"/>
    </row>
    <row r="822">
      <c r="A822" s="243"/>
      <c r="B822" s="243"/>
      <c r="C822" s="241"/>
      <c r="D822" s="241"/>
      <c r="E822" s="241"/>
      <c r="F822" s="241"/>
      <c r="G822" s="241"/>
      <c r="H822" s="241"/>
      <c r="I822" s="241"/>
      <c r="J822" s="241"/>
      <c r="K822" s="241"/>
      <c r="L822" s="241"/>
      <c r="M822" s="241"/>
      <c r="N822" s="241"/>
      <c r="O822" s="241"/>
      <c r="P822" s="241"/>
      <c r="Q822" s="241"/>
      <c r="R822" s="241"/>
      <c r="S822" s="241"/>
      <c r="T822" s="241"/>
      <c r="U822" s="241"/>
      <c r="V822" s="241"/>
      <c r="W822" s="241"/>
      <c r="X822" s="241"/>
      <c r="Y822" s="241"/>
      <c r="Z822" s="241"/>
      <c r="AA822" s="241"/>
    </row>
    <row r="823">
      <c r="A823" s="243"/>
      <c r="B823" s="243"/>
      <c r="C823" s="241"/>
      <c r="D823" s="241"/>
      <c r="E823" s="241"/>
      <c r="F823" s="241"/>
      <c r="G823" s="241"/>
      <c r="H823" s="241"/>
      <c r="I823" s="241"/>
      <c r="J823" s="241"/>
      <c r="K823" s="241"/>
      <c r="L823" s="241"/>
      <c r="M823" s="241"/>
      <c r="N823" s="241"/>
      <c r="O823" s="241"/>
      <c r="P823" s="241"/>
      <c r="Q823" s="241"/>
      <c r="R823" s="241"/>
      <c r="S823" s="241"/>
      <c r="T823" s="241"/>
      <c r="U823" s="241"/>
      <c r="V823" s="241"/>
      <c r="W823" s="241"/>
      <c r="X823" s="241"/>
      <c r="Y823" s="241"/>
      <c r="Z823" s="241"/>
      <c r="AA823" s="241"/>
    </row>
    <row r="824">
      <c r="A824" s="243"/>
      <c r="B824" s="243"/>
      <c r="C824" s="241"/>
      <c r="D824" s="241"/>
      <c r="E824" s="241"/>
      <c r="F824" s="241"/>
      <c r="G824" s="241"/>
      <c r="H824" s="241"/>
      <c r="I824" s="241"/>
      <c r="J824" s="241"/>
      <c r="K824" s="241"/>
      <c r="L824" s="241"/>
      <c r="M824" s="241"/>
      <c r="N824" s="241"/>
      <c r="O824" s="241"/>
      <c r="P824" s="241"/>
      <c r="Q824" s="241"/>
      <c r="R824" s="241"/>
      <c r="S824" s="241"/>
      <c r="T824" s="241"/>
      <c r="U824" s="241"/>
      <c r="V824" s="241"/>
      <c r="W824" s="241"/>
      <c r="X824" s="241"/>
      <c r="Y824" s="241"/>
      <c r="Z824" s="241"/>
      <c r="AA824" s="241"/>
    </row>
    <row r="825">
      <c r="A825" s="243"/>
      <c r="B825" s="243"/>
      <c r="C825" s="241"/>
      <c r="D825" s="241"/>
      <c r="E825" s="241"/>
      <c r="F825" s="241"/>
      <c r="G825" s="241"/>
      <c r="H825" s="241"/>
      <c r="I825" s="241"/>
      <c r="J825" s="241"/>
      <c r="K825" s="241"/>
      <c r="L825" s="241"/>
      <c r="M825" s="241"/>
      <c r="N825" s="241"/>
      <c r="O825" s="241"/>
      <c r="P825" s="241"/>
      <c r="Q825" s="241"/>
      <c r="R825" s="241"/>
      <c r="S825" s="241"/>
      <c r="T825" s="241"/>
      <c r="U825" s="241"/>
      <c r="V825" s="241"/>
      <c r="W825" s="241"/>
      <c r="X825" s="241"/>
      <c r="Y825" s="241"/>
      <c r="Z825" s="241"/>
      <c r="AA825" s="241"/>
    </row>
    <row r="826">
      <c r="A826" s="243"/>
      <c r="B826" s="243"/>
      <c r="C826" s="241"/>
      <c r="D826" s="241"/>
      <c r="E826" s="241"/>
      <c r="F826" s="241"/>
      <c r="G826" s="241"/>
      <c r="H826" s="241"/>
      <c r="I826" s="241"/>
      <c r="J826" s="241"/>
      <c r="K826" s="241"/>
      <c r="L826" s="241"/>
      <c r="M826" s="241"/>
      <c r="N826" s="241"/>
      <c r="O826" s="241"/>
      <c r="P826" s="241"/>
      <c r="Q826" s="241"/>
      <c r="R826" s="241"/>
      <c r="S826" s="241"/>
      <c r="T826" s="241"/>
      <c r="U826" s="241"/>
      <c r="V826" s="241"/>
      <c r="W826" s="241"/>
      <c r="X826" s="241"/>
      <c r="Y826" s="241"/>
      <c r="Z826" s="241"/>
      <c r="AA826" s="241"/>
    </row>
    <row r="827">
      <c r="A827" s="243"/>
      <c r="B827" s="243"/>
      <c r="C827" s="241"/>
      <c r="D827" s="241"/>
      <c r="E827" s="241"/>
      <c r="F827" s="241"/>
      <c r="G827" s="241"/>
      <c r="H827" s="241"/>
      <c r="I827" s="241"/>
      <c r="J827" s="241"/>
      <c r="K827" s="241"/>
      <c r="L827" s="241"/>
      <c r="M827" s="241"/>
      <c r="N827" s="241"/>
      <c r="O827" s="241"/>
      <c r="P827" s="241"/>
      <c r="Q827" s="241"/>
      <c r="R827" s="241"/>
      <c r="S827" s="241"/>
      <c r="T827" s="241"/>
      <c r="U827" s="241"/>
      <c r="V827" s="241"/>
      <c r="W827" s="241"/>
      <c r="X827" s="241"/>
      <c r="Y827" s="241"/>
      <c r="Z827" s="241"/>
      <c r="AA827" s="241"/>
    </row>
    <row r="828">
      <c r="A828" s="243"/>
      <c r="B828" s="243"/>
      <c r="C828" s="241"/>
      <c r="D828" s="241"/>
      <c r="E828" s="241"/>
      <c r="F828" s="241"/>
      <c r="G828" s="241"/>
      <c r="H828" s="241"/>
      <c r="I828" s="241"/>
      <c r="J828" s="241"/>
      <c r="K828" s="241"/>
      <c r="L828" s="241"/>
      <c r="M828" s="241"/>
      <c r="N828" s="241"/>
      <c r="O828" s="241"/>
      <c r="P828" s="241"/>
      <c r="Q828" s="241"/>
      <c r="R828" s="241"/>
      <c r="S828" s="241"/>
      <c r="T828" s="241"/>
      <c r="U828" s="241"/>
      <c r="V828" s="241"/>
      <c r="W828" s="241"/>
      <c r="X828" s="241"/>
      <c r="Y828" s="241"/>
      <c r="Z828" s="241"/>
      <c r="AA828" s="241"/>
    </row>
    <row r="829">
      <c r="A829" s="243"/>
      <c r="B829" s="243"/>
      <c r="C829" s="241"/>
      <c r="D829" s="241"/>
      <c r="E829" s="241"/>
      <c r="F829" s="241"/>
      <c r="G829" s="241"/>
      <c r="H829" s="241"/>
      <c r="I829" s="241"/>
      <c r="J829" s="241"/>
      <c r="K829" s="241"/>
      <c r="L829" s="241"/>
      <c r="M829" s="241"/>
      <c r="N829" s="241"/>
      <c r="O829" s="241"/>
      <c r="P829" s="241"/>
      <c r="Q829" s="241"/>
      <c r="R829" s="241"/>
      <c r="S829" s="241"/>
      <c r="T829" s="241"/>
      <c r="U829" s="241"/>
      <c r="V829" s="241"/>
      <c r="W829" s="241"/>
      <c r="X829" s="241"/>
      <c r="Y829" s="241"/>
      <c r="Z829" s="241"/>
      <c r="AA829" s="241"/>
    </row>
    <row r="830">
      <c r="A830" s="243"/>
      <c r="B830" s="243"/>
      <c r="C830" s="241"/>
      <c r="D830" s="241"/>
      <c r="E830" s="241"/>
      <c r="F830" s="241"/>
      <c r="G830" s="241"/>
      <c r="H830" s="241"/>
      <c r="I830" s="241"/>
      <c r="J830" s="241"/>
      <c r="K830" s="241"/>
      <c r="L830" s="241"/>
      <c r="M830" s="241"/>
      <c r="N830" s="241"/>
      <c r="O830" s="241"/>
      <c r="P830" s="241"/>
      <c r="Q830" s="241"/>
      <c r="R830" s="241"/>
      <c r="S830" s="241"/>
      <c r="T830" s="241"/>
      <c r="U830" s="241"/>
      <c r="V830" s="241"/>
      <c r="W830" s="241"/>
      <c r="X830" s="241"/>
      <c r="Y830" s="241"/>
      <c r="Z830" s="241"/>
      <c r="AA830" s="241"/>
    </row>
    <row r="831">
      <c r="A831" s="243"/>
      <c r="B831" s="243"/>
      <c r="C831" s="241"/>
      <c r="D831" s="241"/>
      <c r="E831" s="241"/>
      <c r="F831" s="241"/>
      <c r="G831" s="241"/>
      <c r="H831" s="241"/>
      <c r="I831" s="241"/>
      <c r="J831" s="241"/>
      <c r="K831" s="241"/>
      <c r="L831" s="241"/>
      <c r="M831" s="241"/>
      <c r="N831" s="241"/>
      <c r="O831" s="241"/>
      <c r="P831" s="241"/>
      <c r="Q831" s="241"/>
      <c r="R831" s="241"/>
      <c r="S831" s="241"/>
      <c r="T831" s="241"/>
      <c r="U831" s="241"/>
      <c r="V831" s="241"/>
      <c r="W831" s="241"/>
      <c r="X831" s="241"/>
      <c r="Y831" s="241"/>
      <c r="Z831" s="241"/>
      <c r="AA831" s="241"/>
    </row>
    <row r="832">
      <c r="A832" s="243"/>
      <c r="B832" s="243"/>
      <c r="C832" s="241"/>
      <c r="D832" s="241"/>
      <c r="E832" s="241"/>
      <c r="F832" s="241"/>
      <c r="G832" s="241"/>
      <c r="H832" s="241"/>
      <c r="I832" s="241"/>
      <c r="J832" s="241"/>
      <c r="K832" s="241"/>
      <c r="L832" s="241"/>
      <c r="M832" s="241"/>
      <c r="N832" s="241"/>
      <c r="O832" s="241"/>
      <c r="P832" s="241"/>
      <c r="Q832" s="241"/>
      <c r="R832" s="241"/>
      <c r="S832" s="241"/>
      <c r="T832" s="241"/>
      <c r="U832" s="241"/>
      <c r="V832" s="241"/>
      <c r="W832" s="241"/>
      <c r="X832" s="241"/>
      <c r="Y832" s="241"/>
      <c r="Z832" s="241"/>
      <c r="AA832" s="241"/>
    </row>
    <row r="833">
      <c r="A833" s="243"/>
      <c r="B833" s="243"/>
      <c r="C833" s="241"/>
      <c r="D833" s="241"/>
      <c r="E833" s="241"/>
      <c r="F833" s="241"/>
      <c r="G833" s="241"/>
      <c r="H833" s="241"/>
      <c r="I833" s="241"/>
      <c r="J833" s="241"/>
      <c r="K833" s="241"/>
      <c r="L833" s="241"/>
      <c r="M833" s="241"/>
      <c r="N833" s="241"/>
      <c r="O833" s="241"/>
      <c r="P833" s="241"/>
      <c r="Q833" s="241"/>
      <c r="R833" s="241"/>
      <c r="S833" s="241"/>
      <c r="T833" s="241"/>
      <c r="U833" s="241"/>
      <c r="V833" s="241"/>
      <c r="W833" s="241"/>
      <c r="X833" s="241"/>
      <c r="Y833" s="241"/>
      <c r="Z833" s="241"/>
      <c r="AA833" s="241"/>
    </row>
    <row r="834">
      <c r="A834" s="243"/>
      <c r="B834" s="243"/>
      <c r="C834" s="241"/>
      <c r="D834" s="241"/>
      <c r="E834" s="241"/>
      <c r="F834" s="241"/>
      <c r="G834" s="241"/>
      <c r="H834" s="241"/>
      <c r="I834" s="241"/>
      <c r="J834" s="241"/>
      <c r="K834" s="241"/>
      <c r="L834" s="241"/>
      <c r="M834" s="241"/>
      <c r="N834" s="241"/>
      <c r="O834" s="241"/>
      <c r="P834" s="241"/>
      <c r="Q834" s="241"/>
      <c r="R834" s="241"/>
      <c r="S834" s="241"/>
      <c r="T834" s="241"/>
      <c r="U834" s="241"/>
      <c r="V834" s="241"/>
      <c r="W834" s="241"/>
      <c r="X834" s="241"/>
      <c r="Y834" s="241"/>
      <c r="Z834" s="241"/>
      <c r="AA834" s="241"/>
    </row>
    <row r="835">
      <c r="A835" s="243"/>
      <c r="B835" s="243"/>
      <c r="C835" s="241"/>
      <c r="D835" s="241"/>
      <c r="E835" s="241"/>
      <c r="F835" s="241"/>
      <c r="G835" s="241"/>
      <c r="H835" s="241"/>
      <c r="I835" s="241"/>
      <c r="J835" s="241"/>
      <c r="K835" s="241"/>
      <c r="L835" s="241"/>
      <c r="M835" s="241"/>
      <c r="N835" s="241"/>
      <c r="O835" s="241"/>
      <c r="P835" s="241"/>
      <c r="Q835" s="241"/>
      <c r="R835" s="241"/>
      <c r="S835" s="241"/>
      <c r="T835" s="241"/>
      <c r="U835" s="241"/>
      <c r="V835" s="241"/>
      <c r="W835" s="241"/>
      <c r="X835" s="241"/>
      <c r="Y835" s="241"/>
      <c r="Z835" s="241"/>
      <c r="AA835" s="241"/>
    </row>
    <row r="836">
      <c r="A836" s="243"/>
      <c r="B836" s="243"/>
      <c r="C836" s="241"/>
      <c r="D836" s="241"/>
      <c r="E836" s="241"/>
      <c r="F836" s="241"/>
      <c r="G836" s="241"/>
      <c r="H836" s="241"/>
      <c r="I836" s="241"/>
      <c r="J836" s="241"/>
      <c r="K836" s="241"/>
      <c r="L836" s="241"/>
      <c r="M836" s="241"/>
      <c r="N836" s="241"/>
      <c r="O836" s="241"/>
      <c r="P836" s="241"/>
      <c r="Q836" s="241"/>
      <c r="R836" s="241"/>
      <c r="S836" s="241"/>
      <c r="T836" s="241"/>
      <c r="U836" s="241"/>
      <c r="V836" s="241"/>
      <c r="W836" s="241"/>
      <c r="X836" s="241"/>
      <c r="Y836" s="241"/>
      <c r="Z836" s="241"/>
      <c r="AA836" s="241"/>
    </row>
    <row r="837">
      <c r="A837" s="243"/>
      <c r="B837" s="243"/>
      <c r="C837" s="241"/>
      <c r="D837" s="241"/>
      <c r="E837" s="241"/>
      <c r="F837" s="241"/>
      <c r="G837" s="241"/>
      <c r="H837" s="241"/>
      <c r="I837" s="241"/>
      <c r="J837" s="241"/>
      <c r="K837" s="241"/>
      <c r="L837" s="241"/>
      <c r="M837" s="241"/>
      <c r="N837" s="241"/>
      <c r="O837" s="241"/>
      <c r="P837" s="241"/>
      <c r="Q837" s="241"/>
      <c r="R837" s="241"/>
      <c r="S837" s="241"/>
      <c r="T837" s="241"/>
      <c r="U837" s="241"/>
      <c r="V837" s="241"/>
      <c r="W837" s="241"/>
      <c r="X837" s="241"/>
      <c r="Y837" s="241"/>
      <c r="Z837" s="241"/>
      <c r="AA837" s="241"/>
    </row>
    <row r="838">
      <c r="A838" s="243"/>
      <c r="B838" s="243"/>
      <c r="C838" s="241"/>
      <c r="D838" s="241"/>
      <c r="E838" s="241"/>
      <c r="F838" s="241"/>
      <c r="G838" s="241"/>
      <c r="H838" s="241"/>
      <c r="I838" s="241"/>
      <c r="J838" s="241"/>
      <c r="K838" s="241"/>
      <c r="L838" s="241"/>
      <c r="M838" s="241"/>
      <c r="N838" s="241"/>
      <c r="O838" s="241"/>
      <c r="P838" s="241"/>
      <c r="Q838" s="241"/>
      <c r="R838" s="241"/>
      <c r="S838" s="241"/>
      <c r="T838" s="241"/>
      <c r="U838" s="241"/>
      <c r="V838" s="241"/>
      <c r="W838" s="241"/>
      <c r="X838" s="241"/>
      <c r="Y838" s="241"/>
      <c r="Z838" s="241"/>
      <c r="AA838" s="241"/>
    </row>
    <row r="839">
      <c r="A839" s="243"/>
      <c r="B839" s="243"/>
      <c r="C839" s="241"/>
      <c r="D839" s="241"/>
      <c r="E839" s="241"/>
      <c r="F839" s="241"/>
      <c r="G839" s="241"/>
      <c r="H839" s="241"/>
      <c r="I839" s="241"/>
      <c r="J839" s="241"/>
      <c r="K839" s="241"/>
      <c r="L839" s="241"/>
      <c r="M839" s="241"/>
      <c r="N839" s="241"/>
      <c r="O839" s="241"/>
      <c r="P839" s="241"/>
      <c r="Q839" s="241"/>
      <c r="R839" s="241"/>
      <c r="S839" s="241"/>
      <c r="T839" s="241"/>
      <c r="U839" s="241"/>
      <c r="V839" s="241"/>
      <c r="W839" s="241"/>
      <c r="X839" s="241"/>
      <c r="Y839" s="241"/>
      <c r="Z839" s="241"/>
      <c r="AA839" s="241"/>
    </row>
    <row r="840">
      <c r="A840" s="243"/>
      <c r="B840" s="243"/>
      <c r="C840" s="241"/>
      <c r="D840" s="241"/>
      <c r="E840" s="241"/>
      <c r="F840" s="241"/>
      <c r="G840" s="241"/>
      <c r="H840" s="241"/>
      <c r="I840" s="241"/>
      <c r="J840" s="241"/>
      <c r="K840" s="241"/>
      <c r="L840" s="241"/>
      <c r="M840" s="241"/>
      <c r="N840" s="241"/>
      <c r="O840" s="241"/>
      <c r="P840" s="241"/>
      <c r="Q840" s="241"/>
      <c r="R840" s="241"/>
      <c r="S840" s="241"/>
      <c r="T840" s="241"/>
      <c r="U840" s="241"/>
      <c r="V840" s="241"/>
      <c r="W840" s="241"/>
      <c r="X840" s="241"/>
      <c r="Y840" s="241"/>
      <c r="Z840" s="241"/>
      <c r="AA840" s="241"/>
    </row>
    <row r="841">
      <c r="A841" s="243"/>
      <c r="B841" s="243"/>
      <c r="C841" s="241"/>
      <c r="D841" s="241"/>
      <c r="E841" s="241"/>
      <c r="F841" s="241"/>
      <c r="G841" s="241"/>
      <c r="H841" s="241"/>
      <c r="I841" s="241"/>
      <c r="J841" s="241"/>
      <c r="K841" s="241"/>
      <c r="L841" s="241"/>
      <c r="M841" s="241"/>
      <c r="N841" s="241"/>
      <c r="O841" s="241"/>
      <c r="P841" s="241"/>
      <c r="Q841" s="241"/>
      <c r="R841" s="241"/>
      <c r="S841" s="241"/>
      <c r="T841" s="241"/>
      <c r="U841" s="241"/>
      <c r="V841" s="241"/>
      <c r="W841" s="241"/>
      <c r="X841" s="241"/>
      <c r="Y841" s="241"/>
      <c r="Z841" s="241"/>
      <c r="AA841" s="241"/>
    </row>
    <row r="842">
      <c r="A842" s="243"/>
      <c r="B842" s="243"/>
      <c r="C842" s="241"/>
      <c r="D842" s="241"/>
      <c r="E842" s="241"/>
      <c r="F842" s="241"/>
      <c r="G842" s="241"/>
      <c r="H842" s="241"/>
      <c r="I842" s="241"/>
      <c r="J842" s="241"/>
      <c r="K842" s="241"/>
      <c r="L842" s="241"/>
      <c r="M842" s="241"/>
      <c r="N842" s="241"/>
      <c r="O842" s="241"/>
      <c r="P842" s="241"/>
      <c r="Q842" s="241"/>
      <c r="R842" s="241"/>
      <c r="S842" s="241"/>
      <c r="T842" s="241"/>
      <c r="U842" s="241"/>
      <c r="V842" s="241"/>
      <c r="W842" s="241"/>
      <c r="X842" s="241"/>
      <c r="Y842" s="241"/>
      <c r="Z842" s="241"/>
      <c r="AA842" s="241"/>
    </row>
    <row r="843">
      <c r="A843" s="243"/>
      <c r="B843" s="243"/>
      <c r="C843" s="241"/>
      <c r="D843" s="241"/>
      <c r="E843" s="241"/>
      <c r="F843" s="241"/>
      <c r="G843" s="241"/>
      <c r="H843" s="241"/>
      <c r="I843" s="241"/>
      <c r="J843" s="241"/>
      <c r="K843" s="241"/>
      <c r="L843" s="241"/>
      <c r="M843" s="241"/>
      <c r="N843" s="241"/>
      <c r="O843" s="241"/>
      <c r="P843" s="241"/>
      <c r="Q843" s="241"/>
      <c r="R843" s="241"/>
      <c r="S843" s="241"/>
      <c r="T843" s="241"/>
      <c r="U843" s="241"/>
      <c r="V843" s="241"/>
      <c r="W843" s="241"/>
      <c r="X843" s="241"/>
      <c r="Y843" s="241"/>
      <c r="Z843" s="241"/>
      <c r="AA843" s="241"/>
    </row>
    <row r="844">
      <c r="A844" s="243"/>
      <c r="B844" s="243"/>
      <c r="C844" s="241"/>
      <c r="D844" s="241"/>
      <c r="E844" s="241"/>
      <c r="F844" s="241"/>
      <c r="G844" s="241"/>
      <c r="H844" s="241"/>
      <c r="I844" s="241"/>
      <c r="J844" s="241"/>
      <c r="K844" s="241"/>
      <c r="L844" s="241"/>
      <c r="M844" s="241"/>
      <c r="N844" s="241"/>
      <c r="O844" s="241"/>
      <c r="P844" s="241"/>
      <c r="Q844" s="241"/>
      <c r="R844" s="241"/>
      <c r="S844" s="241"/>
      <c r="T844" s="241"/>
      <c r="U844" s="241"/>
      <c r="V844" s="241"/>
      <c r="W844" s="241"/>
      <c r="X844" s="241"/>
      <c r="Y844" s="241"/>
      <c r="Z844" s="241"/>
      <c r="AA844" s="241"/>
    </row>
    <row r="845">
      <c r="A845" s="243"/>
      <c r="B845" s="243"/>
      <c r="C845" s="241"/>
      <c r="D845" s="241"/>
      <c r="E845" s="241"/>
      <c r="F845" s="241"/>
      <c r="G845" s="241"/>
      <c r="H845" s="241"/>
      <c r="I845" s="241"/>
      <c r="J845" s="241"/>
      <c r="K845" s="241"/>
      <c r="L845" s="241"/>
      <c r="M845" s="241"/>
      <c r="N845" s="241"/>
      <c r="O845" s="241"/>
      <c r="P845" s="241"/>
      <c r="Q845" s="241"/>
      <c r="R845" s="241"/>
      <c r="S845" s="241"/>
      <c r="T845" s="241"/>
      <c r="U845" s="241"/>
      <c r="V845" s="241"/>
      <c r="W845" s="241"/>
      <c r="X845" s="241"/>
      <c r="Y845" s="241"/>
      <c r="Z845" s="241"/>
      <c r="AA845" s="241"/>
    </row>
    <row r="846">
      <c r="A846" s="243"/>
      <c r="B846" s="243"/>
      <c r="C846" s="241"/>
      <c r="D846" s="241"/>
      <c r="E846" s="241"/>
      <c r="F846" s="241"/>
      <c r="G846" s="241"/>
      <c r="H846" s="241"/>
      <c r="I846" s="241"/>
      <c r="J846" s="241"/>
      <c r="K846" s="241"/>
      <c r="L846" s="241"/>
      <c r="M846" s="241"/>
      <c r="N846" s="241"/>
      <c r="O846" s="241"/>
      <c r="P846" s="241"/>
      <c r="Q846" s="241"/>
      <c r="R846" s="241"/>
      <c r="S846" s="241"/>
      <c r="T846" s="241"/>
      <c r="U846" s="241"/>
      <c r="V846" s="241"/>
      <c r="W846" s="241"/>
      <c r="X846" s="241"/>
      <c r="Y846" s="241"/>
      <c r="Z846" s="241"/>
      <c r="AA846" s="241"/>
    </row>
    <row r="847">
      <c r="A847" s="243"/>
      <c r="B847" s="243"/>
      <c r="C847" s="241"/>
      <c r="D847" s="241"/>
      <c r="E847" s="241"/>
      <c r="F847" s="241"/>
      <c r="G847" s="241"/>
      <c r="H847" s="241"/>
      <c r="I847" s="241"/>
      <c r="J847" s="241"/>
      <c r="K847" s="241"/>
      <c r="L847" s="241"/>
      <c r="M847" s="241"/>
      <c r="N847" s="241"/>
      <c r="O847" s="241"/>
      <c r="P847" s="241"/>
      <c r="Q847" s="241"/>
      <c r="R847" s="241"/>
      <c r="S847" s="241"/>
      <c r="T847" s="241"/>
      <c r="U847" s="241"/>
      <c r="V847" s="241"/>
      <c r="W847" s="241"/>
      <c r="X847" s="241"/>
      <c r="Y847" s="241"/>
      <c r="Z847" s="241"/>
      <c r="AA847" s="241"/>
    </row>
    <row r="848">
      <c r="A848" s="243"/>
      <c r="B848" s="243"/>
      <c r="C848" s="241"/>
      <c r="D848" s="241"/>
      <c r="E848" s="241"/>
      <c r="F848" s="241"/>
      <c r="G848" s="241"/>
      <c r="H848" s="241"/>
      <c r="I848" s="241"/>
      <c r="J848" s="241"/>
      <c r="K848" s="241"/>
      <c r="L848" s="241"/>
      <c r="M848" s="241"/>
      <c r="N848" s="241"/>
      <c r="O848" s="241"/>
      <c r="P848" s="241"/>
      <c r="Q848" s="241"/>
      <c r="R848" s="241"/>
      <c r="S848" s="241"/>
      <c r="T848" s="241"/>
      <c r="U848" s="241"/>
      <c r="V848" s="241"/>
      <c r="W848" s="241"/>
      <c r="X848" s="241"/>
      <c r="Y848" s="241"/>
      <c r="Z848" s="241"/>
      <c r="AA848" s="241"/>
    </row>
    <row r="849">
      <c r="A849" s="243"/>
      <c r="B849" s="243"/>
      <c r="C849" s="241"/>
      <c r="D849" s="241"/>
      <c r="E849" s="241"/>
      <c r="F849" s="241"/>
      <c r="G849" s="241"/>
      <c r="H849" s="241"/>
      <c r="I849" s="241"/>
      <c r="J849" s="241"/>
      <c r="K849" s="241"/>
      <c r="L849" s="241"/>
      <c r="M849" s="241"/>
      <c r="N849" s="241"/>
      <c r="O849" s="241"/>
      <c r="P849" s="241"/>
      <c r="Q849" s="241"/>
      <c r="R849" s="241"/>
      <c r="S849" s="241"/>
      <c r="T849" s="241"/>
      <c r="U849" s="241"/>
      <c r="V849" s="241"/>
      <c r="W849" s="241"/>
      <c r="X849" s="241"/>
      <c r="Y849" s="241"/>
      <c r="Z849" s="241"/>
      <c r="AA849" s="241"/>
    </row>
    <row r="850">
      <c r="A850" s="243"/>
      <c r="B850" s="243"/>
      <c r="C850" s="241"/>
      <c r="D850" s="241"/>
      <c r="E850" s="241"/>
      <c r="F850" s="241"/>
      <c r="G850" s="241"/>
      <c r="H850" s="241"/>
      <c r="I850" s="241"/>
      <c r="J850" s="241"/>
      <c r="K850" s="241"/>
      <c r="L850" s="241"/>
      <c r="M850" s="241"/>
      <c r="N850" s="241"/>
      <c r="O850" s="241"/>
      <c r="P850" s="241"/>
      <c r="Q850" s="241"/>
      <c r="R850" s="241"/>
      <c r="S850" s="241"/>
      <c r="T850" s="241"/>
      <c r="U850" s="241"/>
      <c r="V850" s="241"/>
      <c r="W850" s="241"/>
      <c r="X850" s="241"/>
      <c r="Y850" s="241"/>
      <c r="Z850" s="241"/>
      <c r="AA850" s="241"/>
    </row>
    <row r="851">
      <c r="A851" s="243"/>
      <c r="B851" s="243"/>
      <c r="C851" s="241"/>
      <c r="D851" s="241"/>
      <c r="E851" s="241"/>
      <c r="F851" s="241"/>
      <c r="G851" s="241"/>
      <c r="H851" s="241"/>
      <c r="I851" s="241"/>
      <c r="J851" s="241"/>
      <c r="K851" s="241"/>
      <c r="L851" s="241"/>
      <c r="M851" s="241"/>
      <c r="N851" s="241"/>
      <c r="O851" s="241"/>
      <c r="P851" s="241"/>
      <c r="Q851" s="241"/>
      <c r="R851" s="241"/>
      <c r="S851" s="241"/>
      <c r="T851" s="241"/>
      <c r="U851" s="241"/>
      <c r="V851" s="241"/>
      <c r="W851" s="241"/>
      <c r="X851" s="241"/>
      <c r="Y851" s="241"/>
      <c r="Z851" s="241"/>
      <c r="AA851" s="241"/>
    </row>
    <row r="852">
      <c r="A852" s="243"/>
      <c r="B852" s="243"/>
      <c r="C852" s="241"/>
      <c r="D852" s="241"/>
      <c r="E852" s="241"/>
      <c r="F852" s="241"/>
      <c r="G852" s="241"/>
      <c r="H852" s="241"/>
      <c r="I852" s="241"/>
      <c r="J852" s="241"/>
      <c r="K852" s="241"/>
      <c r="L852" s="241"/>
      <c r="M852" s="241"/>
      <c r="N852" s="241"/>
      <c r="O852" s="241"/>
      <c r="P852" s="241"/>
      <c r="Q852" s="241"/>
      <c r="R852" s="241"/>
      <c r="S852" s="241"/>
      <c r="T852" s="241"/>
      <c r="U852" s="241"/>
      <c r="V852" s="241"/>
      <c r="W852" s="241"/>
      <c r="X852" s="241"/>
      <c r="Y852" s="241"/>
      <c r="Z852" s="241"/>
      <c r="AA852" s="241"/>
    </row>
    <row r="853">
      <c r="A853" s="243"/>
      <c r="B853" s="243"/>
      <c r="C853" s="241"/>
      <c r="D853" s="241"/>
      <c r="E853" s="241"/>
      <c r="F853" s="241"/>
      <c r="G853" s="241"/>
      <c r="H853" s="241"/>
      <c r="I853" s="241"/>
      <c r="J853" s="241"/>
      <c r="K853" s="241"/>
      <c r="L853" s="241"/>
      <c r="M853" s="241"/>
      <c r="N853" s="241"/>
      <c r="O853" s="241"/>
      <c r="P853" s="241"/>
      <c r="Q853" s="241"/>
      <c r="R853" s="241"/>
      <c r="S853" s="241"/>
      <c r="T853" s="241"/>
      <c r="U853" s="241"/>
      <c r="V853" s="241"/>
      <c r="W853" s="241"/>
      <c r="X853" s="241"/>
      <c r="Y853" s="241"/>
      <c r="Z853" s="241"/>
      <c r="AA853" s="241"/>
    </row>
    <row r="854">
      <c r="A854" s="243"/>
      <c r="B854" s="243"/>
      <c r="C854" s="241"/>
      <c r="D854" s="241"/>
      <c r="E854" s="241"/>
      <c r="F854" s="241"/>
      <c r="G854" s="241"/>
      <c r="H854" s="241"/>
      <c r="I854" s="241"/>
      <c r="J854" s="241"/>
      <c r="K854" s="241"/>
      <c r="L854" s="241"/>
      <c r="M854" s="241"/>
      <c r="N854" s="241"/>
      <c r="O854" s="241"/>
      <c r="P854" s="241"/>
      <c r="Q854" s="241"/>
      <c r="R854" s="241"/>
      <c r="S854" s="241"/>
      <c r="T854" s="241"/>
      <c r="U854" s="241"/>
      <c r="V854" s="241"/>
      <c r="W854" s="241"/>
      <c r="X854" s="241"/>
      <c r="Y854" s="241"/>
      <c r="Z854" s="241"/>
      <c r="AA854" s="241"/>
    </row>
    <row r="855">
      <c r="A855" s="243"/>
      <c r="B855" s="243"/>
      <c r="C855" s="241"/>
      <c r="D855" s="241"/>
      <c r="E855" s="241"/>
      <c r="F855" s="241"/>
      <c r="G855" s="241"/>
      <c r="H855" s="241"/>
      <c r="I855" s="241"/>
      <c r="J855" s="241"/>
      <c r="K855" s="241"/>
      <c r="L855" s="241"/>
      <c r="M855" s="241"/>
      <c r="N855" s="241"/>
      <c r="O855" s="241"/>
      <c r="P855" s="241"/>
      <c r="Q855" s="241"/>
      <c r="R855" s="241"/>
      <c r="S855" s="241"/>
      <c r="T855" s="241"/>
      <c r="U855" s="241"/>
      <c r="V855" s="241"/>
      <c r="W855" s="241"/>
      <c r="X855" s="241"/>
      <c r="Y855" s="241"/>
      <c r="Z855" s="241"/>
      <c r="AA855" s="241"/>
    </row>
    <row r="856">
      <c r="A856" s="243"/>
      <c r="B856" s="243"/>
      <c r="C856" s="241"/>
      <c r="D856" s="241"/>
      <c r="E856" s="241"/>
      <c r="F856" s="241"/>
      <c r="G856" s="241"/>
      <c r="H856" s="241"/>
      <c r="I856" s="241"/>
      <c r="J856" s="241"/>
      <c r="K856" s="241"/>
      <c r="L856" s="241"/>
      <c r="M856" s="241"/>
      <c r="N856" s="241"/>
      <c r="O856" s="241"/>
      <c r="P856" s="241"/>
      <c r="Q856" s="241"/>
      <c r="R856" s="241"/>
      <c r="S856" s="241"/>
      <c r="T856" s="241"/>
      <c r="U856" s="241"/>
      <c r="V856" s="241"/>
      <c r="W856" s="241"/>
      <c r="X856" s="241"/>
      <c r="Y856" s="241"/>
      <c r="Z856" s="241"/>
      <c r="AA856" s="241"/>
    </row>
    <row r="857">
      <c r="A857" s="243"/>
      <c r="B857" s="243"/>
      <c r="C857" s="241"/>
      <c r="D857" s="241"/>
      <c r="E857" s="241"/>
      <c r="F857" s="241"/>
      <c r="G857" s="241"/>
      <c r="H857" s="241"/>
      <c r="I857" s="241"/>
      <c r="J857" s="241"/>
      <c r="K857" s="241"/>
      <c r="L857" s="241"/>
      <c r="M857" s="241"/>
      <c r="N857" s="241"/>
      <c r="O857" s="241"/>
      <c r="P857" s="241"/>
      <c r="Q857" s="241"/>
      <c r="R857" s="241"/>
      <c r="S857" s="241"/>
      <c r="T857" s="241"/>
      <c r="U857" s="241"/>
      <c r="V857" s="241"/>
      <c r="W857" s="241"/>
      <c r="X857" s="241"/>
      <c r="Y857" s="241"/>
      <c r="Z857" s="241"/>
      <c r="AA857" s="241"/>
    </row>
    <row r="858">
      <c r="A858" s="243"/>
      <c r="B858" s="243"/>
      <c r="C858" s="241"/>
      <c r="D858" s="241"/>
      <c r="E858" s="241"/>
      <c r="F858" s="241"/>
      <c r="G858" s="241"/>
      <c r="H858" s="241"/>
      <c r="I858" s="241"/>
      <c r="J858" s="241"/>
      <c r="K858" s="241"/>
      <c r="L858" s="241"/>
      <c r="M858" s="241"/>
      <c r="N858" s="241"/>
      <c r="O858" s="241"/>
      <c r="P858" s="241"/>
      <c r="Q858" s="241"/>
      <c r="R858" s="241"/>
      <c r="S858" s="241"/>
      <c r="T858" s="241"/>
      <c r="U858" s="241"/>
      <c r="V858" s="241"/>
      <c r="W858" s="241"/>
      <c r="X858" s="241"/>
      <c r="Y858" s="241"/>
      <c r="Z858" s="241"/>
      <c r="AA858" s="241"/>
    </row>
    <row r="859">
      <c r="A859" s="243"/>
      <c r="B859" s="243"/>
      <c r="C859" s="241"/>
      <c r="D859" s="241"/>
      <c r="E859" s="241"/>
      <c r="F859" s="241"/>
      <c r="G859" s="241"/>
      <c r="H859" s="241"/>
      <c r="I859" s="241"/>
      <c r="J859" s="241"/>
      <c r="K859" s="241"/>
      <c r="L859" s="241"/>
      <c r="M859" s="241"/>
      <c r="N859" s="241"/>
      <c r="O859" s="241"/>
      <c r="P859" s="241"/>
      <c r="Q859" s="241"/>
      <c r="R859" s="241"/>
      <c r="S859" s="241"/>
      <c r="T859" s="241"/>
      <c r="U859" s="241"/>
      <c r="V859" s="241"/>
      <c r="W859" s="241"/>
      <c r="X859" s="241"/>
      <c r="Y859" s="241"/>
      <c r="Z859" s="241"/>
      <c r="AA859" s="241"/>
    </row>
    <row r="860">
      <c r="A860" s="243"/>
      <c r="B860" s="243"/>
      <c r="C860" s="241"/>
      <c r="D860" s="241"/>
      <c r="E860" s="241"/>
      <c r="F860" s="241"/>
      <c r="G860" s="241"/>
      <c r="H860" s="241"/>
      <c r="I860" s="241"/>
      <c r="J860" s="241"/>
      <c r="K860" s="241"/>
      <c r="L860" s="241"/>
      <c r="M860" s="241"/>
      <c r="N860" s="241"/>
      <c r="O860" s="241"/>
      <c r="P860" s="241"/>
      <c r="Q860" s="241"/>
      <c r="R860" s="241"/>
      <c r="S860" s="241"/>
      <c r="T860" s="241"/>
      <c r="U860" s="241"/>
      <c r="V860" s="241"/>
      <c r="W860" s="241"/>
      <c r="X860" s="241"/>
      <c r="Y860" s="241"/>
      <c r="Z860" s="241"/>
      <c r="AA860" s="241"/>
    </row>
    <row r="861">
      <c r="A861" s="243"/>
      <c r="B861" s="243"/>
      <c r="C861" s="241"/>
      <c r="D861" s="241"/>
      <c r="E861" s="241"/>
      <c r="F861" s="241"/>
      <c r="G861" s="241"/>
      <c r="H861" s="241"/>
      <c r="I861" s="241"/>
      <c r="J861" s="241"/>
      <c r="K861" s="241"/>
      <c r="L861" s="241"/>
      <c r="M861" s="241"/>
      <c r="N861" s="241"/>
      <c r="O861" s="241"/>
      <c r="P861" s="241"/>
      <c r="Q861" s="241"/>
      <c r="R861" s="241"/>
      <c r="S861" s="241"/>
      <c r="T861" s="241"/>
      <c r="U861" s="241"/>
      <c r="V861" s="241"/>
      <c r="W861" s="241"/>
      <c r="X861" s="241"/>
      <c r="Y861" s="241"/>
      <c r="Z861" s="241"/>
      <c r="AA861" s="241"/>
    </row>
    <row r="862">
      <c r="A862" s="243"/>
      <c r="B862" s="243"/>
      <c r="C862" s="241"/>
      <c r="D862" s="241"/>
      <c r="E862" s="241"/>
      <c r="F862" s="241"/>
      <c r="G862" s="241"/>
      <c r="H862" s="241"/>
      <c r="I862" s="241"/>
      <c r="J862" s="241"/>
      <c r="K862" s="241"/>
      <c r="L862" s="241"/>
      <c r="M862" s="241"/>
      <c r="N862" s="241"/>
      <c r="O862" s="241"/>
      <c r="P862" s="241"/>
      <c r="Q862" s="241"/>
      <c r="R862" s="241"/>
      <c r="S862" s="241"/>
      <c r="T862" s="241"/>
      <c r="U862" s="241"/>
      <c r="V862" s="241"/>
      <c r="W862" s="241"/>
      <c r="X862" s="241"/>
      <c r="Y862" s="241"/>
      <c r="Z862" s="241"/>
      <c r="AA862" s="241"/>
    </row>
    <row r="863">
      <c r="A863" s="243"/>
      <c r="B863" s="243"/>
      <c r="C863" s="241"/>
      <c r="D863" s="241"/>
      <c r="E863" s="241"/>
      <c r="F863" s="241"/>
      <c r="G863" s="241"/>
      <c r="H863" s="241"/>
      <c r="I863" s="241"/>
      <c r="J863" s="241"/>
      <c r="K863" s="241"/>
      <c r="L863" s="241"/>
      <c r="M863" s="241"/>
      <c r="N863" s="241"/>
      <c r="O863" s="241"/>
      <c r="P863" s="241"/>
      <c r="Q863" s="241"/>
      <c r="R863" s="241"/>
      <c r="S863" s="241"/>
      <c r="T863" s="241"/>
      <c r="U863" s="241"/>
      <c r="V863" s="241"/>
      <c r="W863" s="241"/>
      <c r="X863" s="241"/>
      <c r="Y863" s="241"/>
      <c r="Z863" s="241"/>
      <c r="AA863" s="241"/>
    </row>
    <row r="864">
      <c r="A864" s="243"/>
      <c r="B864" s="243"/>
      <c r="C864" s="241"/>
      <c r="D864" s="241"/>
      <c r="E864" s="241"/>
      <c r="F864" s="241"/>
      <c r="G864" s="241"/>
      <c r="H864" s="241"/>
      <c r="I864" s="241"/>
      <c r="J864" s="241"/>
      <c r="K864" s="241"/>
      <c r="L864" s="241"/>
      <c r="M864" s="241"/>
      <c r="N864" s="241"/>
      <c r="O864" s="241"/>
      <c r="P864" s="241"/>
      <c r="Q864" s="241"/>
      <c r="R864" s="241"/>
      <c r="S864" s="241"/>
      <c r="T864" s="241"/>
      <c r="U864" s="241"/>
      <c r="V864" s="241"/>
      <c r="W864" s="241"/>
      <c r="X864" s="241"/>
      <c r="Y864" s="241"/>
      <c r="Z864" s="241"/>
      <c r="AA864" s="241"/>
    </row>
    <row r="865">
      <c r="A865" s="243"/>
      <c r="B865" s="243"/>
      <c r="C865" s="241"/>
      <c r="D865" s="241"/>
      <c r="E865" s="241"/>
      <c r="F865" s="241"/>
      <c r="G865" s="241"/>
      <c r="H865" s="241"/>
      <c r="I865" s="241"/>
      <c r="J865" s="241"/>
      <c r="K865" s="241"/>
      <c r="L865" s="241"/>
      <c r="M865" s="241"/>
      <c r="N865" s="241"/>
      <c r="O865" s="241"/>
      <c r="P865" s="241"/>
      <c r="Q865" s="241"/>
      <c r="R865" s="241"/>
      <c r="S865" s="241"/>
      <c r="T865" s="241"/>
      <c r="U865" s="241"/>
      <c r="V865" s="241"/>
      <c r="W865" s="241"/>
      <c r="X865" s="241"/>
      <c r="Y865" s="241"/>
      <c r="Z865" s="241"/>
      <c r="AA865" s="241"/>
    </row>
    <row r="866">
      <c r="A866" s="243"/>
      <c r="B866" s="243"/>
      <c r="C866" s="241"/>
      <c r="D866" s="241"/>
      <c r="E866" s="241"/>
      <c r="F866" s="241"/>
      <c r="G866" s="241"/>
      <c r="H866" s="241"/>
      <c r="I866" s="241"/>
      <c r="J866" s="241"/>
      <c r="K866" s="241"/>
      <c r="L866" s="241"/>
      <c r="M866" s="241"/>
      <c r="N866" s="241"/>
      <c r="O866" s="241"/>
      <c r="P866" s="241"/>
      <c r="Q866" s="241"/>
      <c r="R866" s="241"/>
      <c r="S866" s="241"/>
      <c r="T866" s="241"/>
      <c r="U866" s="241"/>
      <c r="V866" s="241"/>
      <c r="W866" s="241"/>
      <c r="X866" s="241"/>
      <c r="Y866" s="241"/>
      <c r="Z866" s="241"/>
      <c r="AA866" s="241"/>
    </row>
    <row r="867">
      <c r="A867" s="243"/>
      <c r="B867" s="243"/>
      <c r="C867" s="241"/>
      <c r="D867" s="241"/>
      <c r="E867" s="241"/>
      <c r="F867" s="241"/>
      <c r="G867" s="241"/>
      <c r="H867" s="241"/>
      <c r="I867" s="241"/>
      <c r="J867" s="241"/>
      <c r="K867" s="241"/>
      <c r="L867" s="241"/>
      <c r="M867" s="241"/>
      <c r="N867" s="241"/>
      <c r="O867" s="241"/>
      <c r="P867" s="241"/>
      <c r="Q867" s="241"/>
      <c r="R867" s="241"/>
      <c r="S867" s="241"/>
      <c r="T867" s="241"/>
      <c r="U867" s="241"/>
      <c r="V867" s="241"/>
      <c r="W867" s="241"/>
      <c r="X867" s="241"/>
      <c r="Y867" s="241"/>
      <c r="Z867" s="241"/>
      <c r="AA867" s="241"/>
    </row>
    <row r="868">
      <c r="A868" s="243"/>
      <c r="B868" s="243"/>
      <c r="C868" s="241"/>
      <c r="D868" s="241"/>
      <c r="E868" s="241"/>
      <c r="F868" s="241"/>
      <c r="G868" s="241"/>
      <c r="H868" s="241"/>
      <c r="I868" s="241"/>
      <c r="J868" s="241"/>
      <c r="K868" s="241"/>
      <c r="L868" s="241"/>
      <c r="M868" s="241"/>
      <c r="N868" s="241"/>
      <c r="O868" s="241"/>
      <c r="P868" s="241"/>
      <c r="Q868" s="241"/>
      <c r="R868" s="241"/>
      <c r="S868" s="241"/>
      <c r="T868" s="241"/>
      <c r="U868" s="241"/>
      <c r="V868" s="241"/>
      <c r="W868" s="241"/>
      <c r="X868" s="241"/>
      <c r="Y868" s="241"/>
      <c r="Z868" s="241"/>
      <c r="AA868" s="241"/>
    </row>
    <row r="869">
      <c r="A869" s="243"/>
      <c r="B869" s="243"/>
      <c r="C869" s="241"/>
      <c r="D869" s="241"/>
      <c r="E869" s="241"/>
      <c r="F869" s="241"/>
      <c r="G869" s="241"/>
      <c r="H869" s="241"/>
      <c r="I869" s="241"/>
      <c r="J869" s="241"/>
      <c r="K869" s="241"/>
      <c r="L869" s="241"/>
      <c r="M869" s="241"/>
      <c r="N869" s="241"/>
      <c r="O869" s="241"/>
      <c r="P869" s="241"/>
      <c r="Q869" s="241"/>
      <c r="R869" s="241"/>
      <c r="S869" s="241"/>
      <c r="T869" s="241"/>
      <c r="U869" s="241"/>
      <c r="V869" s="241"/>
      <c r="W869" s="241"/>
      <c r="X869" s="241"/>
      <c r="Y869" s="241"/>
      <c r="Z869" s="241"/>
      <c r="AA869" s="241"/>
    </row>
    <row r="870">
      <c r="A870" s="243"/>
      <c r="B870" s="243"/>
      <c r="C870" s="241"/>
      <c r="D870" s="241"/>
      <c r="E870" s="241"/>
      <c r="F870" s="241"/>
      <c r="G870" s="241"/>
      <c r="H870" s="241"/>
      <c r="I870" s="241"/>
      <c r="J870" s="241"/>
      <c r="K870" s="241"/>
      <c r="L870" s="241"/>
      <c r="M870" s="241"/>
      <c r="N870" s="241"/>
      <c r="O870" s="241"/>
      <c r="P870" s="241"/>
      <c r="Q870" s="241"/>
      <c r="R870" s="241"/>
      <c r="S870" s="241"/>
      <c r="T870" s="241"/>
      <c r="U870" s="241"/>
      <c r="V870" s="241"/>
      <c r="W870" s="241"/>
      <c r="X870" s="241"/>
      <c r="Y870" s="241"/>
      <c r="Z870" s="241"/>
      <c r="AA870" s="241"/>
    </row>
    <row r="871">
      <c r="A871" s="243"/>
      <c r="B871" s="243"/>
      <c r="C871" s="241"/>
      <c r="D871" s="241"/>
      <c r="E871" s="241"/>
      <c r="F871" s="241"/>
      <c r="G871" s="241"/>
      <c r="H871" s="241"/>
      <c r="I871" s="241"/>
      <c r="J871" s="241"/>
      <c r="K871" s="241"/>
      <c r="L871" s="241"/>
      <c r="M871" s="241"/>
      <c r="N871" s="241"/>
      <c r="O871" s="241"/>
      <c r="P871" s="241"/>
      <c r="Q871" s="241"/>
      <c r="R871" s="241"/>
      <c r="S871" s="241"/>
      <c r="T871" s="241"/>
      <c r="U871" s="241"/>
      <c r="V871" s="241"/>
      <c r="W871" s="241"/>
      <c r="X871" s="241"/>
      <c r="Y871" s="241"/>
      <c r="Z871" s="241"/>
      <c r="AA871" s="241"/>
    </row>
    <row r="872">
      <c r="A872" s="243"/>
      <c r="B872" s="243"/>
      <c r="C872" s="241"/>
      <c r="D872" s="241"/>
      <c r="E872" s="241"/>
      <c r="F872" s="241"/>
      <c r="G872" s="241"/>
      <c r="H872" s="241"/>
      <c r="I872" s="241"/>
      <c r="J872" s="241"/>
      <c r="K872" s="241"/>
      <c r="L872" s="241"/>
      <c r="M872" s="241"/>
      <c r="N872" s="241"/>
      <c r="O872" s="241"/>
      <c r="P872" s="241"/>
      <c r="Q872" s="241"/>
      <c r="R872" s="241"/>
      <c r="S872" s="241"/>
      <c r="T872" s="241"/>
      <c r="U872" s="241"/>
      <c r="V872" s="241"/>
      <c r="W872" s="241"/>
      <c r="X872" s="241"/>
      <c r="Y872" s="241"/>
      <c r="Z872" s="241"/>
      <c r="AA872" s="241"/>
    </row>
    <row r="873">
      <c r="A873" s="243"/>
      <c r="B873" s="243"/>
      <c r="C873" s="241"/>
      <c r="D873" s="241"/>
      <c r="E873" s="241"/>
      <c r="F873" s="241"/>
      <c r="G873" s="241"/>
      <c r="H873" s="241"/>
      <c r="I873" s="241"/>
      <c r="J873" s="241"/>
      <c r="K873" s="241"/>
      <c r="L873" s="241"/>
      <c r="M873" s="241"/>
      <c r="N873" s="241"/>
      <c r="O873" s="241"/>
      <c r="P873" s="241"/>
      <c r="Q873" s="241"/>
      <c r="R873" s="241"/>
      <c r="S873" s="241"/>
      <c r="T873" s="241"/>
      <c r="U873" s="241"/>
      <c r="V873" s="241"/>
      <c r="W873" s="241"/>
      <c r="X873" s="241"/>
      <c r="Y873" s="241"/>
      <c r="Z873" s="241"/>
      <c r="AA873" s="241"/>
    </row>
    <row r="874">
      <c r="A874" s="243"/>
      <c r="B874" s="243"/>
      <c r="C874" s="241"/>
      <c r="D874" s="241"/>
      <c r="E874" s="241"/>
      <c r="F874" s="241"/>
      <c r="G874" s="241"/>
      <c r="H874" s="241"/>
      <c r="I874" s="241"/>
      <c r="J874" s="241"/>
      <c r="K874" s="241"/>
      <c r="L874" s="241"/>
      <c r="M874" s="241"/>
      <c r="N874" s="241"/>
      <c r="O874" s="241"/>
      <c r="P874" s="241"/>
      <c r="Q874" s="241"/>
      <c r="R874" s="241"/>
      <c r="S874" s="241"/>
      <c r="T874" s="241"/>
      <c r="U874" s="241"/>
      <c r="V874" s="241"/>
      <c r="W874" s="241"/>
      <c r="X874" s="241"/>
      <c r="Y874" s="241"/>
      <c r="Z874" s="241"/>
      <c r="AA874" s="241"/>
    </row>
    <row r="875">
      <c r="A875" s="243"/>
      <c r="B875" s="243"/>
      <c r="C875" s="241"/>
      <c r="D875" s="241"/>
      <c r="E875" s="241"/>
      <c r="F875" s="241"/>
      <c r="G875" s="241"/>
      <c r="H875" s="241"/>
      <c r="I875" s="241"/>
      <c r="J875" s="241"/>
      <c r="K875" s="241"/>
      <c r="L875" s="241"/>
      <c r="M875" s="241"/>
      <c r="N875" s="241"/>
      <c r="O875" s="241"/>
      <c r="P875" s="241"/>
      <c r="Q875" s="241"/>
      <c r="R875" s="241"/>
      <c r="S875" s="241"/>
      <c r="T875" s="241"/>
      <c r="U875" s="241"/>
      <c r="V875" s="241"/>
      <c r="W875" s="241"/>
      <c r="X875" s="241"/>
      <c r="Y875" s="241"/>
      <c r="Z875" s="241"/>
      <c r="AA875" s="241"/>
    </row>
    <row r="876">
      <c r="A876" s="243"/>
      <c r="B876" s="243"/>
      <c r="C876" s="241"/>
      <c r="D876" s="241"/>
      <c r="E876" s="241"/>
      <c r="F876" s="241"/>
      <c r="G876" s="241"/>
      <c r="H876" s="241"/>
      <c r="I876" s="241"/>
      <c r="J876" s="241"/>
      <c r="K876" s="241"/>
      <c r="L876" s="241"/>
      <c r="M876" s="241"/>
      <c r="N876" s="241"/>
      <c r="O876" s="241"/>
      <c r="P876" s="241"/>
      <c r="Q876" s="241"/>
      <c r="R876" s="241"/>
      <c r="S876" s="241"/>
      <c r="T876" s="241"/>
      <c r="U876" s="241"/>
      <c r="V876" s="241"/>
      <c r="W876" s="241"/>
      <c r="X876" s="241"/>
      <c r="Y876" s="241"/>
      <c r="Z876" s="241"/>
      <c r="AA876" s="241"/>
    </row>
    <row r="877">
      <c r="A877" s="243"/>
      <c r="B877" s="243"/>
      <c r="C877" s="241"/>
      <c r="D877" s="241"/>
      <c r="E877" s="241"/>
      <c r="F877" s="241"/>
      <c r="G877" s="241"/>
      <c r="H877" s="241"/>
      <c r="I877" s="241"/>
      <c r="J877" s="241"/>
      <c r="K877" s="241"/>
      <c r="L877" s="241"/>
      <c r="M877" s="241"/>
      <c r="N877" s="241"/>
      <c r="O877" s="241"/>
      <c r="P877" s="241"/>
      <c r="Q877" s="241"/>
      <c r="R877" s="241"/>
      <c r="S877" s="241"/>
      <c r="T877" s="241"/>
      <c r="U877" s="241"/>
      <c r="V877" s="241"/>
      <c r="W877" s="241"/>
      <c r="X877" s="241"/>
      <c r="Y877" s="241"/>
      <c r="Z877" s="241"/>
      <c r="AA877" s="241"/>
    </row>
    <row r="878">
      <c r="A878" s="243"/>
      <c r="B878" s="243"/>
      <c r="C878" s="241"/>
      <c r="D878" s="241"/>
      <c r="E878" s="241"/>
      <c r="F878" s="241"/>
      <c r="G878" s="241"/>
      <c r="H878" s="241"/>
      <c r="I878" s="241"/>
      <c r="J878" s="241"/>
      <c r="K878" s="241"/>
      <c r="L878" s="241"/>
      <c r="M878" s="241"/>
      <c r="N878" s="241"/>
      <c r="O878" s="241"/>
      <c r="P878" s="241"/>
      <c r="Q878" s="241"/>
      <c r="R878" s="241"/>
      <c r="S878" s="241"/>
      <c r="T878" s="241"/>
      <c r="U878" s="241"/>
      <c r="V878" s="241"/>
      <c r="W878" s="241"/>
      <c r="X878" s="241"/>
      <c r="Y878" s="241"/>
      <c r="Z878" s="241"/>
      <c r="AA878" s="241"/>
    </row>
    <row r="879">
      <c r="A879" s="243"/>
      <c r="B879" s="243"/>
      <c r="C879" s="241"/>
      <c r="D879" s="241"/>
      <c r="E879" s="241"/>
      <c r="F879" s="241"/>
      <c r="G879" s="241"/>
      <c r="H879" s="241"/>
      <c r="I879" s="241"/>
      <c r="J879" s="241"/>
      <c r="K879" s="241"/>
      <c r="L879" s="241"/>
      <c r="M879" s="241"/>
      <c r="N879" s="241"/>
      <c r="O879" s="241"/>
      <c r="P879" s="241"/>
      <c r="Q879" s="241"/>
      <c r="R879" s="241"/>
      <c r="S879" s="241"/>
      <c r="T879" s="241"/>
      <c r="U879" s="241"/>
      <c r="V879" s="241"/>
      <c r="W879" s="241"/>
      <c r="X879" s="241"/>
      <c r="Y879" s="241"/>
      <c r="Z879" s="241"/>
      <c r="AA879" s="241"/>
    </row>
    <row r="880">
      <c r="A880" s="243"/>
      <c r="B880" s="243"/>
      <c r="C880" s="241"/>
      <c r="D880" s="241"/>
      <c r="E880" s="241"/>
      <c r="F880" s="241"/>
      <c r="G880" s="241"/>
      <c r="H880" s="241"/>
      <c r="I880" s="241"/>
      <c r="J880" s="241"/>
      <c r="K880" s="241"/>
      <c r="L880" s="241"/>
      <c r="M880" s="241"/>
      <c r="N880" s="241"/>
      <c r="O880" s="241"/>
      <c r="P880" s="241"/>
      <c r="Q880" s="241"/>
      <c r="R880" s="241"/>
      <c r="S880" s="241"/>
      <c r="T880" s="241"/>
      <c r="U880" s="241"/>
      <c r="V880" s="241"/>
      <c r="W880" s="241"/>
      <c r="X880" s="241"/>
      <c r="Y880" s="241"/>
      <c r="Z880" s="241"/>
      <c r="AA880" s="241"/>
    </row>
    <row r="881">
      <c r="A881" s="243"/>
      <c r="B881" s="243"/>
      <c r="C881" s="241"/>
      <c r="D881" s="241"/>
      <c r="E881" s="241"/>
      <c r="F881" s="241"/>
      <c r="G881" s="241"/>
      <c r="H881" s="241"/>
      <c r="I881" s="241"/>
      <c r="J881" s="241"/>
      <c r="K881" s="241"/>
      <c r="L881" s="241"/>
      <c r="M881" s="241"/>
      <c r="N881" s="241"/>
      <c r="O881" s="241"/>
      <c r="P881" s="241"/>
      <c r="Q881" s="241"/>
      <c r="R881" s="241"/>
      <c r="S881" s="241"/>
      <c r="T881" s="241"/>
      <c r="U881" s="241"/>
      <c r="V881" s="241"/>
      <c r="W881" s="241"/>
      <c r="X881" s="241"/>
      <c r="Y881" s="241"/>
      <c r="Z881" s="241"/>
      <c r="AA881" s="241"/>
    </row>
    <row r="882">
      <c r="A882" s="243"/>
      <c r="B882" s="243"/>
      <c r="C882" s="241"/>
      <c r="D882" s="241"/>
      <c r="E882" s="241"/>
      <c r="F882" s="241"/>
      <c r="G882" s="241"/>
      <c r="H882" s="241"/>
      <c r="I882" s="241"/>
      <c r="J882" s="241"/>
      <c r="K882" s="241"/>
      <c r="L882" s="241"/>
      <c r="M882" s="241"/>
      <c r="N882" s="241"/>
      <c r="O882" s="241"/>
      <c r="P882" s="241"/>
      <c r="Q882" s="241"/>
      <c r="R882" s="241"/>
      <c r="S882" s="241"/>
      <c r="T882" s="241"/>
      <c r="U882" s="241"/>
      <c r="V882" s="241"/>
      <c r="W882" s="241"/>
      <c r="X882" s="241"/>
      <c r="Y882" s="241"/>
      <c r="Z882" s="241"/>
      <c r="AA882" s="241"/>
    </row>
    <row r="883">
      <c r="A883" s="243"/>
      <c r="B883" s="243"/>
      <c r="C883" s="241"/>
      <c r="D883" s="241"/>
      <c r="E883" s="241"/>
      <c r="F883" s="241"/>
      <c r="G883" s="241"/>
      <c r="H883" s="241"/>
      <c r="I883" s="241"/>
      <c r="J883" s="241"/>
      <c r="K883" s="241"/>
      <c r="L883" s="241"/>
      <c r="M883" s="241"/>
      <c r="N883" s="241"/>
      <c r="O883" s="241"/>
      <c r="P883" s="241"/>
      <c r="Q883" s="241"/>
      <c r="R883" s="241"/>
      <c r="S883" s="241"/>
      <c r="T883" s="241"/>
      <c r="U883" s="241"/>
      <c r="V883" s="241"/>
      <c r="W883" s="241"/>
      <c r="X883" s="241"/>
      <c r="Y883" s="241"/>
      <c r="Z883" s="241"/>
      <c r="AA883" s="241"/>
    </row>
    <row r="884">
      <c r="A884" s="243"/>
      <c r="B884" s="243"/>
      <c r="C884" s="241"/>
      <c r="D884" s="241"/>
      <c r="E884" s="241"/>
      <c r="F884" s="241"/>
      <c r="G884" s="241"/>
      <c r="H884" s="241"/>
      <c r="I884" s="241"/>
      <c r="J884" s="241"/>
      <c r="K884" s="241"/>
      <c r="L884" s="241"/>
      <c r="M884" s="241"/>
      <c r="N884" s="241"/>
      <c r="O884" s="241"/>
      <c r="P884" s="241"/>
      <c r="Q884" s="241"/>
      <c r="R884" s="241"/>
      <c r="S884" s="241"/>
      <c r="T884" s="241"/>
      <c r="U884" s="241"/>
      <c r="V884" s="241"/>
      <c r="W884" s="241"/>
      <c r="X884" s="241"/>
      <c r="Y884" s="241"/>
      <c r="Z884" s="241"/>
      <c r="AA884" s="241"/>
    </row>
    <row r="885">
      <c r="A885" s="243"/>
      <c r="B885" s="243"/>
      <c r="C885" s="241"/>
      <c r="D885" s="241"/>
      <c r="E885" s="241"/>
      <c r="F885" s="241"/>
      <c r="G885" s="241"/>
      <c r="H885" s="241"/>
      <c r="I885" s="241"/>
      <c r="J885" s="241"/>
      <c r="K885" s="241"/>
      <c r="L885" s="241"/>
      <c r="M885" s="241"/>
      <c r="N885" s="241"/>
      <c r="O885" s="241"/>
      <c r="P885" s="241"/>
      <c r="Q885" s="241"/>
      <c r="R885" s="241"/>
      <c r="S885" s="241"/>
      <c r="T885" s="241"/>
      <c r="U885" s="241"/>
      <c r="V885" s="241"/>
      <c r="W885" s="241"/>
      <c r="X885" s="241"/>
      <c r="Y885" s="241"/>
      <c r="Z885" s="241"/>
      <c r="AA885" s="241"/>
    </row>
    <row r="886">
      <c r="A886" s="243"/>
      <c r="B886" s="243"/>
      <c r="C886" s="241"/>
      <c r="D886" s="241"/>
      <c r="E886" s="241"/>
      <c r="F886" s="241"/>
      <c r="G886" s="241"/>
      <c r="H886" s="241"/>
      <c r="I886" s="241"/>
      <c r="J886" s="241"/>
      <c r="K886" s="241"/>
      <c r="L886" s="241"/>
      <c r="M886" s="241"/>
      <c r="N886" s="241"/>
      <c r="O886" s="241"/>
      <c r="P886" s="241"/>
      <c r="Q886" s="241"/>
      <c r="R886" s="241"/>
      <c r="S886" s="241"/>
      <c r="T886" s="241"/>
      <c r="U886" s="241"/>
      <c r="V886" s="241"/>
      <c r="W886" s="241"/>
      <c r="X886" s="241"/>
      <c r="Y886" s="241"/>
      <c r="Z886" s="241"/>
      <c r="AA886" s="241"/>
    </row>
    <row r="887">
      <c r="A887" s="243"/>
      <c r="B887" s="243"/>
      <c r="C887" s="241"/>
      <c r="D887" s="241"/>
      <c r="E887" s="241"/>
      <c r="F887" s="241"/>
      <c r="G887" s="241"/>
      <c r="H887" s="241"/>
      <c r="I887" s="241"/>
      <c r="J887" s="241"/>
      <c r="K887" s="241"/>
      <c r="L887" s="241"/>
      <c r="M887" s="241"/>
      <c r="N887" s="241"/>
      <c r="O887" s="241"/>
      <c r="P887" s="241"/>
      <c r="Q887" s="241"/>
      <c r="R887" s="241"/>
      <c r="S887" s="241"/>
      <c r="T887" s="241"/>
      <c r="U887" s="241"/>
      <c r="V887" s="241"/>
      <c r="W887" s="241"/>
      <c r="X887" s="241"/>
      <c r="Y887" s="241"/>
      <c r="Z887" s="241"/>
      <c r="AA887" s="241"/>
    </row>
    <row r="888">
      <c r="A888" s="243"/>
      <c r="B888" s="243"/>
      <c r="C888" s="241"/>
      <c r="D888" s="241"/>
      <c r="E888" s="241"/>
      <c r="F888" s="241"/>
      <c r="G888" s="241"/>
      <c r="H888" s="241"/>
      <c r="I888" s="241"/>
      <c r="J888" s="241"/>
      <c r="K888" s="241"/>
      <c r="L888" s="241"/>
      <c r="M888" s="241"/>
      <c r="N888" s="241"/>
      <c r="O888" s="241"/>
      <c r="P888" s="241"/>
      <c r="Q888" s="241"/>
      <c r="R888" s="241"/>
      <c r="S888" s="241"/>
      <c r="T888" s="241"/>
      <c r="U888" s="241"/>
      <c r="V888" s="241"/>
      <c r="W888" s="241"/>
      <c r="X888" s="241"/>
      <c r="Y888" s="241"/>
      <c r="Z888" s="241"/>
      <c r="AA888" s="241"/>
    </row>
    <row r="889">
      <c r="A889" s="243"/>
      <c r="B889" s="243"/>
      <c r="C889" s="241"/>
      <c r="D889" s="241"/>
      <c r="E889" s="241"/>
      <c r="F889" s="241"/>
      <c r="G889" s="241"/>
      <c r="H889" s="241"/>
      <c r="I889" s="241"/>
      <c r="J889" s="241"/>
      <c r="K889" s="241"/>
      <c r="L889" s="241"/>
      <c r="M889" s="241"/>
      <c r="N889" s="241"/>
      <c r="O889" s="241"/>
      <c r="P889" s="241"/>
      <c r="Q889" s="241"/>
      <c r="R889" s="241"/>
      <c r="S889" s="241"/>
      <c r="T889" s="241"/>
      <c r="U889" s="241"/>
      <c r="V889" s="241"/>
      <c r="W889" s="241"/>
      <c r="X889" s="241"/>
      <c r="Y889" s="241"/>
      <c r="Z889" s="241"/>
      <c r="AA889" s="241"/>
    </row>
    <row r="890">
      <c r="A890" s="243"/>
      <c r="B890" s="243"/>
      <c r="C890" s="241"/>
      <c r="D890" s="241"/>
      <c r="E890" s="241"/>
      <c r="F890" s="241"/>
      <c r="G890" s="241"/>
      <c r="H890" s="241"/>
      <c r="I890" s="241"/>
      <c r="J890" s="241"/>
      <c r="K890" s="241"/>
      <c r="L890" s="241"/>
      <c r="M890" s="241"/>
      <c r="N890" s="241"/>
      <c r="O890" s="241"/>
      <c r="P890" s="241"/>
      <c r="Q890" s="241"/>
      <c r="R890" s="241"/>
      <c r="S890" s="241"/>
      <c r="T890" s="241"/>
      <c r="U890" s="241"/>
      <c r="V890" s="241"/>
      <c r="W890" s="241"/>
      <c r="X890" s="241"/>
      <c r="Y890" s="241"/>
      <c r="Z890" s="241"/>
      <c r="AA890" s="241"/>
    </row>
    <row r="891">
      <c r="A891" s="243"/>
      <c r="B891" s="243"/>
      <c r="C891" s="241"/>
      <c r="D891" s="241"/>
      <c r="E891" s="241"/>
      <c r="F891" s="241"/>
      <c r="G891" s="241"/>
      <c r="H891" s="241"/>
      <c r="I891" s="241"/>
      <c r="J891" s="241"/>
      <c r="K891" s="241"/>
      <c r="L891" s="241"/>
      <c r="M891" s="241"/>
      <c r="N891" s="241"/>
      <c r="O891" s="241"/>
      <c r="P891" s="241"/>
      <c r="Q891" s="241"/>
      <c r="R891" s="241"/>
      <c r="S891" s="241"/>
      <c r="T891" s="241"/>
      <c r="U891" s="241"/>
      <c r="V891" s="241"/>
      <c r="W891" s="241"/>
      <c r="X891" s="241"/>
      <c r="Y891" s="241"/>
      <c r="Z891" s="241"/>
      <c r="AA891" s="241"/>
    </row>
    <row r="892">
      <c r="A892" s="243"/>
      <c r="B892" s="243"/>
      <c r="C892" s="241"/>
      <c r="D892" s="241"/>
      <c r="E892" s="241"/>
      <c r="F892" s="241"/>
      <c r="G892" s="241"/>
      <c r="H892" s="241"/>
      <c r="I892" s="241"/>
      <c r="J892" s="241"/>
      <c r="K892" s="241"/>
      <c r="L892" s="241"/>
      <c r="M892" s="241"/>
      <c r="N892" s="241"/>
      <c r="O892" s="241"/>
      <c r="P892" s="241"/>
      <c r="Q892" s="241"/>
      <c r="R892" s="241"/>
      <c r="S892" s="241"/>
      <c r="T892" s="241"/>
      <c r="U892" s="241"/>
      <c r="V892" s="241"/>
      <c r="W892" s="241"/>
      <c r="X892" s="241"/>
      <c r="Y892" s="241"/>
      <c r="Z892" s="241"/>
      <c r="AA892" s="241"/>
    </row>
    <row r="893">
      <c r="A893" s="243"/>
      <c r="B893" s="243"/>
      <c r="C893" s="241"/>
      <c r="D893" s="241"/>
      <c r="E893" s="241"/>
      <c r="F893" s="241"/>
      <c r="G893" s="241"/>
      <c r="H893" s="241"/>
      <c r="I893" s="241"/>
      <c r="J893" s="241"/>
      <c r="K893" s="241"/>
      <c r="L893" s="241"/>
      <c r="M893" s="241"/>
      <c r="N893" s="241"/>
      <c r="O893" s="241"/>
      <c r="P893" s="241"/>
      <c r="Q893" s="241"/>
      <c r="R893" s="241"/>
      <c r="S893" s="241"/>
      <c r="T893" s="241"/>
      <c r="U893" s="241"/>
      <c r="V893" s="241"/>
      <c r="W893" s="241"/>
      <c r="X893" s="241"/>
      <c r="Y893" s="241"/>
      <c r="Z893" s="241"/>
      <c r="AA893" s="241"/>
    </row>
    <row r="894">
      <c r="A894" s="243"/>
      <c r="B894" s="243"/>
      <c r="C894" s="241"/>
      <c r="D894" s="241"/>
      <c r="E894" s="241"/>
      <c r="F894" s="241"/>
      <c r="G894" s="241"/>
      <c r="H894" s="241"/>
      <c r="I894" s="241"/>
      <c r="J894" s="241"/>
      <c r="K894" s="241"/>
      <c r="L894" s="241"/>
      <c r="M894" s="241"/>
      <c r="N894" s="241"/>
      <c r="O894" s="241"/>
      <c r="P894" s="241"/>
      <c r="Q894" s="241"/>
      <c r="R894" s="241"/>
      <c r="S894" s="241"/>
      <c r="T894" s="241"/>
      <c r="U894" s="241"/>
      <c r="V894" s="241"/>
      <c r="W894" s="241"/>
      <c r="X894" s="241"/>
      <c r="Y894" s="241"/>
      <c r="Z894" s="241"/>
      <c r="AA894" s="241"/>
    </row>
    <row r="895">
      <c r="A895" s="243"/>
      <c r="B895" s="243"/>
      <c r="C895" s="241"/>
      <c r="D895" s="241"/>
      <c r="E895" s="241"/>
      <c r="F895" s="241"/>
      <c r="G895" s="241"/>
      <c r="H895" s="241"/>
      <c r="I895" s="241"/>
      <c r="J895" s="241"/>
      <c r="K895" s="241"/>
      <c r="L895" s="241"/>
      <c r="M895" s="241"/>
      <c r="N895" s="241"/>
      <c r="O895" s="241"/>
      <c r="P895" s="241"/>
      <c r="Q895" s="241"/>
      <c r="R895" s="241"/>
      <c r="S895" s="241"/>
      <c r="T895" s="241"/>
      <c r="U895" s="241"/>
      <c r="V895" s="241"/>
      <c r="W895" s="241"/>
      <c r="X895" s="241"/>
      <c r="Y895" s="241"/>
      <c r="Z895" s="241"/>
      <c r="AA895" s="241"/>
    </row>
    <row r="896">
      <c r="A896" s="243"/>
      <c r="B896" s="243"/>
      <c r="C896" s="241"/>
      <c r="D896" s="241"/>
      <c r="E896" s="241"/>
      <c r="F896" s="241"/>
      <c r="G896" s="241"/>
      <c r="H896" s="241"/>
      <c r="I896" s="241"/>
      <c r="J896" s="241"/>
      <c r="K896" s="241"/>
      <c r="L896" s="241"/>
      <c r="M896" s="241"/>
      <c r="N896" s="241"/>
      <c r="O896" s="241"/>
      <c r="P896" s="241"/>
      <c r="Q896" s="241"/>
      <c r="R896" s="241"/>
      <c r="S896" s="241"/>
      <c r="T896" s="241"/>
      <c r="U896" s="241"/>
      <c r="V896" s="241"/>
      <c r="W896" s="241"/>
      <c r="X896" s="241"/>
      <c r="Y896" s="241"/>
      <c r="Z896" s="241"/>
      <c r="AA896" s="241"/>
    </row>
    <row r="897">
      <c r="A897" s="243"/>
      <c r="B897" s="243"/>
      <c r="C897" s="241"/>
      <c r="D897" s="241"/>
      <c r="E897" s="241"/>
      <c r="F897" s="241"/>
      <c r="G897" s="241"/>
      <c r="H897" s="241"/>
      <c r="I897" s="241"/>
      <c r="J897" s="241"/>
      <c r="K897" s="241"/>
      <c r="L897" s="241"/>
      <c r="M897" s="241"/>
      <c r="N897" s="241"/>
      <c r="O897" s="241"/>
      <c r="P897" s="241"/>
      <c r="Q897" s="241"/>
      <c r="R897" s="241"/>
      <c r="S897" s="241"/>
      <c r="T897" s="241"/>
      <c r="U897" s="241"/>
      <c r="V897" s="241"/>
      <c r="W897" s="241"/>
      <c r="X897" s="241"/>
      <c r="Y897" s="241"/>
      <c r="Z897" s="241"/>
      <c r="AA897" s="241"/>
    </row>
    <row r="898">
      <c r="A898" s="243"/>
      <c r="B898" s="243"/>
      <c r="C898" s="241"/>
      <c r="D898" s="241"/>
      <c r="E898" s="241"/>
      <c r="F898" s="241"/>
      <c r="G898" s="241"/>
      <c r="H898" s="241"/>
      <c r="I898" s="241"/>
      <c r="J898" s="241"/>
      <c r="K898" s="241"/>
      <c r="L898" s="241"/>
      <c r="M898" s="241"/>
      <c r="N898" s="241"/>
      <c r="O898" s="241"/>
      <c r="P898" s="241"/>
      <c r="Q898" s="241"/>
      <c r="R898" s="241"/>
      <c r="S898" s="241"/>
      <c r="T898" s="241"/>
      <c r="U898" s="241"/>
      <c r="V898" s="241"/>
      <c r="W898" s="241"/>
      <c r="X898" s="241"/>
      <c r="Y898" s="241"/>
      <c r="Z898" s="241"/>
      <c r="AA898" s="241"/>
    </row>
    <row r="899">
      <c r="A899" s="243"/>
      <c r="B899" s="243"/>
      <c r="C899" s="241"/>
      <c r="D899" s="241"/>
      <c r="E899" s="241"/>
      <c r="F899" s="241"/>
      <c r="G899" s="241"/>
      <c r="H899" s="241"/>
      <c r="I899" s="241"/>
      <c r="J899" s="241"/>
      <c r="K899" s="241"/>
      <c r="L899" s="241"/>
      <c r="M899" s="241"/>
      <c r="N899" s="241"/>
      <c r="O899" s="241"/>
      <c r="P899" s="241"/>
      <c r="Q899" s="241"/>
      <c r="R899" s="241"/>
      <c r="S899" s="241"/>
      <c r="T899" s="241"/>
      <c r="U899" s="241"/>
      <c r="V899" s="241"/>
      <c r="W899" s="241"/>
      <c r="X899" s="241"/>
      <c r="Y899" s="241"/>
      <c r="Z899" s="241"/>
      <c r="AA899" s="241"/>
    </row>
    <row r="900">
      <c r="A900" s="243"/>
      <c r="B900" s="243"/>
      <c r="C900" s="241"/>
      <c r="D900" s="241"/>
      <c r="E900" s="241"/>
      <c r="F900" s="241"/>
      <c r="G900" s="241"/>
      <c r="H900" s="241"/>
      <c r="I900" s="241"/>
      <c r="J900" s="241"/>
      <c r="K900" s="241"/>
      <c r="L900" s="241"/>
      <c r="M900" s="241"/>
      <c r="N900" s="241"/>
      <c r="O900" s="241"/>
      <c r="P900" s="241"/>
      <c r="Q900" s="241"/>
      <c r="R900" s="241"/>
      <c r="S900" s="241"/>
      <c r="T900" s="241"/>
      <c r="U900" s="241"/>
      <c r="V900" s="241"/>
      <c r="W900" s="241"/>
      <c r="X900" s="241"/>
      <c r="Y900" s="241"/>
      <c r="Z900" s="241"/>
      <c r="AA900" s="241"/>
    </row>
    <row r="901">
      <c r="A901" s="243"/>
      <c r="B901" s="243"/>
      <c r="C901" s="241"/>
      <c r="D901" s="241"/>
      <c r="E901" s="241"/>
      <c r="F901" s="241"/>
      <c r="G901" s="241"/>
      <c r="H901" s="241"/>
      <c r="I901" s="241"/>
      <c r="J901" s="241"/>
      <c r="K901" s="241"/>
      <c r="L901" s="241"/>
      <c r="M901" s="241"/>
      <c r="N901" s="241"/>
      <c r="O901" s="241"/>
      <c r="P901" s="241"/>
      <c r="Q901" s="241"/>
      <c r="R901" s="241"/>
      <c r="S901" s="241"/>
      <c r="T901" s="241"/>
      <c r="U901" s="241"/>
      <c r="V901" s="241"/>
      <c r="W901" s="241"/>
      <c r="X901" s="241"/>
      <c r="Y901" s="241"/>
      <c r="Z901" s="241"/>
      <c r="AA901" s="241"/>
    </row>
    <row r="902">
      <c r="A902" s="243"/>
      <c r="B902" s="243"/>
      <c r="C902" s="241"/>
      <c r="D902" s="241"/>
      <c r="E902" s="241"/>
      <c r="F902" s="241"/>
      <c r="G902" s="241"/>
      <c r="H902" s="241"/>
      <c r="I902" s="241"/>
      <c r="J902" s="241"/>
      <c r="K902" s="241"/>
      <c r="L902" s="241"/>
      <c r="M902" s="241"/>
      <c r="N902" s="241"/>
      <c r="O902" s="241"/>
      <c r="P902" s="241"/>
      <c r="Q902" s="241"/>
      <c r="R902" s="241"/>
      <c r="S902" s="241"/>
      <c r="T902" s="241"/>
      <c r="U902" s="241"/>
      <c r="V902" s="241"/>
      <c r="W902" s="241"/>
      <c r="X902" s="241"/>
      <c r="Y902" s="241"/>
      <c r="Z902" s="241"/>
      <c r="AA902" s="241"/>
    </row>
    <row r="903">
      <c r="A903" s="243"/>
      <c r="B903" s="243"/>
      <c r="C903" s="241"/>
      <c r="D903" s="241"/>
      <c r="E903" s="241"/>
      <c r="F903" s="241"/>
      <c r="G903" s="241"/>
      <c r="H903" s="241"/>
      <c r="I903" s="241"/>
      <c r="J903" s="241"/>
      <c r="K903" s="241"/>
      <c r="L903" s="241"/>
      <c r="M903" s="241"/>
      <c r="N903" s="241"/>
      <c r="O903" s="241"/>
      <c r="P903" s="241"/>
      <c r="Q903" s="241"/>
      <c r="R903" s="241"/>
      <c r="S903" s="241"/>
      <c r="T903" s="241"/>
      <c r="U903" s="241"/>
      <c r="V903" s="241"/>
      <c r="W903" s="241"/>
      <c r="X903" s="241"/>
      <c r="Y903" s="241"/>
      <c r="Z903" s="241"/>
      <c r="AA903" s="241"/>
    </row>
    <row r="904">
      <c r="A904" s="243"/>
      <c r="B904" s="243"/>
      <c r="C904" s="241"/>
      <c r="D904" s="241"/>
      <c r="E904" s="241"/>
      <c r="F904" s="241"/>
      <c r="G904" s="241"/>
      <c r="H904" s="241"/>
      <c r="I904" s="241"/>
      <c r="J904" s="241"/>
      <c r="K904" s="241"/>
      <c r="L904" s="241"/>
      <c r="M904" s="241"/>
      <c r="N904" s="241"/>
      <c r="O904" s="241"/>
      <c r="P904" s="241"/>
      <c r="Q904" s="241"/>
      <c r="R904" s="241"/>
      <c r="S904" s="241"/>
      <c r="T904" s="241"/>
      <c r="U904" s="241"/>
      <c r="V904" s="241"/>
      <c r="W904" s="241"/>
      <c r="X904" s="241"/>
      <c r="Y904" s="241"/>
      <c r="Z904" s="241"/>
      <c r="AA904" s="241"/>
    </row>
    <row r="905">
      <c r="A905" s="243"/>
      <c r="B905" s="243"/>
      <c r="C905" s="241"/>
      <c r="D905" s="241"/>
      <c r="E905" s="241"/>
      <c r="F905" s="241"/>
      <c r="G905" s="241"/>
      <c r="H905" s="241"/>
      <c r="I905" s="241"/>
      <c r="J905" s="241"/>
      <c r="K905" s="241"/>
      <c r="L905" s="241"/>
      <c r="M905" s="241"/>
      <c r="N905" s="241"/>
      <c r="O905" s="241"/>
      <c r="P905" s="241"/>
      <c r="Q905" s="241"/>
      <c r="R905" s="241"/>
      <c r="S905" s="241"/>
      <c r="T905" s="241"/>
      <c r="U905" s="241"/>
      <c r="V905" s="241"/>
      <c r="W905" s="241"/>
      <c r="X905" s="241"/>
      <c r="Y905" s="241"/>
      <c r="Z905" s="241"/>
      <c r="AA905" s="241"/>
    </row>
    <row r="906">
      <c r="A906" s="243"/>
      <c r="B906" s="243"/>
      <c r="C906" s="241"/>
      <c r="D906" s="241"/>
      <c r="E906" s="241"/>
      <c r="F906" s="241"/>
      <c r="G906" s="241"/>
      <c r="H906" s="241"/>
      <c r="I906" s="241"/>
      <c r="J906" s="241"/>
      <c r="K906" s="241"/>
      <c r="L906" s="241"/>
      <c r="M906" s="241"/>
      <c r="N906" s="241"/>
      <c r="O906" s="241"/>
      <c r="P906" s="241"/>
      <c r="Q906" s="241"/>
      <c r="R906" s="241"/>
      <c r="S906" s="241"/>
      <c r="T906" s="241"/>
      <c r="U906" s="241"/>
      <c r="V906" s="241"/>
      <c r="W906" s="241"/>
      <c r="X906" s="241"/>
      <c r="Y906" s="241"/>
      <c r="Z906" s="241"/>
      <c r="AA906" s="241"/>
    </row>
    <row r="907">
      <c r="A907" s="243"/>
      <c r="B907" s="243"/>
      <c r="C907" s="241"/>
      <c r="D907" s="241"/>
      <c r="E907" s="241"/>
      <c r="F907" s="241"/>
      <c r="G907" s="241"/>
      <c r="H907" s="241"/>
      <c r="I907" s="241"/>
      <c r="J907" s="241"/>
      <c r="K907" s="241"/>
      <c r="L907" s="241"/>
      <c r="M907" s="241"/>
      <c r="N907" s="241"/>
      <c r="O907" s="241"/>
      <c r="P907" s="241"/>
      <c r="Q907" s="241"/>
      <c r="R907" s="241"/>
      <c r="S907" s="241"/>
      <c r="T907" s="241"/>
      <c r="U907" s="241"/>
      <c r="V907" s="241"/>
      <c r="W907" s="241"/>
      <c r="X907" s="241"/>
      <c r="Y907" s="241"/>
      <c r="Z907" s="241"/>
      <c r="AA907" s="241"/>
    </row>
    <row r="908">
      <c r="A908" s="243"/>
      <c r="B908" s="243"/>
      <c r="C908" s="241"/>
      <c r="D908" s="241"/>
      <c r="E908" s="241"/>
      <c r="F908" s="241"/>
      <c r="G908" s="241"/>
      <c r="H908" s="241"/>
      <c r="I908" s="241"/>
      <c r="J908" s="241"/>
      <c r="K908" s="241"/>
      <c r="L908" s="241"/>
      <c r="M908" s="241"/>
      <c r="N908" s="241"/>
      <c r="O908" s="241"/>
      <c r="P908" s="241"/>
      <c r="Q908" s="241"/>
      <c r="R908" s="241"/>
      <c r="S908" s="241"/>
      <c r="T908" s="241"/>
      <c r="U908" s="241"/>
      <c r="V908" s="241"/>
      <c r="W908" s="241"/>
      <c r="X908" s="241"/>
      <c r="Y908" s="241"/>
      <c r="Z908" s="241"/>
      <c r="AA908" s="241"/>
    </row>
    <row r="909">
      <c r="A909" s="243"/>
      <c r="B909" s="243"/>
      <c r="C909" s="241"/>
      <c r="D909" s="241"/>
      <c r="E909" s="241"/>
      <c r="F909" s="241"/>
      <c r="G909" s="241"/>
      <c r="H909" s="241"/>
      <c r="I909" s="241"/>
      <c r="J909" s="241"/>
      <c r="K909" s="241"/>
      <c r="L909" s="241"/>
      <c r="M909" s="241"/>
      <c r="N909" s="241"/>
      <c r="O909" s="241"/>
      <c r="P909" s="241"/>
      <c r="Q909" s="241"/>
      <c r="R909" s="241"/>
      <c r="S909" s="241"/>
      <c r="T909" s="241"/>
      <c r="U909" s="241"/>
      <c r="V909" s="241"/>
      <c r="W909" s="241"/>
      <c r="X909" s="241"/>
      <c r="Y909" s="241"/>
      <c r="Z909" s="241"/>
      <c r="AA909" s="241"/>
    </row>
    <row r="910">
      <c r="A910" s="243"/>
      <c r="B910" s="243"/>
      <c r="C910" s="241"/>
      <c r="D910" s="241"/>
      <c r="E910" s="241"/>
      <c r="F910" s="241"/>
      <c r="G910" s="241"/>
      <c r="H910" s="241"/>
      <c r="I910" s="241"/>
      <c r="J910" s="241"/>
      <c r="K910" s="241"/>
      <c r="L910" s="241"/>
      <c r="M910" s="241"/>
      <c r="N910" s="241"/>
      <c r="O910" s="241"/>
      <c r="P910" s="241"/>
      <c r="Q910" s="241"/>
      <c r="R910" s="241"/>
      <c r="S910" s="241"/>
      <c r="T910" s="241"/>
      <c r="U910" s="241"/>
      <c r="V910" s="241"/>
      <c r="W910" s="241"/>
      <c r="X910" s="241"/>
      <c r="Y910" s="241"/>
      <c r="Z910" s="241"/>
      <c r="AA910" s="241"/>
    </row>
    <row r="911">
      <c r="A911" s="243"/>
      <c r="B911" s="243"/>
      <c r="C911" s="241"/>
      <c r="D911" s="241"/>
      <c r="E911" s="241"/>
      <c r="F911" s="241"/>
      <c r="G911" s="241"/>
      <c r="H911" s="241"/>
      <c r="I911" s="241"/>
      <c r="J911" s="241"/>
      <c r="K911" s="241"/>
      <c r="L911" s="241"/>
      <c r="M911" s="241"/>
      <c r="N911" s="241"/>
      <c r="O911" s="241"/>
      <c r="P911" s="241"/>
      <c r="Q911" s="241"/>
      <c r="R911" s="241"/>
      <c r="S911" s="241"/>
      <c r="T911" s="241"/>
      <c r="U911" s="241"/>
      <c r="V911" s="241"/>
      <c r="W911" s="241"/>
      <c r="X911" s="241"/>
      <c r="Y911" s="241"/>
      <c r="Z911" s="241"/>
      <c r="AA911" s="241"/>
    </row>
    <row r="912">
      <c r="A912" s="243"/>
      <c r="B912" s="243"/>
      <c r="C912" s="241"/>
      <c r="D912" s="241"/>
      <c r="E912" s="241"/>
      <c r="F912" s="241"/>
      <c r="G912" s="241"/>
      <c r="H912" s="241"/>
      <c r="I912" s="241"/>
      <c r="J912" s="241"/>
      <c r="K912" s="241"/>
      <c r="L912" s="241"/>
      <c r="M912" s="241"/>
      <c r="N912" s="241"/>
      <c r="O912" s="241"/>
      <c r="P912" s="241"/>
      <c r="Q912" s="241"/>
      <c r="R912" s="241"/>
      <c r="S912" s="241"/>
      <c r="T912" s="241"/>
      <c r="U912" s="241"/>
      <c r="V912" s="241"/>
      <c r="W912" s="241"/>
      <c r="X912" s="241"/>
      <c r="Y912" s="241"/>
      <c r="Z912" s="241"/>
      <c r="AA912" s="241"/>
    </row>
    <row r="913">
      <c r="A913" s="243"/>
      <c r="B913" s="243"/>
      <c r="C913" s="241"/>
      <c r="D913" s="241"/>
      <c r="E913" s="241"/>
      <c r="F913" s="241"/>
      <c r="G913" s="241"/>
      <c r="H913" s="241"/>
      <c r="I913" s="241"/>
      <c r="J913" s="241"/>
      <c r="K913" s="241"/>
      <c r="L913" s="241"/>
      <c r="M913" s="241"/>
      <c r="N913" s="241"/>
      <c r="O913" s="241"/>
      <c r="P913" s="241"/>
      <c r="Q913" s="241"/>
      <c r="R913" s="241"/>
      <c r="S913" s="241"/>
      <c r="T913" s="241"/>
      <c r="U913" s="241"/>
      <c r="V913" s="241"/>
      <c r="W913" s="241"/>
      <c r="X913" s="241"/>
      <c r="Y913" s="241"/>
      <c r="Z913" s="241"/>
      <c r="AA913" s="241"/>
    </row>
    <row r="914">
      <c r="A914" s="243"/>
      <c r="B914" s="243"/>
      <c r="C914" s="241"/>
      <c r="D914" s="241"/>
      <c r="E914" s="241"/>
      <c r="F914" s="241"/>
      <c r="G914" s="241"/>
      <c r="H914" s="241"/>
      <c r="I914" s="241"/>
      <c r="J914" s="241"/>
      <c r="K914" s="241"/>
      <c r="L914" s="241"/>
      <c r="M914" s="241"/>
      <c r="N914" s="241"/>
      <c r="O914" s="241"/>
      <c r="P914" s="241"/>
      <c r="Q914" s="241"/>
      <c r="R914" s="241"/>
      <c r="S914" s="241"/>
      <c r="T914" s="241"/>
      <c r="U914" s="241"/>
      <c r="V914" s="241"/>
      <c r="W914" s="241"/>
      <c r="X914" s="241"/>
      <c r="Y914" s="241"/>
      <c r="Z914" s="241"/>
      <c r="AA914" s="241"/>
    </row>
    <row r="915">
      <c r="A915" s="243"/>
      <c r="B915" s="243"/>
      <c r="C915" s="241"/>
      <c r="D915" s="241"/>
      <c r="E915" s="241"/>
      <c r="F915" s="241"/>
      <c r="G915" s="241"/>
      <c r="H915" s="241"/>
      <c r="I915" s="241"/>
      <c r="J915" s="241"/>
      <c r="K915" s="241"/>
      <c r="L915" s="241"/>
      <c r="M915" s="241"/>
      <c r="N915" s="241"/>
      <c r="O915" s="241"/>
      <c r="P915" s="241"/>
      <c r="Q915" s="241"/>
      <c r="R915" s="241"/>
      <c r="S915" s="241"/>
      <c r="T915" s="241"/>
      <c r="U915" s="241"/>
      <c r="V915" s="241"/>
      <c r="W915" s="241"/>
      <c r="X915" s="241"/>
      <c r="Y915" s="241"/>
      <c r="Z915" s="241"/>
      <c r="AA915" s="241"/>
    </row>
    <row r="916">
      <c r="A916" s="243"/>
      <c r="B916" s="243"/>
      <c r="C916" s="241"/>
      <c r="D916" s="241"/>
      <c r="E916" s="241"/>
      <c r="F916" s="241"/>
      <c r="G916" s="241"/>
      <c r="H916" s="241"/>
      <c r="I916" s="241"/>
      <c r="J916" s="241"/>
      <c r="K916" s="241"/>
      <c r="L916" s="241"/>
      <c r="M916" s="241"/>
      <c r="N916" s="241"/>
      <c r="O916" s="241"/>
      <c r="P916" s="241"/>
      <c r="Q916" s="241"/>
      <c r="R916" s="241"/>
      <c r="S916" s="241"/>
      <c r="T916" s="241"/>
      <c r="U916" s="241"/>
      <c r="V916" s="241"/>
      <c r="W916" s="241"/>
      <c r="X916" s="241"/>
      <c r="Y916" s="241"/>
      <c r="Z916" s="241"/>
      <c r="AA916" s="241"/>
    </row>
    <row r="917">
      <c r="A917" s="243"/>
      <c r="B917" s="243"/>
      <c r="C917" s="241"/>
      <c r="D917" s="241"/>
      <c r="E917" s="241"/>
      <c r="F917" s="241"/>
      <c r="G917" s="241"/>
      <c r="H917" s="241"/>
      <c r="I917" s="241"/>
      <c r="J917" s="241"/>
      <c r="K917" s="241"/>
      <c r="L917" s="241"/>
      <c r="M917" s="241"/>
      <c r="N917" s="241"/>
      <c r="O917" s="241"/>
      <c r="P917" s="241"/>
      <c r="Q917" s="241"/>
      <c r="R917" s="241"/>
      <c r="S917" s="241"/>
      <c r="T917" s="241"/>
      <c r="U917" s="241"/>
      <c r="V917" s="241"/>
      <c r="W917" s="241"/>
      <c r="X917" s="241"/>
      <c r="Y917" s="241"/>
      <c r="Z917" s="241"/>
      <c r="AA917" s="241"/>
    </row>
    <row r="918">
      <c r="A918" s="243"/>
      <c r="B918" s="243"/>
      <c r="C918" s="241"/>
      <c r="D918" s="241"/>
      <c r="E918" s="241"/>
      <c r="F918" s="241"/>
      <c r="G918" s="241"/>
      <c r="H918" s="241"/>
      <c r="I918" s="241"/>
      <c r="J918" s="241"/>
      <c r="K918" s="241"/>
      <c r="L918" s="241"/>
      <c r="M918" s="241"/>
      <c r="N918" s="241"/>
      <c r="O918" s="241"/>
      <c r="P918" s="241"/>
      <c r="Q918" s="241"/>
      <c r="R918" s="241"/>
      <c r="S918" s="241"/>
      <c r="T918" s="241"/>
      <c r="U918" s="241"/>
      <c r="V918" s="241"/>
      <c r="W918" s="241"/>
      <c r="X918" s="241"/>
      <c r="Y918" s="241"/>
      <c r="Z918" s="241"/>
      <c r="AA918" s="241"/>
    </row>
    <row r="919">
      <c r="A919" s="243"/>
      <c r="B919" s="243"/>
      <c r="C919" s="241"/>
      <c r="D919" s="241"/>
      <c r="E919" s="241"/>
      <c r="F919" s="241"/>
      <c r="G919" s="241"/>
      <c r="H919" s="241"/>
      <c r="I919" s="241"/>
      <c r="J919" s="241"/>
      <c r="K919" s="241"/>
      <c r="L919" s="241"/>
      <c r="M919" s="241"/>
      <c r="N919" s="241"/>
      <c r="O919" s="241"/>
      <c r="P919" s="241"/>
      <c r="Q919" s="241"/>
      <c r="R919" s="241"/>
      <c r="S919" s="241"/>
      <c r="T919" s="241"/>
      <c r="U919" s="241"/>
      <c r="V919" s="241"/>
      <c r="W919" s="241"/>
      <c r="X919" s="241"/>
      <c r="Y919" s="241"/>
      <c r="Z919" s="241"/>
      <c r="AA919" s="241"/>
    </row>
    <row r="920">
      <c r="A920" s="243"/>
      <c r="B920" s="243"/>
      <c r="C920" s="241"/>
      <c r="D920" s="241"/>
      <c r="E920" s="241"/>
      <c r="F920" s="241"/>
      <c r="G920" s="241"/>
      <c r="H920" s="241"/>
      <c r="I920" s="241"/>
      <c r="J920" s="241"/>
      <c r="K920" s="241"/>
      <c r="L920" s="241"/>
      <c r="M920" s="241"/>
      <c r="N920" s="241"/>
      <c r="O920" s="241"/>
      <c r="P920" s="241"/>
      <c r="Q920" s="241"/>
      <c r="R920" s="241"/>
      <c r="S920" s="241"/>
      <c r="T920" s="241"/>
      <c r="U920" s="241"/>
      <c r="V920" s="241"/>
      <c r="W920" s="241"/>
      <c r="X920" s="241"/>
      <c r="Y920" s="241"/>
      <c r="Z920" s="241"/>
      <c r="AA920" s="241"/>
    </row>
    <row r="921">
      <c r="A921" s="243"/>
      <c r="B921" s="243"/>
      <c r="C921" s="241"/>
      <c r="D921" s="241"/>
      <c r="E921" s="241"/>
      <c r="F921" s="241"/>
      <c r="G921" s="241"/>
      <c r="H921" s="241"/>
      <c r="I921" s="241"/>
      <c r="J921" s="241"/>
      <c r="K921" s="241"/>
      <c r="L921" s="241"/>
      <c r="M921" s="241"/>
      <c r="N921" s="241"/>
      <c r="O921" s="241"/>
      <c r="P921" s="241"/>
      <c r="Q921" s="241"/>
      <c r="R921" s="241"/>
      <c r="S921" s="241"/>
      <c r="T921" s="241"/>
      <c r="U921" s="241"/>
      <c r="V921" s="241"/>
      <c r="W921" s="241"/>
      <c r="X921" s="241"/>
      <c r="Y921" s="241"/>
      <c r="Z921" s="241"/>
      <c r="AA921" s="241"/>
    </row>
    <row r="922">
      <c r="A922" s="243"/>
      <c r="B922" s="243"/>
      <c r="C922" s="241"/>
      <c r="D922" s="241"/>
      <c r="E922" s="241"/>
      <c r="F922" s="241"/>
      <c r="G922" s="241"/>
      <c r="H922" s="241"/>
      <c r="I922" s="241"/>
      <c r="J922" s="241"/>
      <c r="K922" s="241"/>
      <c r="L922" s="241"/>
      <c r="M922" s="241"/>
      <c r="N922" s="241"/>
      <c r="O922" s="241"/>
      <c r="P922" s="241"/>
      <c r="Q922" s="241"/>
      <c r="R922" s="241"/>
      <c r="S922" s="241"/>
      <c r="T922" s="241"/>
      <c r="U922" s="241"/>
      <c r="V922" s="241"/>
      <c r="W922" s="241"/>
      <c r="X922" s="241"/>
      <c r="Y922" s="241"/>
      <c r="Z922" s="241"/>
      <c r="AA922" s="241"/>
    </row>
    <row r="923">
      <c r="A923" s="243"/>
      <c r="B923" s="243"/>
      <c r="C923" s="241"/>
      <c r="D923" s="241"/>
      <c r="E923" s="241"/>
      <c r="F923" s="241"/>
      <c r="G923" s="241"/>
      <c r="H923" s="241"/>
      <c r="I923" s="241"/>
      <c r="J923" s="241"/>
      <c r="K923" s="241"/>
      <c r="L923" s="241"/>
      <c r="M923" s="241"/>
      <c r="N923" s="241"/>
      <c r="O923" s="241"/>
      <c r="P923" s="241"/>
      <c r="Q923" s="241"/>
      <c r="R923" s="241"/>
      <c r="S923" s="241"/>
      <c r="T923" s="241"/>
      <c r="U923" s="241"/>
      <c r="V923" s="241"/>
      <c r="W923" s="241"/>
      <c r="X923" s="241"/>
      <c r="Y923" s="241"/>
      <c r="Z923" s="241"/>
      <c r="AA923" s="241"/>
    </row>
    <row r="924">
      <c r="A924" s="243"/>
      <c r="B924" s="243"/>
      <c r="C924" s="241"/>
      <c r="D924" s="241"/>
      <c r="E924" s="241"/>
      <c r="F924" s="241"/>
      <c r="G924" s="241"/>
      <c r="H924" s="241"/>
      <c r="I924" s="241"/>
      <c r="J924" s="241"/>
      <c r="K924" s="241"/>
      <c r="L924" s="241"/>
      <c r="M924" s="241"/>
      <c r="N924" s="241"/>
      <c r="O924" s="241"/>
      <c r="P924" s="241"/>
      <c r="Q924" s="241"/>
      <c r="R924" s="241"/>
      <c r="S924" s="241"/>
      <c r="T924" s="241"/>
      <c r="U924" s="241"/>
      <c r="V924" s="241"/>
      <c r="W924" s="241"/>
      <c r="X924" s="241"/>
      <c r="Y924" s="241"/>
      <c r="Z924" s="241"/>
      <c r="AA924" s="241"/>
    </row>
    <row r="925">
      <c r="A925" s="243"/>
      <c r="B925" s="243"/>
      <c r="C925" s="241"/>
      <c r="D925" s="241"/>
      <c r="E925" s="241"/>
      <c r="F925" s="241"/>
      <c r="G925" s="241"/>
      <c r="H925" s="241"/>
      <c r="I925" s="241"/>
      <c r="J925" s="241"/>
      <c r="K925" s="241"/>
      <c r="L925" s="241"/>
      <c r="M925" s="241"/>
      <c r="N925" s="241"/>
      <c r="O925" s="241"/>
      <c r="P925" s="241"/>
      <c r="Q925" s="241"/>
      <c r="R925" s="241"/>
      <c r="S925" s="241"/>
      <c r="T925" s="241"/>
      <c r="U925" s="241"/>
      <c r="V925" s="241"/>
      <c r="W925" s="241"/>
      <c r="X925" s="241"/>
      <c r="Y925" s="241"/>
      <c r="Z925" s="241"/>
      <c r="AA925" s="241"/>
    </row>
    <row r="926">
      <c r="A926" s="243"/>
      <c r="B926" s="243"/>
      <c r="C926" s="241"/>
      <c r="D926" s="241"/>
      <c r="E926" s="241"/>
      <c r="F926" s="241"/>
      <c r="G926" s="241"/>
      <c r="H926" s="241"/>
      <c r="I926" s="241"/>
      <c r="J926" s="241"/>
      <c r="K926" s="241"/>
      <c r="L926" s="241"/>
      <c r="M926" s="241"/>
      <c r="N926" s="241"/>
      <c r="O926" s="241"/>
      <c r="P926" s="241"/>
      <c r="Q926" s="241"/>
      <c r="R926" s="241"/>
      <c r="S926" s="241"/>
      <c r="T926" s="241"/>
      <c r="U926" s="241"/>
      <c r="V926" s="241"/>
      <c r="W926" s="241"/>
      <c r="X926" s="241"/>
      <c r="Y926" s="241"/>
      <c r="Z926" s="241"/>
      <c r="AA926" s="241"/>
    </row>
    <row r="927">
      <c r="A927" s="243"/>
      <c r="B927" s="243"/>
      <c r="C927" s="241"/>
      <c r="D927" s="241"/>
      <c r="E927" s="241"/>
      <c r="F927" s="241"/>
      <c r="G927" s="241"/>
      <c r="H927" s="241"/>
      <c r="I927" s="241"/>
      <c r="J927" s="241"/>
      <c r="K927" s="241"/>
      <c r="L927" s="241"/>
      <c r="M927" s="241"/>
      <c r="N927" s="241"/>
      <c r="O927" s="241"/>
      <c r="P927" s="241"/>
      <c r="Q927" s="241"/>
      <c r="R927" s="241"/>
      <c r="S927" s="241"/>
      <c r="T927" s="241"/>
      <c r="U927" s="241"/>
      <c r="V927" s="241"/>
      <c r="W927" s="241"/>
      <c r="X927" s="241"/>
      <c r="Y927" s="241"/>
      <c r="Z927" s="241"/>
      <c r="AA927" s="241"/>
    </row>
    <row r="928">
      <c r="A928" s="243"/>
      <c r="B928" s="243"/>
      <c r="C928" s="241"/>
      <c r="D928" s="241"/>
      <c r="E928" s="241"/>
      <c r="F928" s="241"/>
      <c r="G928" s="241"/>
      <c r="H928" s="241"/>
      <c r="I928" s="241"/>
      <c r="J928" s="241"/>
      <c r="K928" s="241"/>
      <c r="L928" s="241"/>
      <c r="M928" s="241"/>
      <c r="N928" s="241"/>
      <c r="O928" s="241"/>
      <c r="P928" s="241"/>
      <c r="Q928" s="241"/>
      <c r="R928" s="241"/>
      <c r="S928" s="241"/>
      <c r="T928" s="241"/>
      <c r="U928" s="241"/>
      <c r="V928" s="241"/>
      <c r="W928" s="241"/>
      <c r="X928" s="241"/>
      <c r="Y928" s="241"/>
      <c r="Z928" s="241"/>
      <c r="AA928" s="241"/>
    </row>
    <row r="929">
      <c r="A929" s="243"/>
      <c r="B929" s="243"/>
      <c r="C929" s="241"/>
      <c r="D929" s="241"/>
      <c r="E929" s="241"/>
      <c r="F929" s="241"/>
      <c r="G929" s="241"/>
      <c r="H929" s="241"/>
      <c r="I929" s="241"/>
      <c r="J929" s="241"/>
      <c r="K929" s="241"/>
      <c r="L929" s="241"/>
      <c r="M929" s="241"/>
      <c r="N929" s="241"/>
      <c r="O929" s="241"/>
      <c r="P929" s="241"/>
      <c r="Q929" s="241"/>
      <c r="R929" s="241"/>
      <c r="S929" s="241"/>
      <c r="T929" s="241"/>
      <c r="U929" s="241"/>
      <c r="V929" s="241"/>
      <c r="W929" s="241"/>
      <c r="X929" s="241"/>
      <c r="Y929" s="241"/>
      <c r="Z929" s="241"/>
      <c r="AA929" s="241"/>
    </row>
    <row r="930">
      <c r="A930" s="243"/>
      <c r="B930" s="243"/>
      <c r="C930" s="241"/>
      <c r="D930" s="241"/>
      <c r="E930" s="241"/>
      <c r="F930" s="241"/>
      <c r="G930" s="241"/>
      <c r="H930" s="241"/>
      <c r="I930" s="241"/>
      <c r="J930" s="241"/>
      <c r="K930" s="241"/>
      <c r="L930" s="241"/>
      <c r="M930" s="241"/>
      <c r="N930" s="241"/>
      <c r="O930" s="241"/>
      <c r="P930" s="241"/>
      <c r="Q930" s="241"/>
      <c r="R930" s="241"/>
      <c r="S930" s="241"/>
      <c r="T930" s="241"/>
      <c r="U930" s="241"/>
      <c r="V930" s="241"/>
      <c r="W930" s="241"/>
      <c r="X930" s="241"/>
      <c r="Y930" s="241"/>
      <c r="Z930" s="241"/>
      <c r="AA930" s="241"/>
    </row>
    <row r="931">
      <c r="A931" s="243"/>
      <c r="B931" s="243"/>
      <c r="C931" s="241"/>
      <c r="D931" s="241"/>
      <c r="E931" s="241"/>
      <c r="F931" s="241"/>
      <c r="G931" s="241"/>
      <c r="H931" s="241"/>
      <c r="I931" s="241"/>
      <c r="J931" s="241"/>
      <c r="K931" s="241"/>
      <c r="L931" s="241"/>
      <c r="M931" s="241"/>
      <c r="N931" s="241"/>
      <c r="O931" s="241"/>
      <c r="P931" s="241"/>
      <c r="Q931" s="241"/>
      <c r="R931" s="241"/>
      <c r="S931" s="241"/>
      <c r="T931" s="241"/>
      <c r="U931" s="241"/>
      <c r="V931" s="241"/>
      <c r="W931" s="241"/>
      <c r="X931" s="241"/>
      <c r="Y931" s="241"/>
      <c r="Z931" s="241"/>
      <c r="AA931" s="241"/>
    </row>
    <row r="932">
      <c r="A932" s="243"/>
      <c r="B932" s="243"/>
      <c r="C932" s="241"/>
      <c r="D932" s="241"/>
      <c r="E932" s="241"/>
      <c r="F932" s="241"/>
      <c r="G932" s="241"/>
      <c r="H932" s="241"/>
      <c r="I932" s="241"/>
      <c r="J932" s="241"/>
      <c r="K932" s="241"/>
      <c r="L932" s="241"/>
      <c r="M932" s="241"/>
      <c r="N932" s="241"/>
      <c r="O932" s="241"/>
      <c r="P932" s="241"/>
      <c r="Q932" s="241"/>
      <c r="R932" s="241"/>
      <c r="S932" s="241"/>
      <c r="T932" s="241"/>
      <c r="U932" s="241"/>
      <c r="V932" s="241"/>
      <c r="W932" s="241"/>
      <c r="X932" s="241"/>
      <c r="Y932" s="241"/>
      <c r="Z932" s="241"/>
      <c r="AA932" s="241"/>
    </row>
    <row r="933">
      <c r="A933" s="243"/>
      <c r="B933" s="243"/>
      <c r="C933" s="241"/>
      <c r="D933" s="241"/>
      <c r="E933" s="241"/>
      <c r="F933" s="241"/>
      <c r="G933" s="241"/>
      <c r="H933" s="241"/>
      <c r="I933" s="241"/>
      <c r="J933" s="241"/>
      <c r="K933" s="241"/>
      <c r="L933" s="241"/>
      <c r="M933" s="241"/>
      <c r="N933" s="241"/>
      <c r="O933" s="241"/>
      <c r="P933" s="241"/>
      <c r="Q933" s="241"/>
      <c r="R933" s="241"/>
      <c r="S933" s="241"/>
      <c r="T933" s="241"/>
      <c r="U933" s="241"/>
      <c r="V933" s="241"/>
      <c r="W933" s="241"/>
      <c r="X933" s="241"/>
      <c r="Y933" s="241"/>
      <c r="Z933" s="241"/>
      <c r="AA933" s="241"/>
    </row>
    <row r="934">
      <c r="A934" s="243"/>
      <c r="B934" s="243"/>
      <c r="C934" s="241"/>
      <c r="D934" s="241"/>
      <c r="E934" s="241"/>
      <c r="F934" s="241"/>
      <c r="G934" s="241"/>
      <c r="H934" s="241"/>
      <c r="I934" s="241"/>
      <c r="J934" s="241"/>
      <c r="K934" s="241"/>
      <c r="L934" s="241"/>
      <c r="M934" s="241"/>
      <c r="N934" s="241"/>
      <c r="O934" s="241"/>
      <c r="P934" s="241"/>
      <c r="Q934" s="241"/>
      <c r="R934" s="241"/>
      <c r="S934" s="241"/>
      <c r="T934" s="241"/>
      <c r="U934" s="241"/>
      <c r="V934" s="241"/>
      <c r="W934" s="241"/>
      <c r="X934" s="241"/>
      <c r="Y934" s="241"/>
      <c r="Z934" s="241"/>
      <c r="AA934" s="241"/>
    </row>
    <row r="935">
      <c r="A935" s="243"/>
      <c r="B935" s="243"/>
      <c r="C935" s="241"/>
      <c r="D935" s="241"/>
      <c r="E935" s="241"/>
      <c r="F935" s="241"/>
      <c r="G935" s="241"/>
      <c r="H935" s="241"/>
      <c r="I935" s="241"/>
      <c r="J935" s="241"/>
      <c r="K935" s="241"/>
      <c r="L935" s="241"/>
      <c r="M935" s="241"/>
      <c r="N935" s="241"/>
      <c r="O935" s="241"/>
      <c r="P935" s="241"/>
      <c r="Q935" s="241"/>
      <c r="R935" s="241"/>
      <c r="S935" s="241"/>
      <c r="T935" s="241"/>
      <c r="U935" s="241"/>
      <c r="V935" s="241"/>
      <c r="W935" s="241"/>
      <c r="X935" s="241"/>
      <c r="Y935" s="241"/>
      <c r="Z935" s="241"/>
      <c r="AA935" s="241"/>
    </row>
    <row r="936">
      <c r="A936" s="243"/>
      <c r="B936" s="243"/>
      <c r="C936" s="241"/>
      <c r="D936" s="241"/>
      <c r="E936" s="241"/>
      <c r="F936" s="241"/>
      <c r="G936" s="241"/>
      <c r="H936" s="241"/>
      <c r="I936" s="241"/>
      <c r="J936" s="241"/>
      <c r="K936" s="241"/>
      <c r="L936" s="241"/>
      <c r="M936" s="241"/>
      <c r="N936" s="241"/>
      <c r="O936" s="241"/>
      <c r="P936" s="241"/>
      <c r="Q936" s="241"/>
      <c r="R936" s="241"/>
      <c r="S936" s="241"/>
      <c r="T936" s="241"/>
      <c r="U936" s="241"/>
      <c r="V936" s="241"/>
      <c r="W936" s="241"/>
      <c r="X936" s="241"/>
      <c r="Y936" s="241"/>
      <c r="Z936" s="241"/>
      <c r="AA936" s="241"/>
    </row>
    <row r="937">
      <c r="A937" s="243"/>
      <c r="B937" s="243"/>
      <c r="C937" s="241"/>
      <c r="D937" s="241"/>
      <c r="E937" s="241"/>
      <c r="F937" s="241"/>
      <c r="G937" s="241"/>
      <c r="H937" s="241"/>
      <c r="I937" s="241"/>
      <c r="J937" s="241"/>
      <c r="K937" s="241"/>
      <c r="L937" s="241"/>
      <c r="M937" s="241"/>
      <c r="N937" s="241"/>
      <c r="O937" s="241"/>
      <c r="P937" s="241"/>
      <c r="Q937" s="241"/>
      <c r="R937" s="241"/>
      <c r="S937" s="241"/>
      <c r="T937" s="241"/>
      <c r="U937" s="241"/>
      <c r="V937" s="241"/>
      <c r="W937" s="241"/>
      <c r="X937" s="241"/>
      <c r="Y937" s="241"/>
      <c r="Z937" s="241"/>
      <c r="AA937" s="241"/>
    </row>
    <row r="938">
      <c r="A938" s="243"/>
      <c r="B938" s="243"/>
      <c r="C938" s="241"/>
      <c r="D938" s="241"/>
      <c r="E938" s="241"/>
      <c r="F938" s="241"/>
      <c r="G938" s="241"/>
      <c r="H938" s="241"/>
      <c r="I938" s="241"/>
      <c r="J938" s="241"/>
      <c r="K938" s="241"/>
      <c r="L938" s="241"/>
      <c r="M938" s="241"/>
      <c r="N938" s="241"/>
      <c r="O938" s="241"/>
      <c r="P938" s="241"/>
      <c r="Q938" s="241"/>
      <c r="R938" s="241"/>
      <c r="S938" s="241"/>
      <c r="T938" s="241"/>
      <c r="U938" s="241"/>
      <c r="V938" s="241"/>
      <c r="W938" s="241"/>
      <c r="X938" s="241"/>
      <c r="Y938" s="241"/>
      <c r="Z938" s="241"/>
      <c r="AA938" s="241"/>
    </row>
    <row r="939">
      <c r="A939" s="243"/>
      <c r="B939" s="243"/>
      <c r="C939" s="241"/>
      <c r="D939" s="241"/>
      <c r="E939" s="241"/>
      <c r="F939" s="241"/>
      <c r="G939" s="241"/>
      <c r="H939" s="241"/>
      <c r="I939" s="241"/>
      <c r="J939" s="241"/>
      <c r="K939" s="241"/>
      <c r="L939" s="241"/>
      <c r="M939" s="241"/>
      <c r="N939" s="241"/>
      <c r="O939" s="241"/>
      <c r="P939" s="241"/>
      <c r="Q939" s="241"/>
      <c r="R939" s="241"/>
      <c r="S939" s="241"/>
      <c r="T939" s="241"/>
      <c r="U939" s="241"/>
      <c r="V939" s="241"/>
      <c r="W939" s="241"/>
      <c r="X939" s="241"/>
      <c r="Y939" s="241"/>
      <c r="Z939" s="241"/>
      <c r="AA939" s="241"/>
    </row>
    <row r="940">
      <c r="A940" s="243"/>
      <c r="B940" s="243"/>
      <c r="C940" s="241"/>
      <c r="D940" s="241"/>
      <c r="E940" s="241"/>
      <c r="F940" s="241"/>
      <c r="G940" s="241"/>
      <c r="H940" s="241"/>
      <c r="I940" s="241"/>
      <c r="J940" s="241"/>
      <c r="K940" s="241"/>
      <c r="L940" s="241"/>
      <c r="M940" s="241"/>
      <c r="N940" s="241"/>
      <c r="O940" s="241"/>
      <c r="P940" s="241"/>
      <c r="Q940" s="241"/>
      <c r="R940" s="241"/>
      <c r="S940" s="241"/>
      <c r="T940" s="241"/>
      <c r="U940" s="241"/>
      <c r="V940" s="241"/>
      <c r="W940" s="241"/>
      <c r="X940" s="241"/>
      <c r="Y940" s="241"/>
      <c r="Z940" s="241"/>
      <c r="AA940" s="241"/>
    </row>
    <row r="941">
      <c r="A941" s="243"/>
      <c r="B941" s="243"/>
      <c r="C941" s="241"/>
      <c r="D941" s="241"/>
      <c r="E941" s="241"/>
      <c r="F941" s="241"/>
      <c r="G941" s="241"/>
      <c r="H941" s="241"/>
      <c r="I941" s="241"/>
      <c r="J941" s="241"/>
      <c r="K941" s="241"/>
      <c r="L941" s="241"/>
      <c r="M941" s="241"/>
      <c r="N941" s="241"/>
      <c r="O941" s="241"/>
      <c r="P941" s="241"/>
      <c r="Q941" s="241"/>
      <c r="R941" s="241"/>
      <c r="S941" s="241"/>
      <c r="T941" s="241"/>
      <c r="U941" s="241"/>
      <c r="V941" s="241"/>
      <c r="W941" s="241"/>
      <c r="X941" s="241"/>
      <c r="Y941" s="241"/>
      <c r="Z941" s="241"/>
      <c r="AA941" s="241"/>
    </row>
    <row r="942">
      <c r="A942" s="243"/>
      <c r="B942" s="243"/>
      <c r="C942" s="241"/>
      <c r="D942" s="241"/>
      <c r="E942" s="241"/>
      <c r="F942" s="241"/>
      <c r="G942" s="241"/>
      <c r="H942" s="241"/>
      <c r="I942" s="241"/>
      <c r="J942" s="241"/>
      <c r="K942" s="241"/>
      <c r="L942" s="241"/>
      <c r="M942" s="241"/>
      <c r="N942" s="241"/>
      <c r="O942" s="241"/>
      <c r="P942" s="241"/>
      <c r="Q942" s="241"/>
      <c r="R942" s="241"/>
      <c r="S942" s="241"/>
      <c r="T942" s="241"/>
      <c r="U942" s="241"/>
      <c r="V942" s="241"/>
      <c r="W942" s="241"/>
      <c r="X942" s="241"/>
      <c r="Y942" s="241"/>
      <c r="Z942" s="241"/>
      <c r="AA942" s="241"/>
    </row>
    <row r="943">
      <c r="A943" s="243"/>
      <c r="B943" s="243"/>
      <c r="C943" s="241"/>
      <c r="D943" s="241"/>
      <c r="E943" s="241"/>
      <c r="F943" s="241"/>
      <c r="G943" s="241"/>
      <c r="H943" s="241"/>
      <c r="I943" s="241"/>
      <c r="J943" s="241"/>
      <c r="K943" s="241"/>
      <c r="L943" s="241"/>
      <c r="M943" s="241"/>
      <c r="N943" s="241"/>
      <c r="O943" s="241"/>
      <c r="P943" s="241"/>
      <c r="Q943" s="241"/>
      <c r="R943" s="241"/>
      <c r="S943" s="241"/>
      <c r="T943" s="241"/>
      <c r="U943" s="241"/>
      <c r="V943" s="241"/>
      <c r="W943" s="241"/>
      <c r="X943" s="241"/>
      <c r="Y943" s="241"/>
      <c r="Z943" s="241"/>
      <c r="AA943" s="241"/>
    </row>
    <row r="944">
      <c r="A944" s="243"/>
      <c r="B944" s="243"/>
      <c r="C944" s="241"/>
      <c r="D944" s="241"/>
      <c r="E944" s="241"/>
      <c r="F944" s="241"/>
      <c r="G944" s="241"/>
      <c r="H944" s="241"/>
      <c r="I944" s="241"/>
      <c r="J944" s="241"/>
      <c r="K944" s="241"/>
      <c r="L944" s="241"/>
      <c r="M944" s="241"/>
      <c r="N944" s="241"/>
      <c r="O944" s="241"/>
      <c r="P944" s="241"/>
      <c r="Q944" s="241"/>
      <c r="R944" s="241"/>
      <c r="S944" s="241"/>
      <c r="T944" s="241"/>
      <c r="U944" s="241"/>
      <c r="V944" s="241"/>
      <c r="W944" s="241"/>
      <c r="X944" s="241"/>
      <c r="Y944" s="241"/>
      <c r="Z944" s="241"/>
      <c r="AA944" s="241"/>
    </row>
    <row r="945">
      <c r="A945" s="243"/>
      <c r="B945" s="243"/>
      <c r="C945" s="241"/>
      <c r="D945" s="241"/>
      <c r="E945" s="241"/>
      <c r="F945" s="241"/>
      <c r="G945" s="241"/>
      <c r="H945" s="241"/>
      <c r="I945" s="241"/>
      <c r="J945" s="241"/>
      <c r="K945" s="241"/>
      <c r="L945" s="241"/>
      <c r="M945" s="241"/>
      <c r="N945" s="241"/>
      <c r="O945" s="241"/>
      <c r="P945" s="241"/>
      <c r="Q945" s="241"/>
      <c r="R945" s="241"/>
      <c r="S945" s="241"/>
      <c r="T945" s="241"/>
      <c r="U945" s="241"/>
      <c r="V945" s="241"/>
      <c r="W945" s="241"/>
      <c r="X945" s="241"/>
      <c r="Y945" s="241"/>
      <c r="Z945" s="241"/>
      <c r="AA945" s="241"/>
    </row>
    <row r="946">
      <c r="A946" s="243"/>
      <c r="B946" s="243"/>
      <c r="C946" s="241"/>
      <c r="D946" s="241"/>
      <c r="E946" s="241"/>
      <c r="F946" s="241"/>
      <c r="G946" s="241"/>
      <c r="H946" s="241"/>
      <c r="I946" s="241"/>
      <c r="J946" s="241"/>
      <c r="K946" s="241"/>
      <c r="L946" s="241"/>
      <c r="M946" s="241"/>
      <c r="N946" s="241"/>
      <c r="O946" s="241"/>
      <c r="P946" s="241"/>
      <c r="Q946" s="241"/>
      <c r="R946" s="241"/>
      <c r="S946" s="241"/>
      <c r="T946" s="241"/>
      <c r="U946" s="241"/>
      <c r="V946" s="241"/>
      <c r="W946" s="241"/>
      <c r="X946" s="241"/>
      <c r="Y946" s="241"/>
      <c r="Z946" s="241"/>
      <c r="AA946" s="241"/>
    </row>
    <row r="947">
      <c r="A947" s="243"/>
      <c r="B947" s="243"/>
      <c r="C947" s="241"/>
      <c r="D947" s="241"/>
      <c r="E947" s="241"/>
      <c r="F947" s="241"/>
      <c r="G947" s="241"/>
      <c r="H947" s="241"/>
      <c r="I947" s="241"/>
      <c r="J947" s="241"/>
      <c r="K947" s="241"/>
      <c r="L947" s="241"/>
      <c r="M947" s="241"/>
      <c r="N947" s="241"/>
      <c r="O947" s="241"/>
      <c r="P947" s="241"/>
      <c r="Q947" s="241"/>
      <c r="R947" s="241"/>
      <c r="S947" s="241"/>
      <c r="T947" s="241"/>
      <c r="U947" s="241"/>
      <c r="V947" s="241"/>
      <c r="W947" s="241"/>
      <c r="X947" s="241"/>
      <c r="Y947" s="241"/>
      <c r="Z947" s="241"/>
      <c r="AA947" s="241"/>
    </row>
    <row r="948">
      <c r="A948" s="243"/>
      <c r="B948" s="243"/>
      <c r="C948" s="241"/>
      <c r="D948" s="241"/>
      <c r="E948" s="241"/>
      <c r="F948" s="241"/>
      <c r="G948" s="241"/>
      <c r="H948" s="241"/>
      <c r="I948" s="241"/>
      <c r="J948" s="241"/>
      <c r="K948" s="241"/>
      <c r="L948" s="241"/>
      <c r="M948" s="241"/>
      <c r="N948" s="241"/>
      <c r="O948" s="241"/>
      <c r="P948" s="241"/>
      <c r="Q948" s="241"/>
      <c r="R948" s="241"/>
      <c r="S948" s="241"/>
      <c r="T948" s="241"/>
      <c r="U948" s="241"/>
      <c r="V948" s="241"/>
      <c r="W948" s="241"/>
      <c r="X948" s="241"/>
      <c r="Y948" s="241"/>
      <c r="Z948" s="241"/>
      <c r="AA948" s="241"/>
    </row>
    <row r="949">
      <c r="A949" s="243"/>
      <c r="B949" s="243"/>
      <c r="C949" s="241"/>
      <c r="D949" s="241"/>
      <c r="E949" s="241"/>
      <c r="F949" s="241"/>
      <c r="G949" s="241"/>
      <c r="H949" s="241"/>
      <c r="I949" s="241"/>
      <c r="J949" s="241"/>
      <c r="K949" s="241"/>
      <c r="L949" s="241"/>
      <c r="M949" s="241"/>
      <c r="N949" s="241"/>
      <c r="O949" s="241"/>
      <c r="P949" s="241"/>
      <c r="Q949" s="241"/>
      <c r="R949" s="241"/>
      <c r="S949" s="241"/>
      <c r="T949" s="241"/>
      <c r="U949" s="241"/>
      <c r="V949" s="241"/>
      <c r="W949" s="241"/>
      <c r="X949" s="241"/>
      <c r="Y949" s="241"/>
      <c r="Z949" s="241"/>
      <c r="AA949" s="241"/>
    </row>
    <row r="950">
      <c r="A950" s="243"/>
      <c r="B950" s="243"/>
      <c r="C950" s="241"/>
      <c r="D950" s="241"/>
      <c r="E950" s="241"/>
      <c r="F950" s="241"/>
      <c r="G950" s="241"/>
      <c r="H950" s="241"/>
      <c r="I950" s="241"/>
      <c r="J950" s="241"/>
      <c r="K950" s="241"/>
      <c r="L950" s="241"/>
      <c r="M950" s="241"/>
      <c r="N950" s="241"/>
      <c r="O950" s="241"/>
      <c r="P950" s="241"/>
      <c r="Q950" s="241"/>
      <c r="R950" s="241"/>
      <c r="S950" s="241"/>
      <c r="T950" s="241"/>
      <c r="U950" s="241"/>
      <c r="V950" s="241"/>
      <c r="W950" s="241"/>
      <c r="X950" s="241"/>
      <c r="Y950" s="241"/>
      <c r="Z950" s="241"/>
      <c r="AA950" s="241"/>
    </row>
    <row r="951">
      <c r="A951" s="243"/>
      <c r="B951" s="243"/>
      <c r="C951" s="241"/>
      <c r="D951" s="241"/>
      <c r="E951" s="241"/>
      <c r="F951" s="241"/>
      <c r="G951" s="241"/>
      <c r="H951" s="241"/>
      <c r="I951" s="241"/>
      <c r="J951" s="241"/>
      <c r="K951" s="241"/>
      <c r="L951" s="241"/>
      <c r="M951" s="241"/>
      <c r="N951" s="241"/>
      <c r="O951" s="241"/>
      <c r="P951" s="241"/>
      <c r="Q951" s="241"/>
      <c r="R951" s="241"/>
      <c r="S951" s="241"/>
      <c r="T951" s="241"/>
      <c r="U951" s="241"/>
      <c r="V951" s="241"/>
      <c r="W951" s="241"/>
      <c r="X951" s="241"/>
      <c r="Y951" s="241"/>
      <c r="Z951" s="241"/>
      <c r="AA951" s="241"/>
    </row>
    <row r="952">
      <c r="A952" s="243"/>
      <c r="B952" s="243"/>
      <c r="C952" s="241"/>
      <c r="D952" s="241"/>
      <c r="E952" s="241"/>
      <c r="F952" s="241"/>
      <c r="G952" s="241"/>
      <c r="H952" s="241"/>
      <c r="I952" s="241"/>
      <c r="J952" s="241"/>
      <c r="K952" s="241"/>
      <c r="L952" s="241"/>
      <c r="M952" s="241"/>
      <c r="N952" s="241"/>
      <c r="O952" s="241"/>
      <c r="P952" s="241"/>
      <c r="Q952" s="241"/>
      <c r="R952" s="241"/>
      <c r="S952" s="241"/>
      <c r="T952" s="241"/>
      <c r="U952" s="241"/>
      <c r="V952" s="241"/>
      <c r="W952" s="241"/>
      <c r="X952" s="241"/>
      <c r="Y952" s="241"/>
      <c r="Z952" s="241"/>
      <c r="AA952" s="241"/>
    </row>
    <row r="953">
      <c r="A953" s="243"/>
      <c r="B953" s="243"/>
      <c r="C953" s="241"/>
      <c r="D953" s="241"/>
      <c r="E953" s="241"/>
      <c r="F953" s="241"/>
      <c r="G953" s="241"/>
      <c r="H953" s="241"/>
      <c r="I953" s="241"/>
      <c r="J953" s="241"/>
      <c r="K953" s="241"/>
      <c r="L953" s="241"/>
      <c r="M953" s="241"/>
      <c r="N953" s="241"/>
      <c r="O953" s="241"/>
      <c r="P953" s="241"/>
      <c r="Q953" s="241"/>
      <c r="R953" s="241"/>
      <c r="S953" s="241"/>
      <c r="T953" s="241"/>
      <c r="U953" s="241"/>
      <c r="V953" s="241"/>
      <c r="W953" s="241"/>
      <c r="X953" s="241"/>
      <c r="Y953" s="241"/>
      <c r="Z953" s="241"/>
      <c r="AA953" s="241"/>
    </row>
    <row r="954">
      <c r="A954" s="243"/>
      <c r="B954" s="243"/>
      <c r="C954" s="241"/>
      <c r="D954" s="241"/>
      <c r="E954" s="241"/>
      <c r="F954" s="241"/>
      <c r="G954" s="241"/>
      <c r="H954" s="241"/>
      <c r="I954" s="241"/>
      <c r="J954" s="241"/>
      <c r="K954" s="241"/>
      <c r="L954" s="241"/>
      <c r="M954" s="241"/>
      <c r="N954" s="241"/>
      <c r="O954" s="241"/>
      <c r="P954" s="241"/>
      <c r="Q954" s="241"/>
      <c r="R954" s="241"/>
      <c r="S954" s="241"/>
      <c r="T954" s="241"/>
      <c r="U954" s="241"/>
      <c r="V954" s="241"/>
      <c r="W954" s="241"/>
      <c r="X954" s="241"/>
      <c r="Y954" s="241"/>
      <c r="Z954" s="241"/>
      <c r="AA954" s="241"/>
    </row>
    <row r="955">
      <c r="A955" s="243"/>
      <c r="B955" s="243"/>
      <c r="C955" s="241"/>
      <c r="D955" s="241"/>
      <c r="E955" s="241"/>
      <c r="F955" s="241"/>
      <c r="G955" s="241"/>
      <c r="H955" s="241"/>
      <c r="I955" s="241"/>
      <c r="J955" s="241"/>
      <c r="K955" s="241"/>
      <c r="L955" s="241"/>
      <c r="M955" s="241"/>
      <c r="N955" s="241"/>
      <c r="O955" s="241"/>
      <c r="P955" s="241"/>
      <c r="Q955" s="241"/>
      <c r="R955" s="241"/>
      <c r="S955" s="241"/>
      <c r="T955" s="241"/>
      <c r="U955" s="241"/>
      <c r="V955" s="241"/>
      <c r="W955" s="241"/>
      <c r="X955" s="241"/>
      <c r="Y955" s="241"/>
      <c r="Z955" s="241"/>
      <c r="AA955" s="241"/>
    </row>
    <row r="956">
      <c r="A956" s="243"/>
      <c r="B956" s="243"/>
      <c r="C956" s="241"/>
      <c r="D956" s="241"/>
      <c r="E956" s="241"/>
      <c r="F956" s="241"/>
      <c r="G956" s="241"/>
      <c r="H956" s="241"/>
      <c r="I956" s="241"/>
      <c r="J956" s="241"/>
      <c r="K956" s="241"/>
      <c r="L956" s="241"/>
      <c r="M956" s="241"/>
      <c r="N956" s="241"/>
      <c r="O956" s="241"/>
      <c r="P956" s="241"/>
      <c r="Q956" s="241"/>
      <c r="R956" s="241"/>
      <c r="S956" s="241"/>
      <c r="T956" s="241"/>
      <c r="U956" s="241"/>
      <c r="V956" s="241"/>
      <c r="W956" s="241"/>
      <c r="X956" s="241"/>
      <c r="Y956" s="241"/>
      <c r="Z956" s="241"/>
      <c r="AA956" s="241"/>
    </row>
    <row r="957">
      <c r="A957" s="243"/>
      <c r="B957" s="243"/>
      <c r="C957" s="241"/>
      <c r="D957" s="241"/>
      <c r="E957" s="241"/>
      <c r="F957" s="241"/>
      <c r="G957" s="241"/>
      <c r="H957" s="241"/>
      <c r="I957" s="241"/>
      <c r="J957" s="241"/>
      <c r="K957" s="241"/>
      <c r="L957" s="241"/>
      <c r="M957" s="241"/>
      <c r="N957" s="241"/>
      <c r="O957" s="241"/>
      <c r="P957" s="241"/>
      <c r="Q957" s="241"/>
      <c r="R957" s="241"/>
      <c r="S957" s="241"/>
      <c r="T957" s="241"/>
      <c r="U957" s="241"/>
      <c r="V957" s="241"/>
      <c r="W957" s="241"/>
      <c r="X957" s="241"/>
      <c r="Y957" s="241"/>
      <c r="Z957" s="241"/>
      <c r="AA957" s="241"/>
    </row>
    <row r="958">
      <c r="A958" s="243"/>
      <c r="B958" s="243"/>
      <c r="C958" s="241"/>
      <c r="D958" s="241"/>
      <c r="E958" s="241"/>
      <c r="F958" s="241"/>
      <c r="G958" s="241"/>
      <c r="H958" s="241"/>
      <c r="I958" s="241"/>
      <c r="J958" s="241"/>
      <c r="K958" s="241"/>
      <c r="L958" s="241"/>
      <c r="M958" s="241"/>
      <c r="N958" s="241"/>
      <c r="O958" s="241"/>
      <c r="P958" s="241"/>
      <c r="Q958" s="241"/>
      <c r="R958" s="241"/>
      <c r="S958" s="241"/>
      <c r="T958" s="241"/>
      <c r="U958" s="241"/>
      <c r="V958" s="241"/>
      <c r="W958" s="241"/>
      <c r="X958" s="241"/>
      <c r="Y958" s="241"/>
      <c r="Z958" s="241"/>
      <c r="AA958" s="241"/>
    </row>
    <row r="959">
      <c r="A959" s="243"/>
      <c r="B959" s="243"/>
      <c r="C959" s="241"/>
      <c r="D959" s="241"/>
      <c r="E959" s="241"/>
      <c r="F959" s="241"/>
      <c r="G959" s="241"/>
      <c r="H959" s="241"/>
      <c r="I959" s="241"/>
      <c r="J959" s="241"/>
      <c r="K959" s="241"/>
      <c r="L959" s="241"/>
      <c r="M959" s="241"/>
      <c r="N959" s="241"/>
      <c r="O959" s="241"/>
      <c r="P959" s="241"/>
      <c r="Q959" s="241"/>
      <c r="R959" s="241"/>
      <c r="S959" s="241"/>
      <c r="T959" s="241"/>
      <c r="U959" s="241"/>
      <c r="V959" s="241"/>
      <c r="W959" s="241"/>
      <c r="X959" s="241"/>
      <c r="Y959" s="241"/>
      <c r="Z959" s="241"/>
      <c r="AA959" s="241"/>
    </row>
    <row r="960">
      <c r="A960" s="243"/>
      <c r="B960" s="243"/>
      <c r="C960" s="241"/>
      <c r="D960" s="241"/>
      <c r="E960" s="241"/>
      <c r="F960" s="241"/>
      <c r="G960" s="241"/>
      <c r="H960" s="241"/>
      <c r="I960" s="241"/>
      <c r="J960" s="241"/>
      <c r="K960" s="241"/>
      <c r="L960" s="241"/>
      <c r="M960" s="241"/>
      <c r="N960" s="241"/>
      <c r="O960" s="241"/>
      <c r="P960" s="241"/>
      <c r="Q960" s="241"/>
      <c r="R960" s="241"/>
      <c r="S960" s="241"/>
      <c r="T960" s="241"/>
      <c r="U960" s="241"/>
      <c r="V960" s="241"/>
      <c r="W960" s="241"/>
      <c r="X960" s="241"/>
      <c r="Y960" s="241"/>
      <c r="Z960" s="241"/>
      <c r="AA960" s="241"/>
    </row>
    <row r="961">
      <c r="A961" s="243"/>
      <c r="B961" s="243"/>
      <c r="C961" s="241"/>
      <c r="D961" s="241"/>
      <c r="E961" s="241"/>
      <c r="F961" s="241"/>
      <c r="G961" s="241"/>
      <c r="H961" s="241"/>
      <c r="I961" s="241"/>
      <c r="J961" s="241"/>
      <c r="K961" s="241"/>
      <c r="L961" s="241"/>
      <c r="M961" s="241"/>
      <c r="N961" s="241"/>
      <c r="O961" s="241"/>
      <c r="P961" s="241"/>
      <c r="Q961" s="241"/>
      <c r="R961" s="241"/>
      <c r="S961" s="241"/>
      <c r="T961" s="241"/>
      <c r="U961" s="241"/>
      <c r="V961" s="241"/>
      <c r="W961" s="241"/>
      <c r="X961" s="241"/>
      <c r="Y961" s="241"/>
      <c r="Z961" s="241"/>
      <c r="AA961" s="241"/>
    </row>
    <row r="962">
      <c r="A962" s="243"/>
      <c r="B962" s="243"/>
      <c r="C962" s="241"/>
      <c r="D962" s="241"/>
      <c r="E962" s="241"/>
      <c r="F962" s="241"/>
      <c r="G962" s="241"/>
      <c r="H962" s="241"/>
      <c r="I962" s="241"/>
      <c r="J962" s="241"/>
      <c r="K962" s="241"/>
      <c r="L962" s="241"/>
      <c r="M962" s="241"/>
      <c r="N962" s="241"/>
      <c r="O962" s="241"/>
      <c r="P962" s="241"/>
      <c r="Q962" s="241"/>
      <c r="R962" s="241"/>
      <c r="S962" s="241"/>
      <c r="T962" s="241"/>
      <c r="U962" s="241"/>
      <c r="V962" s="241"/>
      <c r="W962" s="241"/>
      <c r="X962" s="241"/>
      <c r="Y962" s="241"/>
      <c r="Z962" s="241"/>
      <c r="AA962" s="241"/>
    </row>
    <row r="963">
      <c r="A963" s="243"/>
      <c r="B963" s="243"/>
      <c r="C963" s="241"/>
      <c r="D963" s="241"/>
      <c r="E963" s="241"/>
      <c r="F963" s="241"/>
      <c r="G963" s="241"/>
      <c r="H963" s="241"/>
      <c r="I963" s="241"/>
      <c r="J963" s="241"/>
      <c r="K963" s="241"/>
      <c r="L963" s="241"/>
      <c r="M963" s="241"/>
      <c r="N963" s="241"/>
      <c r="O963" s="241"/>
      <c r="P963" s="241"/>
      <c r="Q963" s="241"/>
      <c r="R963" s="241"/>
      <c r="S963" s="241"/>
      <c r="T963" s="241"/>
      <c r="U963" s="241"/>
      <c r="V963" s="241"/>
      <c r="W963" s="241"/>
      <c r="X963" s="241"/>
      <c r="Y963" s="241"/>
      <c r="Z963" s="241"/>
      <c r="AA963" s="241"/>
    </row>
    <row r="964">
      <c r="A964" s="243"/>
      <c r="B964" s="243"/>
      <c r="C964" s="241"/>
      <c r="D964" s="241"/>
      <c r="E964" s="241"/>
      <c r="F964" s="241"/>
      <c r="G964" s="241"/>
      <c r="H964" s="241"/>
      <c r="I964" s="241"/>
      <c r="J964" s="241"/>
      <c r="K964" s="241"/>
      <c r="L964" s="241"/>
      <c r="M964" s="241"/>
      <c r="N964" s="241"/>
      <c r="O964" s="241"/>
      <c r="P964" s="241"/>
      <c r="Q964" s="241"/>
      <c r="R964" s="241"/>
      <c r="S964" s="241"/>
      <c r="T964" s="241"/>
      <c r="U964" s="241"/>
      <c r="V964" s="241"/>
      <c r="W964" s="241"/>
      <c r="X964" s="241"/>
      <c r="Y964" s="241"/>
      <c r="Z964" s="241"/>
      <c r="AA964" s="241"/>
    </row>
    <row r="965">
      <c r="A965" s="243"/>
      <c r="B965" s="243"/>
      <c r="C965" s="241"/>
      <c r="D965" s="241"/>
      <c r="E965" s="241"/>
      <c r="F965" s="241"/>
      <c r="G965" s="241"/>
      <c r="H965" s="241"/>
      <c r="I965" s="241"/>
      <c r="J965" s="241"/>
      <c r="K965" s="241"/>
      <c r="L965" s="241"/>
      <c r="M965" s="241"/>
      <c r="N965" s="241"/>
      <c r="O965" s="241"/>
      <c r="P965" s="241"/>
      <c r="Q965" s="241"/>
      <c r="R965" s="241"/>
      <c r="S965" s="241"/>
      <c r="T965" s="241"/>
      <c r="U965" s="241"/>
      <c r="V965" s="241"/>
      <c r="W965" s="241"/>
      <c r="X965" s="241"/>
      <c r="Y965" s="241"/>
      <c r="Z965" s="241"/>
      <c r="AA965" s="241"/>
    </row>
    <row r="966">
      <c r="A966" s="243"/>
      <c r="B966" s="243"/>
      <c r="C966" s="241"/>
      <c r="D966" s="241"/>
      <c r="E966" s="241"/>
      <c r="F966" s="241"/>
      <c r="G966" s="241"/>
      <c r="H966" s="241"/>
      <c r="I966" s="241"/>
      <c r="J966" s="241"/>
      <c r="K966" s="241"/>
      <c r="L966" s="241"/>
      <c r="M966" s="241"/>
      <c r="N966" s="241"/>
      <c r="O966" s="241"/>
      <c r="P966" s="241"/>
      <c r="Q966" s="241"/>
      <c r="R966" s="241"/>
      <c r="S966" s="241"/>
      <c r="T966" s="241"/>
      <c r="U966" s="241"/>
      <c r="V966" s="241"/>
      <c r="W966" s="241"/>
      <c r="X966" s="241"/>
      <c r="Y966" s="241"/>
      <c r="Z966" s="241"/>
      <c r="AA966" s="241"/>
    </row>
    <row r="967">
      <c r="A967" s="243"/>
      <c r="B967" s="243"/>
      <c r="C967" s="241"/>
      <c r="D967" s="241"/>
      <c r="E967" s="241"/>
      <c r="F967" s="241"/>
      <c r="G967" s="241"/>
      <c r="H967" s="241"/>
      <c r="I967" s="241"/>
      <c r="J967" s="241"/>
      <c r="K967" s="241"/>
      <c r="L967" s="241"/>
      <c r="M967" s="241"/>
      <c r="N967" s="241"/>
      <c r="O967" s="241"/>
      <c r="P967" s="241"/>
      <c r="Q967" s="241"/>
      <c r="R967" s="241"/>
      <c r="S967" s="241"/>
      <c r="T967" s="241"/>
      <c r="U967" s="241"/>
      <c r="V967" s="241"/>
      <c r="W967" s="241"/>
      <c r="X967" s="241"/>
      <c r="Y967" s="241"/>
      <c r="Z967" s="241"/>
      <c r="AA967" s="241"/>
    </row>
    <row r="968">
      <c r="A968" s="243"/>
      <c r="B968" s="243"/>
      <c r="C968" s="241"/>
      <c r="D968" s="241"/>
      <c r="E968" s="241"/>
      <c r="F968" s="241"/>
      <c r="G968" s="241"/>
      <c r="H968" s="241"/>
      <c r="I968" s="241"/>
      <c r="J968" s="241"/>
      <c r="K968" s="241"/>
      <c r="L968" s="241"/>
      <c r="M968" s="241"/>
      <c r="N968" s="241"/>
      <c r="O968" s="241"/>
      <c r="P968" s="241"/>
      <c r="Q968" s="241"/>
      <c r="R968" s="241"/>
      <c r="S968" s="241"/>
      <c r="T968" s="241"/>
      <c r="U968" s="241"/>
      <c r="V968" s="241"/>
      <c r="W968" s="241"/>
      <c r="X968" s="241"/>
      <c r="Y968" s="241"/>
      <c r="Z968" s="241"/>
      <c r="AA968" s="241"/>
    </row>
    <row r="969">
      <c r="A969" s="243"/>
      <c r="B969" s="243"/>
      <c r="C969" s="241"/>
      <c r="D969" s="241"/>
      <c r="E969" s="241"/>
      <c r="F969" s="241"/>
      <c r="G969" s="241"/>
      <c r="H969" s="241"/>
      <c r="I969" s="241"/>
      <c r="J969" s="241"/>
      <c r="K969" s="241"/>
      <c r="L969" s="241"/>
      <c r="M969" s="241"/>
      <c r="N969" s="241"/>
      <c r="O969" s="241"/>
      <c r="P969" s="241"/>
      <c r="Q969" s="241"/>
      <c r="R969" s="241"/>
      <c r="S969" s="241"/>
      <c r="T969" s="241"/>
      <c r="U969" s="241"/>
      <c r="V969" s="241"/>
      <c r="W969" s="241"/>
      <c r="X969" s="241"/>
      <c r="Y969" s="241"/>
      <c r="Z969" s="241"/>
      <c r="AA969" s="241"/>
    </row>
    <row r="970">
      <c r="A970" s="243"/>
      <c r="B970" s="243"/>
      <c r="C970" s="241"/>
      <c r="D970" s="241"/>
      <c r="E970" s="241"/>
      <c r="F970" s="241"/>
      <c r="G970" s="241"/>
      <c r="H970" s="241"/>
      <c r="I970" s="241"/>
      <c r="J970" s="241"/>
      <c r="K970" s="241"/>
      <c r="L970" s="241"/>
      <c r="M970" s="241"/>
      <c r="N970" s="241"/>
      <c r="O970" s="241"/>
      <c r="P970" s="241"/>
      <c r="Q970" s="241"/>
      <c r="R970" s="241"/>
      <c r="S970" s="241"/>
      <c r="T970" s="241"/>
      <c r="U970" s="241"/>
      <c r="V970" s="241"/>
      <c r="W970" s="241"/>
      <c r="X970" s="241"/>
      <c r="Y970" s="241"/>
      <c r="Z970" s="241"/>
      <c r="AA970" s="241"/>
    </row>
    <row r="971">
      <c r="A971" s="243"/>
      <c r="B971" s="243"/>
      <c r="C971" s="241"/>
      <c r="D971" s="241"/>
      <c r="E971" s="241"/>
      <c r="F971" s="241"/>
      <c r="G971" s="241"/>
      <c r="H971" s="241"/>
      <c r="I971" s="241"/>
      <c r="J971" s="241"/>
      <c r="K971" s="241"/>
      <c r="L971" s="241"/>
      <c r="M971" s="241"/>
      <c r="N971" s="241"/>
      <c r="O971" s="241"/>
      <c r="P971" s="241"/>
      <c r="Q971" s="241"/>
      <c r="R971" s="241"/>
      <c r="S971" s="241"/>
      <c r="T971" s="241"/>
      <c r="U971" s="241"/>
      <c r="V971" s="241"/>
      <c r="W971" s="241"/>
      <c r="X971" s="241"/>
      <c r="Y971" s="241"/>
      <c r="Z971" s="241"/>
      <c r="AA971" s="241"/>
    </row>
    <row r="972">
      <c r="A972" s="243"/>
      <c r="B972" s="243"/>
      <c r="C972" s="241"/>
      <c r="D972" s="241"/>
      <c r="E972" s="241"/>
      <c r="F972" s="241"/>
      <c r="G972" s="241"/>
      <c r="H972" s="241"/>
      <c r="I972" s="241"/>
      <c r="J972" s="241"/>
      <c r="K972" s="241"/>
      <c r="L972" s="241"/>
      <c r="M972" s="241"/>
      <c r="N972" s="241"/>
      <c r="O972" s="241"/>
      <c r="P972" s="241"/>
      <c r="Q972" s="241"/>
      <c r="R972" s="241"/>
      <c r="S972" s="241"/>
      <c r="T972" s="241"/>
      <c r="U972" s="241"/>
      <c r="V972" s="241"/>
      <c r="W972" s="241"/>
      <c r="X972" s="241"/>
      <c r="Y972" s="241"/>
      <c r="Z972" s="241"/>
      <c r="AA972" s="241"/>
    </row>
    <row r="973">
      <c r="A973" s="243"/>
      <c r="B973" s="243"/>
      <c r="C973" s="241"/>
      <c r="D973" s="241"/>
      <c r="E973" s="241"/>
      <c r="F973" s="241"/>
      <c r="G973" s="241"/>
      <c r="H973" s="241"/>
      <c r="I973" s="241"/>
      <c r="J973" s="241"/>
      <c r="K973" s="241"/>
      <c r="L973" s="241"/>
      <c r="M973" s="241"/>
      <c r="N973" s="241"/>
      <c r="O973" s="241"/>
      <c r="P973" s="241"/>
      <c r="Q973" s="241"/>
      <c r="R973" s="241"/>
      <c r="S973" s="241"/>
      <c r="T973" s="241"/>
      <c r="U973" s="241"/>
      <c r="V973" s="241"/>
      <c r="W973" s="241"/>
      <c r="X973" s="241"/>
      <c r="Y973" s="241"/>
      <c r="Z973" s="241"/>
      <c r="AA973" s="241"/>
    </row>
    <row r="974">
      <c r="A974" s="243"/>
      <c r="B974" s="243"/>
      <c r="C974" s="241"/>
      <c r="D974" s="241"/>
      <c r="E974" s="241"/>
      <c r="F974" s="241"/>
      <c r="G974" s="241"/>
      <c r="H974" s="241"/>
      <c r="I974" s="241"/>
      <c r="J974" s="241"/>
      <c r="K974" s="241"/>
      <c r="L974" s="241"/>
      <c r="M974" s="241"/>
      <c r="N974" s="241"/>
      <c r="O974" s="241"/>
      <c r="P974" s="241"/>
      <c r="Q974" s="241"/>
      <c r="R974" s="241"/>
      <c r="S974" s="241"/>
      <c r="T974" s="241"/>
      <c r="U974" s="241"/>
      <c r="V974" s="241"/>
      <c r="W974" s="241"/>
      <c r="X974" s="241"/>
      <c r="Y974" s="241"/>
      <c r="Z974" s="241"/>
      <c r="AA974" s="241"/>
    </row>
    <row r="975">
      <c r="A975" s="243"/>
      <c r="B975" s="243"/>
      <c r="C975" s="241"/>
      <c r="D975" s="241"/>
      <c r="E975" s="241"/>
      <c r="F975" s="241"/>
      <c r="G975" s="241"/>
      <c r="H975" s="241"/>
      <c r="I975" s="241"/>
      <c r="J975" s="241"/>
      <c r="K975" s="241"/>
      <c r="L975" s="241"/>
      <c r="M975" s="241"/>
      <c r="N975" s="241"/>
      <c r="O975" s="241"/>
      <c r="P975" s="241"/>
      <c r="Q975" s="241"/>
      <c r="R975" s="241"/>
      <c r="S975" s="241"/>
      <c r="T975" s="241"/>
      <c r="U975" s="241"/>
      <c r="V975" s="241"/>
      <c r="W975" s="241"/>
      <c r="X975" s="241"/>
      <c r="Y975" s="241"/>
      <c r="Z975" s="241"/>
      <c r="AA975" s="241"/>
    </row>
    <row r="976">
      <c r="A976" s="243"/>
      <c r="B976" s="243"/>
      <c r="C976" s="241"/>
      <c r="D976" s="241"/>
      <c r="E976" s="241"/>
      <c r="F976" s="241"/>
      <c r="G976" s="241"/>
      <c r="H976" s="241"/>
      <c r="I976" s="241"/>
      <c r="J976" s="241"/>
      <c r="K976" s="241"/>
      <c r="L976" s="241"/>
      <c r="M976" s="241"/>
      <c r="N976" s="241"/>
      <c r="O976" s="241"/>
      <c r="P976" s="241"/>
      <c r="Q976" s="241"/>
      <c r="R976" s="241"/>
      <c r="S976" s="241"/>
      <c r="T976" s="241"/>
      <c r="U976" s="241"/>
      <c r="V976" s="241"/>
      <c r="W976" s="241"/>
      <c r="X976" s="241"/>
      <c r="Y976" s="241"/>
      <c r="Z976" s="241"/>
      <c r="AA976" s="241"/>
    </row>
    <row r="977">
      <c r="A977" s="243"/>
      <c r="B977" s="243"/>
      <c r="C977" s="241"/>
      <c r="D977" s="241"/>
      <c r="E977" s="241"/>
      <c r="F977" s="241"/>
      <c r="G977" s="241"/>
      <c r="H977" s="241"/>
      <c r="I977" s="241"/>
      <c r="J977" s="241"/>
      <c r="K977" s="241"/>
      <c r="L977" s="241"/>
      <c r="M977" s="241"/>
      <c r="N977" s="241"/>
      <c r="O977" s="241"/>
      <c r="P977" s="241"/>
      <c r="Q977" s="241"/>
      <c r="R977" s="241"/>
      <c r="S977" s="241"/>
      <c r="T977" s="241"/>
      <c r="U977" s="241"/>
      <c r="V977" s="241"/>
      <c r="W977" s="241"/>
      <c r="X977" s="241"/>
      <c r="Y977" s="241"/>
      <c r="Z977" s="241"/>
      <c r="AA977" s="241"/>
    </row>
    <row r="978">
      <c r="A978" s="243"/>
      <c r="B978" s="243"/>
      <c r="C978" s="241"/>
      <c r="D978" s="241"/>
      <c r="E978" s="241"/>
      <c r="F978" s="241"/>
      <c r="G978" s="241"/>
      <c r="H978" s="241"/>
      <c r="I978" s="241"/>
      <c r="J978" s="241"/>
      <c r="K978" s="241"/>
      <c r="L978" s="241"/>
      <c r="M978" s="241"/>
      <c r="N978" s="241"/>
      <c r="O978" s="241"/>
      <c r="P978" s="241"/>
      <c r="Q978" s="241"/>
      <c r="R978" s="241"/>
      <c r="S978" s="241"/>
      <c r="T978" s="241"/>
      <c r="U978" s="241"/>
      <c r="V978" s="241"/>
      <c r="W978" s="241"/>
      <c r="X978" s="241"/>
      <c r="Y978" s="241"/>
      <c r="Z978" s="241"/>
      <c r="AA978" s="241"/>
    </row>
    <row r="979">
      <c r="A979" s="243"/>
      <c r="B979" s="243"/>
      <c r="C979" s="241"/>
      <c r="D979" s="241"/>
      <c r="E979" s="241"/>
      <c r="F979" s="241"/>
      <c r="G979" s="241"/>
      <c r="H979" s="241"/>
      <c r="I979" s="241"/>
      <c r="J979" s="241"/>
      <c r="K979" s="241"/>
      <c r="L979" s="241"/>
      <c r="M979" s="241"/>
      <c r="N979" s="241"/>
      <c r="O979" s="241"/>
      <c r="P979" s="241"/>
      <c r="Q979" s="241"/>
      <c r="R979" s="241"/>
      <c r="S979" s="241"/>
      <c r="T979" s="241"/>
      <c r="U979" s="241"/>
      <c r="V979" s="241"/>
      <c r="W979" s="241"/>
      <c r="X979" s="241"/>
      <c r="Y979" s="241"/>
      <c r="Z979" s="241"/>
      <c r="AA979" s="241"/>
    </row>
    <row r="980">
      <c r="A980" s="243"/>
      <c r="B980" s="243"/>
      <c r="C980" s="241"/>
      <c r="D980" s="241"/>
      <c r="E980" s="241"/>
      <c r="F980" s="241"/>
      <c r="G980" s="241"/>
      <c r="H980" s="241"/>
      <c r="I980" s="241"/>
      <c r="J980" s="241"/>
      <c r="K980" s="241"/>
      <c r="L980" s="241"/>
      <c r="M980" s="241"/>
      <c r="N980" s="241"/>
      <c r="O980" s="241"/>
      <c r="P980" s="241"/>
      <c r="Q980" s="241"/>
      <c r="R980" s="241"/>
      <c r="S980" s="241"/>
      <c r="T980" s="241"/>
      <c r="U980" s="241"/>
      <c r="V980" s="241"/>
      <c r="W980" s="241"/>
      <c r="X980" s="241"/>
      <c r="Y980" s="241"/>
      <c r="Z980" s="241"/>
      <c r="AA980" s="241"/>
    </row>
    <row r="981">
      <c r="A981" s="243"/>
      <c r="B981" s="243"/>
      <c r="C981" s="241"/>
      <c r="D981" s="241"/>
      <c r="E981" s="241"/>
      <c r="F981" s="241"/>
      <c r="G981" s="241"/>
      <c r="H981" s="241"/>
      <c r="I981" s="241"/>
      <c r="J981" s="241"/>
      <c r="K981" s="241"/>
      <c r="L981" s="241"/>
      <c r="M981" s="241"/>
      <c r="N981" s="241"/>
      <c r="O981" s="241"/>
      <c r="P981" s="241"/>
      <c r="Q981" s="241"/>
      <c r="R981" s="241"/>
      <c r="S981" s="241"/>
      <c r="T981" s="241"/>
      <c r="U981" s="241"/>
      <c r="V981" s="241"/>
      <c r="W981" s="241"/>
      <c r="X981" s="241"/>
      <c r="Y981" s="241"/>
      <c r="Z981" s="241"/>
      <c r="AA981" s="241"/>
    </row>
    <row r="982">
      <c r="A982" s="243"/>
      <c r="B982" s="243"/>
      <c r="C982" s="241"/>
      <c r="D982" s="241"/>
      <c r="E982" s="241"/>
      <c r="F982" s="241"/>
      <c r="G982" s="241"/>
      <c r="H982" s="241"/>
      <c r="I982" s="241"/>
      <c r="J982" s="241"/>
      <c r="K982" s="241"/>
      <c r="L982" s="241"/>
      <c r="M982" s="241"/>
      <c r="N982" s="241"/>
      <c r="O982" s="241"/>
      <c r="P982" s="241"/>
      <c r="Q982" s="241"/>
      <c r="R982" s="241"/>
      <c r="S982" s="241"/>
      <c r="T982" s="241"/>
      <c r="U982" s="241"/>
      <c r="V982" s="241"/>
      <c r="W982" s="241"/>
      <c r="X982" s="241"/>
      <c r="Y982" s="241"/>
      <c r="Z982" s="241"/>
      <c r="AA982" s="241"/>
    </row>
    <row r="983">
      <c r="A983" s="243"/>
      <c r="B983" s="243"/>
      <c r="C983" s="241"/>
      <c r="D983" s="241"/>
      <c r="E983" s="241"/>
      <c r="F983" s="241"/>
      <c r="G983" s="241"/>
      <c r="H983" s="241"/>
      <c r="I983" s="241"/>
      <c r="J983" s="241"/>
      <c r="K983" s="241"/>
      <c r="L983" s="241"/>
      <c r="M983" s="241"/>
      <c r="N983" s="241"/>
      <c r="O983" s="241"/>
      <c r="P983" s="241"/>
      <c r="Q983" s="241"/>
      <c r="R983" s="241"/>
      <c r="S983" s="241"/>
      <c r="T983" s="241"/>
      <c r="U983" s="241"/>
      <c r="V983" s="241"/>
      <c r="W983" s="241"/>
      <c r="X983" s="241"/>
      <c r="Y983" s="241"/>
      <c r="Z983" s="241"/>
      <c r="AA983" s="241"/>
    </row>
    <row r="984">
      <c r="A984" s="243"/>
      <c r="B984" s="243"/>
      <c r="C984" s="241"/>
      <c r="D984" s="241"/>
      <c r="E984" s="241"/>
      <c r="F984" s="241"/>
      <c r="G984" s="241"/>
      <c r="H984" s="241"/>
      <c r="I984" s="241"/>
      <c r="J984" s="241"/>
      <c r="K984" s="241"/>
      <c r="L984" s="241"/>
      <c r="M984" s="241"/>
      <c r="N984" s="241"/>
      <c r="O984" s="241"/>
      <c r="P984" s="241"/>
      <c r="Q984" s="241"/>
      <c r="R984" s="241"/>
      <c r="S984" s="241"/>
      <c r="T984" s="241"/>
      <c r="U984" s="241"/>
      <c r="V984" s="241"/>
      <c r="W984" s="241"/>
      <c r="X984" s="241"/>
      <c r="Y984" s="241"/>
      <c r="Z984" s="241"/>
      <c r="AA984" s="241"/>
    </row>
    <row r="985">
      <c r="A985" s="243"/>
      <c r="B985" s="243"/>
      <c r="C985" s="241"/>
      <c r="D985" s="241"/>
      <c r="E985" s="241"/>
      <c r="F985" s="241"/>
      <c r="G985" s="241"/>
      <c r="H985" s="241"/>
      <c r="I985" s="241"/>
      <c r="J985" s="241"/>
      <c r="K985" s="241"/>
      <c r="L985" s="241"/>
      <c r="M985" s="241"/>
      <c r="N985" s="241"/>
      <c r="O985" s="241"/>
      <c r="P985" s="241"/>
      <c r="Q985" s="241"/>
      <c r="R985" s="241"/>
      <c r="S985" s="241"/>
      <c r="T985" s="241"/>
      <c r="U985" s="241"/>
      <c r="V985" s="241"/>
      <c r="W985" s="241"/>
      <c r="X985" s="241"/>
      <c r="Y985" s="241"/>
      <c r="Z985" s="241"/>
      <c r="AA985" s="241"/>
    </row>
    <row r="986">
      <c r="A986" s="243"/>
      <c r="B986" s="243"/>
      <c r="C986" s="241"/>
      <c r="D986" s="241"/>
      <c r="E986" s="241"/>
      <c r="F986" s="241"/>
      <c r="G986" s="241"/>
      <c r="H986" s="241"/>
      <c r="I986" s="241"/>
      <c r="J986" s="241"/>
      <c r="K986" s="241"/>
      <c r="L986" s="241"/>
      <c r="M986" s="241"/>
      <c r="N986" s="241"/>
      <c r="O986" s="241"/>
      <c r="P986" s="241"/>
      <c r="Q986" s="241"/>
      <c r="R986" s="241"/>
      <c r="S986" s="241"/>
      <c r="T986" s="241"/>
      <c r="U986" s="241"/>
      <c r="V986" s="241"/>
      <c r="W986" s="241"/>
      <c r="X986" s="241"/>
      <c r="Y986" s="241"/>
      <c r="Z986" s="241"/>
      <c r="AA986" s="241"/>
    </row>
    <row r="987">
      <c r="A987" s="243"/>
      <c r="B987" s="243"/>
      <c r="C987" s="241"/>
      <c r="D987" s="241"/>
      <c r="E987" s="241"/>
      <c r="F987" s="241"/>
      <c r="G987" s="241"/>
      <c r="H987" s="241"/>
      <c r="I987" s="241"/>
      <c r="J987" s="241"/>
      <c r="K987" s="241"/>
      <c r="L987" s="241"/>
      <c r="M987" s="241"/>
      <c r="N987" s="241"/>
      <c r="O987" s="241"/>
      <c r="P987" s="241"/>
      <c r="Q987" s="241"/>
      <c r="R987" s="241"/>
      <c r="S987" s="241"/>
      <c r="T987" s="241"/>
      <c r="U987" s="241"/>
      <c r="V987" s="241"/>
      <c r="W987" s="241"/>
      <c r="X987" s="241"/>
      <c r="Y987" s="241"/>
      <c r="Z987" s="241"/>
      <c r="AA987" s="241"/>
    </row>
    <row r="988">
      <c r="A988" s="243"/>
      <c r="B988" s="243"/>
      <c r="C988" s="241"/>
      <c r="D988" s="241"/>
      <c r="E988" s="241"/>
      <c r="F988" s="241"/>
      <c r="G988" s="241"/>
      <c r="H988" s="241"/>
      <c r="I988" s="241"/>
      <c r="J988" s="241"/>
      <c r="K988" s="241"/>
      <c r="L988" s="241"/>
      <c r="M988" s="241"/>
      <c r="N988" s="241"/>
      <c r="O988" s="241"/>
      <c r="P988" s="241"/>
      <c r="Q988" s="241"/>
      <c r="R988" s="241"/>
      <c r="S988" s="241"/>
      <c r="T988" s="241"/>
      <c r="U988" s="241"/>
      <c r="V988" s="241"/>
      <c r="W988" s="241"/>
      <c r="X988" s="241"/>
      <c r="Y988" s="241"/>
      <c r="Z988" s="241"/>
      <c r="AA988" s="241"/>
    </row>
    <row r="989">
      <c r="A989" s="243"/>
      <c r="B989" s="243"/>
      <c r="C989" s="241"/>
      <c r="D989" s="241"/>
      <c r="E989" s="241"/>
      <c r="F989" s="241"/>
      <c r="G989" s="241"/>
      <c r="H989" s="241"/>
      <c r="I989" s="241"/>
      <c r="J989" s="241"/>
      <c r="K989" s="241"/>
      <c r="L989" s="241"/>
      <c r="M989" s="241"/>
      <c r="N989" s="241"/>
      <c r="O989" s="241"/>
      <c r="P989" s="241"/>
      <c r="Q989" s="241"/>
      <c r="R989" s="241"/>
      <c r="S989" s="241"/>
      <c r="T989" s="241"/>
      <c r="U989" s="241"/>
      <c r="V989" s="241"/>
      <c r="W989" s="241"/>
      <c r="X989" s="241"/>
      <c r="Y989" s="241"/>
      <c r="Z989" s="241"/>
      <c r="AA989" s="241"/>
    </row>
    <row r="990">
      <c r="A990" s="243"/>
      <c r="B990" s="243"/>
      <c r="C990" s="241"/>
      <c r="D990" s="241"/>
      <c r="E990" s="241"/>
      <c r="F990" s="241"/>
      <c r="G990" s="241"/>
      <c r="H990" s="241"/>
      <c r="I990" s="241"/>
      <c r="J990" s="241"/>
      <c r="K990" s="241"/>
      <c r="L990" s="241"/>
      <c r="M990" s="241"/>
      <c r="N990" s="241"/>
      <c r="O990" s="241"/>
      <c r="P990" s="241"/>
      <c r="Q990" s="241"/>
      <c r="R990" s="241"/>
      <c r="S990" s="241"/>
      <c r="T990" s="241"/>
      <c r="U990" s="241"/>
      <c r="V990" s="241"/>
      <c r="W990" s="241"/>
      <c r="X990" s="241"/>
      <c r="Y990" s="241"/>
      <c r="Z990" s="241"/>
      <c r="AA990" s="241"/>
    </row>
    <row r="991">
      <c r="A991" s="243"/>
      <c r="B991" s="243"/>
      <c r="C991" s="241"/>
      <c r="D991" s="241"/>
      <c r="E991" s="241"/>
      <c r="F991" s="241"/>
      <c r="G991" s="241"/>
      <c r="H991" s="241"/>
      <c r="I991" s="241"/>
      <c r="J991" s="241"/>
      <c r="K991" s="241"/>
      <c r="L991" s="241"/>
      <c r="M991" s="241"/>
      <c r="N991" s="241"/>
      <c r="O991" s="241"/>
      <c r="P991" s="241"/>
      <c r="Q991" s="241"/>
      <c r="R991" s="241"/>
      <c r="S991" s="241"/>
      <c r="T991" s="241"/>
      <c r="U991" s="241"/>
      <c r="V991" s="241"/>
      <c r="W991" s="241"/>
      <c r="X991" s="241"/>
      <c r="Y991" s="241"/>
      <c r="Z991" s="241"/>
      <c r="AA991" s="241"/>
    </row>
    <row r="992">
      <c r="A992" s="243"/>
      <c r="B992" s="243"/>
      <c r="C992" s="241"/>
      <c r="D992" s="241"/>
      <c r="E992" s="241"/>
      <c r="F992" s="241"/>
      <c r="G992" s="241"/>
      <c r="H992" s="241"/>
      <c r="I992" s="241"/>
      <c r="J992" s="241"/>
      <c r="K992" s="241"/>
      <c r="L992" s="241"/>
      <c r="M992" s="241"/>
      <c r="N992" s="241"/>
      <c r="O992" s="241"/>
      <c r="P992" s="241"/>
      <c r="Q992" s="241"/>
      <c r="R992" s="241"/>
      <c r="S992" s="241"/>
      <c r="T992" s="241"/>
      <c r="U992" s="241"/>
      <c r="V992" s="241"/>
      <c r="W992" s="241"/>
      <c r="X992" s="241"/>
      <c r="Y992" s="241"/>
      <c r="Z992" s="241"/>
      <c r="AA992" s="241"/>
    </row>
    <row r="993">
      <c r="A993" s="243"/>
      <c r="B993" s="243"/>
      <c r="C993" s="241"/>
      <c r="D993" s="241"/>
      <c r="E993" s="241"/>
      <c r="F993" s="241"/>
      <c r="G993" s="241"/>
      <c r="H993" s="241"/>
      <c r="I993" s="241"/>
      <c r="J993" s="241"/>
      <c r="K993" s="241"/>
      <c r="L993" s="241"/>
      <c r="M993" s="241"/>
      <c r="N993" s="241"/>
      <c r="O993" s="241"/>
      <c r="P993" s="241"/>
      <c r="Q993" s="241"/>
      <c r="R993" s="241"/>
      <c r="S993" s="241"/>
      <c r="T993" s="241"/>
      <c r="U993" s="241"/>
      <c r="V993" s="241"/>
      <c r="W993" s="241"/>
      <c r="X993" s="241"/>
      <c r="Y993" s="241"/>
      <c r="Z993" s="241"/>
      <c r="AA993" s="241"/>
    </row>
    <row r="994">
      <c r="A994" s="243"/>
      <c r="B994" s="243"/>
      <c r="C994" s="241"/>
      <c r="D994" s="241"/>
      <c r="E994" s="241"/>
      <c r="F994" s="241"/>
      <c r="G994" s="241"/>
      <c r="H994" s="241"/>
      <c r="I994" s="241"/>
      <c r="J994" s="241"/>
      <c r="K994" s="241"/>
      <c r="L994" s="241"/>
      <c r="M994" s="241"/>
      <c r="N994" s="241"/>
      <c r="O994" s="241"/>
      <c r="P994" s="241"/>
      <c r="Q994" s="241"/>
      <c r="R994" s="241"/>
      <c r="S994" s="241"/>
      <c r="T994" s="241"/>
      <c r="U994" s="241"/>
      <c r="V994" s="241"/>
      <c r="W994" s="241"/>
      <c r="X994" s="241"/>
      <c r="Y994" s="241"/>
      <c r="Z994" s="241"/>
      <c r="AA994" s="241"/>
    </row>
    <row r="995">
      <c r="A995" s="243"/>
      <c r="B995" s="243"/>
      <c r="C995" s="241"/>
      <c r="D995" s="241"/>
      <c r="E995" s="241"/>
      <c r="F995" s="241"/>
      <c r="G995" s="241"/>
      <c r="H995" s="241"/>
      <c r="I995" s="241"/>
      <c r="J995" s="241"/>
      <c r="K995" s="241"/>
      <c r="L995" s="241"/>
      <c r="M995" s="241"/>
      <c r="N995" s="241"/>
      <c r="O995" s="241"/>
      <c r="P995" s="241"/>
      <c r="Q995" s="241"/>
      <c r="R995" s="241"/>
      <c r="S995" s="241"/>
      <c r="T995" s="241"/>
      <c r="U995" s="241"/>
      <c r="V995" s="241"/>
      <c r="W995" s="241"/>
      <c r="X995" s="241"/>
      <c r="Y995" s="241"/>
      <c r="Z995" s="241"/>
      <c r="AA995" s="241"/>
    </row>
    <row r="996">
      <c r="A996" s="243"/>
      <c r="B996" s="243"/>
      <c r="C996" s="241"/>
      <c r="D996" s="241"/>
      <c r="E996" s="241"/>
      <c r="F996" s="241"/>
      <c r="G996" s="241"/>
      <c r="H996" s="241"/>
      <c r="I996" s="241"/>
      <c r="J996" s="241"/>
      <c r="K996" s="241"/>
      <c r="L996" s="241"/>
      <c r="M996" s="241"/>
      <c r="N996" s="241"/>
      <c r="O996" s="241"/>
      <c r="P996" s="241"/>
      <c r="Q996" s="241"/>
      <c r="R996" s="241"/>
      <c r="S996" s="241"/>
      <c r="T996" s="241"/>
      <c r="U996" s="241"/>
      <c r="V996" s="241"/>
      <c r="W996" s="241"/>
      <c r="X996" s="241"/>
      <c r="Y996" s="241"/>
      <c r="Z996" s="241"/>
      <c r="AA996" s="241"/>
    </row>
    <row r="997">
      <c r="A997" s="243"/>
      <c r="B997" s="243"/>
      <c r="C997" s="241"/>
      <c r="D997" s="241"/>
      <c r="E997" s="241"/>
      <c r="F997" s="241"/>
      <c r="G997" s="241"/>
      <c r="H997" s="241"/>
      <c r="I997" s="241"/>
      <c r="J997" s="241"/>
      <c r="K997" s="241"/>
      <c r="L997" s="241"/>
      <c r="M997" s="241"/>
      <c r="N997" s="241"/>
      <c r="O997" s="241"/>
      <c r="P997" s="241"/>
      <c r="Q997" s="241"/>
      <c r="R997" s="241"/>
      <c r="S997" s="241"/>
      <c r="T997" s="241"/>
      <c r="U997" s="241"/>
      <c r="V997" s="241"/>
      <c r="W997" s="241"/>
      <c r="X997" s="241"/>
      <c r="Y997" s="241"/>
      <c r="Z997" s="241"/>
      <c r="AA997" s="241"/>
    </row>
    <row r="998">
      <c r="A998" s="243"/>
      <c r="B998" s="243"/>
      <c r="C998" s="241"/>
      <c r="D998" s="241"/>
      <c r="E998" s="241"/>
      <c r="F998" s="241"/>
      <c r="G998" s="241"/>
      <c r="H998" s="241"/>
      <c r="I998" s="241"/>
      <c r="J998" s="241"/>
      <c r="K998" s="241"/>
      <c r="L998" s="241"/>
      <c r="M998" s="241"/>
      <c r="N998" s="241"/>
      <c r="O998" s="241"/>
      <c r="P998" s="241"/>
      <c r="Q998" s="241"/>
      <c r="R998" s="241"/>
      <c r="S998" s="241"/>
      <c r="T998" s="241"/>
      <c r="U998" s="241"/>
      <c r="V998" s="241"/>
      <c r="W998" s="241"/>
      <c r="X998" s="241"/>
      <c r="Y998" s="241"/>
      <c r="Z998" s="241"/>
      <c r="AA998" s="241"/>
    </row>
    <row r="999">
      <c r="A999" s="243"/>
      <c r="B999" s="243"/>
      <c r="C999" s="241"/>
      <c r="D999" s="241"/>
      <c r="E999" s="241"/>
      <c r="F999" s="241"/>
      <c r="G999" s="241"/>
      <c r="H999" s="241"/>
      <c r="I999" s="241"/>
      <c r="J999" s="241"/>
      <c r="K999" s="241"/>
      <c r="L999" s="241"/>
      <c r="M999" s="241"/>
      <c r="N999" s="241"/>
      <c r="O999" s="241"/>
      <c r="P999" s="241"/>
      <c r="Q999" s="241"/>
      <c r="R999" s="241"/>
      <c r="S999" s="241"/>
      <c r="T999" s="241"/>
      <c r="U999" s="241"/>
      <c r="V999" s="241"/>
      <c r="W999" s="241"/>
      <c r="X999" s="241"/>
      <c r="Y999" s="241"/>
      <c r="Z999" s="241"/>
      <c r="AA999" s="241"/>
    </row>
    <row r="1000">
      <c r="A1000" s="243"/>
      <c r="B1000" s="243"/>
      <c r="C1000" s="241"/>
      <c r="D1000" s="241"/>
      <c r="E1000" s="241"/>
      <c r="F1000" s="241"/>
      <c r="G1000" s="241"/>
      <c r="H1000" s="241"/>
      <c r="I1000" s="241"/>
      <c r="J1000" s="241"/>
      <c r="K1000" s="241"/>
      <c r="L1000" s="241"/>
      <c r="M1000" s="241"/>
      <c r="N1000" s="241"/>
      <c r="O1000" s="241"/>
      <c r="P1000" s="241"/>
      <c r="Q1000" s="241"/>
      <c r="R1000" s="241"/>
      <c r="S1000" s="241"/>
      <c r="T1000" s="241"/>
      <c r="U1000" s="241"/>
      <c r="V1000" s="241"/>
      <c r="W1000" s="241"/>
      <c r="X1000" s="241"/>
      <c r="Y1000" s="241"/>
      <c r="Z1000" s="241"/>
      <c r="AA1000" s="241"/>
    </row>
    <row r="1001">
      <c r="A1001" s="243"/>
      <c r="B1001" s="243"/>
      <c r="C1001" s="241"/>
      <c r="D1001" s="241"/>
      <c r="E1001" s="241"/>
      <c r="F1001" s="241"/>
      <c r="G1001" s="241"/>
      <c r="H1001" s="241"/>
      <c r="I1001" s="241"/>
      <c r="J1001" s="241"/>
      <c r="K1001" s="241"/>
      <c r="L1001" s="241"/>
      <c r="M1001" s="241"/>
      <c r="N1001" s="241"/>
      <c r="O1001" s="241"/>
      <c r="P1001" s="241"/>
      <c r="Q1001" s="241"/>
      <c r="R1001" s="241"/>
      <c r="S1001" s="241"/>
      <c r="T1001" s="241"/>
      <c r="U1001" s="241"/>
      <c r="V1001" s="241"/>
      <c r="W1001" s="241"/>
      <c r="X1001" s="241"/>
      <c r="Y1001" s="241"/>
      <c r="Z1001" s="241"/>
      <c r="AA1001" s="241"/>
    </row>
    <row r="1002">
      <c r="A1002" s="243"/>
      <c r="B1002" s="243"/>
      <c r="C1002" s="241"/>
      <c r="D1002" s="241"/>
      <c r="E1002" s="241"/>
      <c r="F1002" s="241"/>
      <c r="G1002" s="241"/>
      <c r="H1002" s="241"/>
      <c r="I1002" s="241"/>
      <c r="J1002" s="241"/>
      <c r="K1002" s="241"/>
      <c r="L1002" s="241"/>
      <c r="M1002" s="241"/>
      <c r="N1002" s="241"/>
      <c r="O1002" s="241"/>
      <c r="P1002" s="241"/>
      <c r="Q1002" s="241"/>
      <c r="R1002" s="241"/>
      <c r="S1002" s="241"/>
      <c r="T1002" s="241"/>
      <c r="U1002" s="241"/>
      <c r="V1002" s="241"/>
      <c r="W1002" s="241"/>
      <c r="X1002" s="241"/>
      <c r="Y1002" s="241"/>
      <c r="Z1002" s="241"/>
      <c r="AA1002" s="241"/>
    </row>
    <row r="1003">
      <c r="A1003" s="243"/>
      <c r="B1003" s="243"/>
      <c r="C1003" s="241"/>
      <c r="D1003" s="241"/>
      <c r="E1003" s="241"/>
      <c r="F1003" s="241"/>
      <c r="G1003" s="241"/>
      <c r="H1003" s="241"/>
      <c r="I1003" s="241"/>
      <c r="J1003" s="241"/>
      <c r="K1003" s="241"/>
      <c r="L1003" s="241"/>
      <c r="M1003" s="241"/>
      <c r="N1003" s="241"/>
      <c r="O1003" s="241"/>
      <c r="P1003" s="241"/>
      <c r="Q1003" s="241"/>
      <c r="R1003" s="241"/>
      <c r="S1003" s="241"/>
      <c r="T1003" s="241"/>
      <c r="U1003" s="241"/>
      <c r="V1003" s="241"/>
      <c r="W1003" s="241"/>
      <c r="X1003" s="241"/>
      <c r="Y1003" s="241"/>
      <c r="Z1003" s="241"/>
      <c r="AA1003" s="241"/>
    </row>
    <row r="1004">
      <c r="A1004" s="243"/>
      <c r="B1004" s="243"/>
      <c r="C1004" s="241"/>
      <c r="D1004" s="241"/>
      <c r="E1004" s="241"/>
      <c r="F1004" s="241"/>
      <c r="G1004" s="241"/>
      <c r="H1004" s="241"/>
      <c r="I1004" s="241"/>
      <c r="J1004" s="241"/>
      <c r="K1004" s="241"/>
      <c r="L1004" s="241"/>
      <c r="M1004" s="241"/>
      <c r="N1004" s="241"/>
      <c r="O1004" s="241"/>
      <c r="P1004" s="241"/>
      <c r="Q1004" s="241"/>
      <c r="R1004" s="241"/>
      <c r="S1004" s="241"/>
      <c r="T1004" s="241"/>
      <c r="U1004" s="241"/>
      <c r="V1004" s="241"/>
      <c r="W1004" s="241"/>
      <c r="X1004" s="241"/>
      <c r="Y1004" s="241"/>
      <c r="Z1004" s="241"/>
      <c r="AA1004" s="241"/>
    </row>
    <row r="1005">
      <c r="A1005" s="243"/>
      <c r="B1005" s="243"/>
      <c r="C1005" s="241"/>
      <c r="D1005" s="241"/>
      <c r="E1005" s="241"/>
      <c r="F1005" s="241"/>
      <c r="G1005" s="241"/>
      <c r="H1005" s="241"/>
      <c r="I1005" s="241"/>
      <c r="J1005" s="241"/>
      <c r="K1005" s="241"/>
      <c r="L1005" s="241"/>
      <c r="M1005" s="241"/>
      <c r="N1005" s="241"/>
      <c r="O1005" s="241"/>
      <c r="P1005" s="241"/>
      <c r="Q1005" s="241"/>
      <c r="R1005" s="241"/>
      <c r="S1005" s="241"/>
      <c r="T1005" s="241"/>
      <c r="U1005" s="241"/>
      <c r="V1005" s="241"/>
      <c r="W1005" s="241"/>
      <c r="X1005" s="241"/>
      <c r="Y1005" s="241"/>
      <c r="Z1005" s="241"/>
      <c r="AA1005" s="241"/>
    </row>
    <row r="1006">
      <c r="A1006" s="243"/>
      <c r="B1006" s="243"/>
      <c r="C1006" s="241"/>
      <c r="D1006" s="241"/>
      <c r="E1006" s="241"/>
      <c r="F1006" s="241"/>
      <c r="G1006" s="241"/>
      <c r="H1006" s="241"/>
      <c r="I1006" s="241"/>
      <c r="J1006" s="241"/>
      <c r="K1006" s="241"/>
      <c r="L1006" s="241"/>
      <c r="M1006" s="241"/>
      <c r="N1006" s="241"/>
      <c r="O1006" s="241"/>
      <c r="P1006" s="241"/>
      <c r="Q1006" s="241"/>
      <c r="R1006" s="241"/>
      <c r="S1006" s="241"/>
      <c r="T1006" s="241"/>
      <c r="U1006" s="241"/>
      <c r="V1006" s="241"/>
      <c r="W1006" s="241"/>
      <c r="X1006" s="241"/>
      <c r="Y1006" s="241"/>
      <c r="Z1006" s="241"/>
      <c r="AA1006" s="241"/>
    </row>
  </sheetData>
  <mergeCells count="102">
    <mergeCell ref="C56:K56"/>
    <mergeCell ref="C57:K57"/>
    <mergeCell ref="C58:K58"/>
    <mergeCell ref="C59:K59"/>
    <mergeCell ref="C60:K60"/>
    <mergeCell ref="C61:K61"/>
    <mergeCell ref="C62:K62"/>
    <mergeCell ref="C63:K63"/>
    <mergeCell ref="C64:K64"/>
    <mergeCell ref="C65:K65"/>
    <mergeCell ref="C66:K66"/>
    <mergeCell ref="C67:K67"/>
    <mergeCell ref="C68:K68"/>
    <mergeCell ref="C69:K69"/>
    <mergeCell ref="C70:K70"/>
    <mergeCell ref="C71:K71"/>
    <mergeCell ref="C72:K72"/>
    <mergeCell ref="C73:K73"/>
    <mergeCell ref="C74:K74"/>
    <mergeCell ref="C75:K75"/>
    <mergeCell ref="C76:K76"/>
    <mergeCell ref="C77:K77"/>
    <mergeCell ref="C78:K78"/>
    <mergeCell ref="C79:K79"/>
    <mergeCell ref="C80:K80"/>
    <mergeCell ref="C81:K81"/>
    <mergeCell ref="C82:K82"/>
    <mergeCell ref="C83:K83"/>
    <mergeCell ref="C84:K84"/>
    <mergeCell ref="C85:K85"/>
    <mergeCell ref="C86:K86"/>
    <mergeCell ref="C87:K87"/>
    <mergeCell ref="C88:K88"/>
    <mergeCell ref="C89:K89"/>
    <mergeCell ref="C90:K90"/>
    <mergeCell ref="C91:K91"/>
    <mergeCell ref="C92:K92"/>
    <mergeCell ref="C93:K93"/>
    <mergeCell ref="C94:K94"/>
    <mergeCell ref="C95:K95"/>
    <mergeCell ref="C96:K96"/>
    <mergeCell ref="C97:K97"/>
    <mergeCell ref="C105:K105"/>
    <mergeCell ref="C106:K106"/>
    <mergeCell ref="C107:K107"/>
    <mergeCell ref="C108:K108"/>
    <mergeCell ref="C98:K98"/>
    <mergeCell ref="C99:K99"/>
    <mergeCell ref="C100:K100"/>
    <mergeCell ref="C101:K101"/>
    <mergeCell ref="C102:K102"/>
    <mergeCell ref="C103:K103"/>
    <mergeCell ref="C104:K104"/>
    <mergeCell ref="C7:K7"/>
    <mergeCell ref="C8:K8"/>
    <mergeCell ref="C9:K9"/>
    <mergeCell ref="C10:K10"/>
    <mergeCell ref="C11:K11"/>
    <mergeCell ref="C12:K12"/>
    <mergeCell ref="C13:K13"/>
    <mergeCell ref="C14:K14"/>
    <mergeCell ref="C15:K15"/>
    <mergeCell ref="C16:K16"/>
    <mergeCell ref="C17:K17"/>
    <mergeCell ref="C18:K18"/>
    <mergeCell ref="C19:K19"/>
    <mergeCell ref="C20:K20"/>
    <mergeCell ref="C21:K21"/>
    <mergeCell ref="C22:K22"/>
    <mergeCell ref="C23:K23"/>
    <mergeCell ref="C24:K24"/>
    <mergeCell ref="C25:K25"/>
    <mergeCell ref="C26:K26"/>
    <mergeCell ref="C27:K27"/>
    <mergeCell ref="C28:K28"/>
    <mergeCell ref="C29:K29"/>
    <mergeCell ref="C30:K30"/>
    <mergeCell ref="C31:K31"/>
    <mergeCell ref="C32:K32"/>
    <mergeCell ref="C33:K33"/>
    <mergeCell ref="C34:K34"/>
    <mergeCell ref="C35:K35"/>
    <mergeCell ref="C36:K36"/>
    <mergeCell ref="C37:K37"/>
    <mergeCell ref="C38:K38"/>
    <mergeCell ref="C39:K39"/>
    <mergeCell ref="C40:K40"/>
    <mergeCell ref="C41:K41"/>
    <mergeCell ref="C42:K42"/>
    <mergeCell ref="C43:K43"/>
    <mergeCell ref="C44:K44"/>
    <mergeCell ref="C45:K45"/>
    <mergeCell ref="C46:K46"/>
    <mergeCell ref="C47:K47"/>
    <mergeCell ref="C48:K48"/>
    <mergeCell ref="C49:K49"/>
    <mergeCell ref="C50:K50"/>
    <mergeCell ref="C51:K51"/>
    <mergeCell ref="C52:K52"/>
    <mergeCell ref="C53:K53"/>
    <mergeCell ref="C54:K54"/>
    <mergeCell ref="C55:K55"/>
  </mergeCells>
  <drawing r:id="rId1"/>
</worksheet>
</file>